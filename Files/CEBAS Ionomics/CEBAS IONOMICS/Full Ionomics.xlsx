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"/>
    </mc:Choice>
  </mc:AlternateContent>
  <xr:revisionPtr revIDLastSave="106" documentId="8_{ADA88A3E-528A-4D1C-97E2-A5C520BBF843}" xr6:coauthVersionLast="47" xr6:coauthVersionMax="47" xr10:uidLastSave="{9E9EBF4C-A064-42CE-95EF-F4685D83DA9D}"/>
  <bookViews>
    <workbookView xWindow="-120" yWindow="-120" windowWidth="38640" windowHeight="21240" xr2:uid="{081B4677-3FBE-4520-BD6A-5FEB99DAEF7B}"/>
  </bookViews>
  <sheets>
    <sheet name="C N" sheetId="1" r:id="rId1"/>
    <sheet name="IONOMICS" sheetId="2" r:id="rId2"/>
    <sheet name="CEBAS-DEWOOD code" sheetId="4" r:id="rId3"/>
    <sheet name="Field Tabl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2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57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2" i="3"/>
  <c r="B3" i="1" l="1"/>
  <c r="E3" i="1" s="1"/>
  <c r="B4" i="1"/>
  <c r="E4" i="1" s="1"/>
  <c r="B5" i="1"/>
  <c r="E5" i="1" s="1"/>
  <c r="B6" i="1"/>
  <c r="E6" i="1" s="1"/>
  <c r="B7" i="1"/>
  <c r="E7" i="1" s="1"/>
  <c r="B8" i="1"/>
  <c r="E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39" i="1"/>
  <c r="E39" i="1" s="1"/>
  <c r="B40" i="1"/>
  <c r="E40" i="1" s="1"/>
  <c r="B41" i="1"/>
  <c r="E41" i="1" s="1"/>
  <c r="B42" i="1"/>
  <c r="E42" i="1" s="1"/>
  <c r="B43" i="1"/>
  <c r="E43" i="1" s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61" i="1"/>
  <c r="E61" i="1" s="1"/>
  <c r="B62" i="1"/>
  <c r="E62" i="1" s="1"/>
  <c r="B63" i="1"/>
  <c r="E63" i="1" s="1"/>
  <c r="B64" i="1"/>
  <c r="E64" i="1" s="1"/>
  <c r="B65" i="1"/>
  <c r="E65" i="1" s="1"/>
  <c r="B66" i="1"/>
  <c r="E66" i="1" s="1"/>
  <c r="B67" i="1"/>
  <c r="E67" i="1" s="1"/>
  <c r="B68" i="1"/>
  <c r="E68" i="1" s="1"/>
  <c r="B69" i="1"/>
  <c r="E69" i="1" s="1"/>
  <c r="B70" i="1"/>
  <c r="E70" i="1" s="1"/>
  <c r="B71" i="1"/>
  <c r="E71" i="1" s="1"/>
  <c r="B72" i="1"/>
  <c r="E72" i="1" s="1"/>
  <c r="B73" i="1"/>
  <c r="E73" i="1" s="1"/>
  <c r="B74" i="1"/>
  <c r="E74" i="1" s="1"/>
  <c r="B75" i="1"/>
  <c r="E75" i="1" s="1"/>
  <c r="B76" i="1"/>
  <c r="E76" i="1" s="1"/>
  <c r="B77" i="1"/>
  <c r="E77" i="1" s="1"/>
  <c r="B78" i="1"/>
  <c r="E78" i="1" s="1"/>
  <c r="B79" i="1"/>
  <c r="E79" i="1" s="1"/>
  <c r="B80" i="1"/>
  <c r="E80" i="1" s="1"/>
  <c r="B81" i="1"/>
  <c r="E81" i="1" s="1"/>
  <c r="B82" i="1"/>
  <c r="E82" i="1" s="1"/>
  <c r="B83" i="1"/>
  <c r="E83" i="1" s="1"/>
  <c r="B84" i="1"/>
  <c r="E84" i="1" s="1"/>
  <c r="B85" i="1"/>
  <c r="E85" i="1" s="1"/>
  <c r="B86" i="1"/>
  <c r="E86" i="1" s="1"/>
  <c r="B87" i="1"/>
  <c r="E87" i="1" s="1"/>
  <c r="B88" i="1"/>
  <c r="E88" i="1" s="1"/>
  <c r="B89" i="1"/>
  <c r="E89" i="1" s="1"/>
  <c r="B90" i="1"/>
  <c r="E90" i="1" s="1"/>
  <c r="B91" i="1"/>
  <c r="E91" i="1" s="1"/>
  <c r="B92" i="1"/>
  <c r="E92" i="1" s="1"/>
  <c r="B93" i="1"/>
  <c r="E93" i="1" s="1"/>
  <c r="B94" i="1"/>
  <c r="E94" i="1" s="1"/>
  <c r="B95" i="1"/>
  <c r="E95" i="1" s="1"/>
  <c r="B96" i="1"/>
  <c r="E96" i="1" s="1"/>
  <c r="B97" i="1"/>
  <c r="E97" i="1" s="1"/>
  <c r="B98" i="1"/>
  <c r="E98" i="1" s="1"/>
  <c r="B99" i="1"/>
  <c r="E99" i="1" s="1"/>
  <c r="B100" i="1"/>
  <c r="E100" i="1" s="1"/>
  <c r="B101" i="1"/>
  <c r="E101" i="1" s="1"/>
  <c r="B102" i="1"/>
  <c r="E102" i="1" s="1"/>
  <c r="B103" i="1"/>
  <c r="E103" i="1" s="1"/>
  <c r="B104" i="1"/>
  <c r="E104" i="1" s="1"/>
  <c r="B105" i="1"/>
  <c r="E105" i="1" s="1"/>
  <c r="B106" i="1"/>
  <c r="E106" i="1" s="1"/>
  <c r="B107" i="1"/>
  <c r="E107" i="1" s="1"/>
  <c r="B108" i="1"/>
  <c r="E108" i="1" s="1"/>
  <c r="B109" i="1"/>
  <c r="E109" i="1" s="1"/>
  <c r="B110" i="1"/>
  <c r="E110" i="1" s="1"/>
  <c r="B111" i="1"/>
  <c r="E111" i="1" s="1"/>
  <c r="B112" i="1"/>
  <c r="E112" i="1" s="1"/>
  <c r="B113" i="1"/>
  <c r="E113" i="1" s="1"/>
  <c r="B114" i="1"/>
  <c r="E114" i="1" s="1"/>
  <c r="B115" i="1"/>
  <c r="E115" i="1" s="1"/>
  <c r="B116" i="1"/>
  <c r="E116" i="1" s="1"/>
  <c r="B117" i="1"/>
  <c r="E117" i="1" s="1"/>
  <c r="B118" i="1"/>
  <c r="E118" i="1" s="1"/>
  <c r="B119" i="1"/>
  <c r="E119" i="1" s="1"/>
  <c r="B120" i="1"/>
  <c r="E120" i="1" s="1"/>
  <c r="B121" i="1"/>
  <c r="E121" i="1" s="1"/>
  <c r="B122" i="1"/>
  <c r="E122" i="1" s="1"/>
  <c r="B123" i="1"/>
  <c r="E123" i="1" s="1"/>
  <c r="B124" i="1"/>
  <c r="E124" i="1" s="1"/>
  <c r="B125" i="1"/>
  <c r="E125" i="1" s="1"/>
  <c r="B126" i="1"/>
  <c r="E126" i="1" s="1"/>
  <c r="B127" i="1"/>
  <c r="E127" i="1" s="1"/>
  <c r="B128" i="1"/>
  <c r="E128" i="1" s="1"/>
  <c r="B129" i="1"/>
  <c r="E129" i="1" s="1"/>
  <c r="B130" i="1"/>
  <c r="E130" i="1" s="1"/>
  <c r="B131" i="1"/>
  <c r="E131" i="1" s="1"/>
  <c r="B132" i="1"/>
  <c r="E132" i="1" s="1"/>
  <c r="B133" i="1"/>
  <c r="E133" i="1" s="1"/>
  <c r="B134" i="1"/>
  <c r="E134" i="1" s="1"/>
  <c r="B135" i="1"/>
  <c r="E135" i="1" s="1"/>
  <c r="B136" i="1"/>
  <c r="E136" i="1" s="1"/>
  <c r="B137" i="1"/>
  <c r="E137" i="1" s="1"/>
  <c r="B138" i="1"/>
  <c r="E138" i="1" s="1"/>
  <c r="B139" i="1"/>
  <c r="E139" i="1" s="1"/>
  <c r="B140" i="1"/>
  <c r="E140" i="1" s="1"/>
  <c r="B141" i="1"/>
  <c r="E141" i="1" s="1"/>
  <c r="B142" i="1"/>
  <c r="E142" i="1" s="1"/>
  <c r="B143" i="1"/>
  <c r="E143" i="1" s="1"/>
  <c r="B144" i="1"/>
  <c r="E144" i="1" s="1"/>
  <c r="B145" i="1"/>
  <c r="E145" i="1" s="1"/>
  <c r="B146" i="1"/>
  <c r="E146" i="1" s="1"/>
  <c r="B147" i="1"/>
  <c r="E147" i="1" s="1"/>
  <c r="B148" i="1"/>
  <c r="E148" i="1" s="1"/>
  <c r="B149" i="1"/>
  <c r="E149" i="1" s="1"/>
  <c r="B150" i="1"/>
  <c r="E150" i="1" s="1"/>
  <c r="B151" i="1"/>
  <c r="E151" i="1" s="1"/>
  <c r="B152" i="1"/>
  <c r="E152" i="1" s="1"/>
  <c r="B153" i="1"/>
  <c r="E153" i="1" s="1"/>
  <c r="B154" i="1"/>
  <c r="E154" i="1" s="1"/>
  <c r="B155" i="1"/>
  <c r="E155" i="1" s="1"/>
  <c r="B156" i="1"/>
  <c r="E156" i="1" s="1"/>
  <c r="B157" i="1"/>
  <c r="E157" i="1" s="1"/>
  <c r="B158" i="1"/>
  <c r="E158" i="1" s="1"/>
  <c r="B159" i="1"/>
  <c r="E159" i="1" s="1"/>
  <c r="B160" i="1"/>
  <c r="E160" i="1" s="1"/>
  <c r="B161" i="1"/>
  <c r="E161" i="1" s="1"/>
  <c r="B162" i="1"/>
  <c r="E162" i="1" s="1"/>
  <c r="B163" i="1"/>
  <c r="E163" i="1" s="1"/>
  <c r="B164" i="1"/>
  <c r="E164" i="1" s="1"/>
  <c r="B165" i="1"/>
  <c r="E165" i="1" s="1"/>
  <c r="B166" i="1"/>
  <c r="E166" i="1" s="1"/>
  <c r="B167" i="1"/>
  <c r="E167" i="1" s="1"/>
  <c r="B168" i="1"/>
  <c r="E168" i="1" s="1"/>
  <c r="B169" i="1"/>
  <c r="E169" i="1" s="1"/>
  <c r="B170" i="1"/>
  <c r="E170" i="1" s="1"/>
  <c r="B171" i="1"/>
  <c r="E171" i="1" s="1"/>
  <c r="B172" i="1"/>
  <c r="E172" i="1" s="1"/>
  <c r="B173" i="1"/>
  <c r="E173" i="1" s="1"/>
  <c r="B174" i="1"/>
  <c r="E174" i="1" s="1"/>
  <c r="B175" i="1"/>
  <c r="E175" i="1" s="1"/>
  <c r="B176" i="1"/>
  <c r="E176" i="1" s="1"/>
  <c r="B177" i="1"/>
  <c r="E177" i="1" s="1"/>
  <c r="B178" i="1"/>
  <c r="E178" i="1" s="1"/>
  <c r="B179" i="1"/>
  <c r="E179" i="1" s="1"/>
  <c r="B180" i="1"/>
  <c r="E180" i="1" s="1"/>
  <c r="B181" i="1"/>
  <c r="E181" i="1" s="1"/>
  <c r="B182" i="1"/>
  <c r="E182" i="1" s="1"/>
  <c r="B183" i="1"/>
  <c r="E183" i="1" s="1"/>
  <c r="B184" i="1"/>
  <c r="E184" i="1" s="1"/>
  <c r="B185" i="1"/>
  <c r="E185" i="1" s="1"/>
  <c r="B186" i="1"/>
  <c r="E186" i="1" s="1"/>
  <c r="B187" i="1"/>
  <c r="E187" i="1" s="1"/>
  <c r="B188" i="1"/>
  <c r="E188" i="1" s="1"/>
  <c r="B189" i="1"/>
  <c r="E189" i="1" s="1"/>
  <c r="B190" i="1"/>
  <c r="E190" i="1" s="1"/>
  <c r="B191" i="1"/>
  <c r="E191" i="1" s="1"/>
  <c r="B192" i="1"/>
  <c r="E192" i="1" s="1"/>
  <c r="B193" i="1"/>
  <c r="E193" i="1" s="1"/>
  <c r="B194" i="1"/>
  <c r="E194" i="1" s="1"/>
  <c r="B195" i="1"/>
  <c r="E195" i="1" s="1"/>
  <c r="B196" i="1"/>
  <c r="E196" i="1" s="1"/>
  <c r="B197" i="1"/>
  <c r="E197" i="1" s="1"/>
  <c r="B198" i="1"/>
  <c r="E198" i="1" s="1"/>
  <c r="B199" i="1"/>
  <c r="E199" i="1" s="1"/>
  <c r="B200" i="1"/>
  <c r="E200" i="1" s="1"/>
  <c r="B201" i="1"/>
  <c r="E201" i="1" s="1"/>
  <c r="B202" i="1"/>
  <c r="E202" i="1" s="1"/>
  <c r="B203" i="1"/>
  <c r="E203" i="1" s="1"/>
  <c r="B204" i="1"/>
  <c r="E204" i="1" s="1"/>
  <c r="B205" i="1"/>
  <c r="E205" i="1" s="1"/>
  <c r="B206" i="1"/>
  <c r="E206" i="1" s="1"/>
  <c r="B207" i="1"/>
  <c r="E207" i="1" s="1"/>
  <c r="B208" i="1"/>
  <c r="E208" i="1" s="1"/>
  <c r="B209" i="1"/>
  <c r="E209" i="1" s="1"/>
  <c r="B210" i="1"/>
  <c r="E210" i="1" s="1"/>
  <c r="B211" i="1"/>
  <c r="E211" i="1" s="1"/>
  <c r="B212" i="1"/>
  <c r="E212" i="1" s="1"/>
  <c r="B213" i="1"/>
  <c r="E213" i="1" s="1"/>
  <c r="B214" i="1"/>
  <c r="E214" i="1" s="1"/>
  <c r="B215" i="1"/>
  <c r="E215" i="1" s="1"/>
  <c r="B216" i="1"/>
  <c r="E216" i="1" s="1"/>
  <c r="B217" i="1"/>
  <c r="E217" i="1" s="1"/>
  <c r="B218" i="1"/>
  <c r="E218" i="1" s="1"/>
  <c r="B219" i="1"/>
  <c r="E219" i="1" s="1"/>
  <c r="B220" i="1"/>
  <c r="E220" i="1" s="1"/>
  <c r="B221" i="1"/>
  <c r="E221" i="1" s="1"/>
  <c r="B222" i="1"/>
  <c r="E222" i="1" s="1"/>
  <c r="B223" i="1"/>
  <c r="E223" i="1" s="1"/>
  <c r="B224" i="1"/>
  <c r="E224" i="1" s="1"/>
  <c r="B225" i="1"/>
  <c r="E225" i="1" s="1"/>
  <c r="B226" i="1"/>
  <c r="E226" i="1" s="1"/>
  <c r="B227" i="1"/>
  <c r="E227" i="1" s="1"/>
  <c r="B228" i="1"/>
  <c r="E228" i="1" s="1"/>
  <c r="B229" i="1"/>
  <c r="E229" i="1" s="1"/>
  <c r="B230" i="1"/>
  <c r="E230" i="1" s="1"/>
  <c r="B231" i="1"/>
  <c r="E231" i="1" s="1"/>
  <c r="B232" i="1"/>
  <c r="E232" i="1" s="1"/>
  <c r="B233" i="1"/>
  <c r="E233" i="1" s="1"/>
  <c r="B234" i="1"/>
  <c r="E234" i="1" s="1"/>
  <c r="B235" i="1"/>
  <c r="E235" i="1" s="1"/>
  <c r="B236" i="1"/>
  <c r="E236" i="1" s="1"/>
  <c r="B237" i="1"/>
  <c r="E237" i="1" s="1"/>
  <c r="B238" i="1"/>
  <c r="E238" i="1" s="1"/>
  <c r="B239" i="1"/>
  <c r="E239" i="1" s="1"/>
  <c r="B240" i="1"/>
  <c r="E240" i="1" s="1"/>
  <c r="B241" i="1"/>
  <c r="E241" i="1" s="1"/>
  <c r="B242" i="1"/>
  <c r="E242" i="1" s="1"/>
  <c r="B243" i="1"/>
  <c r="E243" i="1" s="1"/>
  <c r="B244" i="1"/>
  <c r="E244" i="1" s="1"/>
  <c r="B245" i="1"/>
  <c r="E245" i="1" s="1"/>
  <c r="B246" i="1"/>
  <c r="E246" i="1" s="1"/>
  <c r="B247" i="1"/>
  <c r="E247" i="1" s="1"/>
  <c r="B248" i="1"/>
  <c r="E248" i="1" s="1"/>
  <c r="B249" i="1"/>
  <c r="E249" i="1" s="1"/>
  <c r="B250" i="1"/>
  <c r="E250" i="1" s="1"/>
  <c r="B251" i="1"/>
  <c r="E251" i="1" s="1"/>
  <c r="B252" i="1"/>
  <c r="E252" i="1" s="1"/>
  <c r="B253" i="1"/>
  <c r="E253" i="1" s="1"/>
  <c r="B254" i="1"/>
  <c r="E254" i="1" s="1"/>
  <c r="B255" i="1"/>
  <c r="E255" i="1" s="1"/>
  <c r="B256" i="1"/>
  <c r="E256" i="1" s="1"/>
  <c r="B257" i="1"/>
  <c r="E257" i="1" s="1"/>
  <c r="B258" i="1"/>
  <c r="E258" i="1" s="1"/>
  <c r="B259" i="1"/>
  <c r="E259" i="1" s="1"/>
  <c r="B260" i="1"/>
  <c r="E260" i="1" s="1"/>
  <c r="B261" i="1"/>
  <c r="E261" i="1" s="1"/>
  <c r="B262" i="1"/>
  <c r="E262" i="1" s="1"/>
  <c r="B263" i="1"/>
  <c r="E263" i="1" s="1"/>
  <c r="B264" i="1"/>
  <c r="E264" i="1" s="1"/>
  <c r="B265" i="1"/>
  <c r="E265" i="1" s="1"/>
  <c r="B266" i="1"/>
  <c r="E266" i="1" s="1"/>
  <c r="B267" i="1"/>
  <c r="E267" i="1" s="1"/>
  <c r="B268" i="1"/>
  <c r="E268" i="1" s="1"/>
  <c r="B269" i="1"/>
  <c r="E269" i="1" s="1"/>
  <c r="B270" i="1"/>
  <c r="E270" i="1" s="1"/>
  <c r="B271" i="1"/>
  <c r="E271" i="1" s="1"/>
  <c r="B272" i="1"/>
  <c r="E272" i="1" s="1"/>
  <c r="B273" i="1"/>
  <c r="E273" i="1" s="1"/>
  <c r="B274" i="1"/>
  <c r="E274" i="1" s="1"/>
  <c r="B275" i="1"/>
  <c r="E275" i="1" s="1"/>
  <c r="B276" i="1"/>
  <c r="E276" i="1" s="1"/>
  <c r="B277" i="1"/>
  <c r="E277" i="1" s="1"/>
  <c r="B278" i="1"/>
  <c r="E278" i="1" s="1"/>
  <c r="B279" i="1"/>
  <c r="E279" i="1" s="1"/>
  <c r="B280" i="1"/>
  <c r="E280" i="1" s="1"/>
  <c r="B281" i="1"/>
  <c r="E281" i="1" s="1"/>
  <c r="B282" i="1"/>
  <c r="E282" i="1" s="1"/>
  <c r="B283" i="1"/>
  <c r="E283" i="1" s="1"/>
  <c r="B284" i="1"/>
  <c r="E284" i="1" s="1"/>
  <c r="B285" i="1"/>
  <c r="E285" i="1" s="1"/>
  <c r="B286" i="1"/>
  <c r="E286" i="1" s="1"/>
  <c r="B287" i="1"/>
  <c r="E287" i="1" s="1"/>
  <c r="B288" i="1"/>
  <c r="E288" i="1" s="1"/>
  <c r="B289" i="1"/>
  <c r="E289" i="1" s="1"/>
  <c r="B290" i="1"/>
  <c r="E290" i="1" s="1"/>
  <c r="B291" i="1"/>
  <c r="E291" i="1" s="1"/>
  <c r="B292" i="1"/>
  <c r="E292" i="1" s="1"/>
  <c r="B293" i="1"/>
  <c r="E293" i="1" s="1"/>
  <c r="B294" i="1"/>
  <c r="E294" i="1" s="1"/>
  <c r="B295" i="1"/>
  <c r="E295" i="1" s="1"/>
  <c r="B296" i="1"/>
  <c r="E296" i="1" s="1"/>
  <c r="B297" i="1"/>
  <c r="E297" i="1" s="1"/>
  <c r="B298" i="1"/>
  <c r="E298" i="1" s="1"/>
  <c r="B299" i="1"/>
  <c r="E299" i="1" s="1"/>
  <c r="B300" i="1"/>
  <c r="E300" i="1" s="1"/>
  <c r="B2" i="1"/>
  <c r="E2" i="1" s="1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2" i="2"/>
  <c r="C2" i="2" s="1"/>
  <c r="D134" i="2" l="1"/>
  <c r="E134" i="2"/>
  <c r="F134" i="2"/>
  <c r="D118" i="2"/>
  <c r="F118" i="2"/>
  <c r="E118" i="2"/>
  <c r="D102" i="2"/>
  <c r="F102" i="2"/>
  <c r="E102" i="2"/>
  <c r="D86" i="2"/>
  <c r="E86" i="2"/>
  <c r="F86" i="2"/>
  <c r="D70" i="2"/>
  <c r="F70" i="2"/>
  <c r="E70" i="2"/>
  <c r="D54" i="2"/>
  <c r="E54" i="2"/>
  <c r="F54" i="2"/>
  <c r="D38" i="2"/>
  <c r="F38" i="2"/>
  <c r="E38" i="2"/>
  <c r="D22" i="2"/>
  <c r="F22" i="2"/>
  <c r="E22" i="2"/>
  <c r="D6" i="2"/>
  <c r="F6" i="2"/>
  <c r="E6" i="2"/>
  <c r="D262" i="2"/>
  <c r="F262" i="2"/>
  <c r="E262" i="2"/>
  <c r="D213" i="2"/>
  <c r="F213" i="2"/>
  <c r="E213" i="2"/>
  <c r="D180" i="2"/>
  <c r="F180" i="2"/>
  <c r="E180" i="2"/>
  <c r="D84" i="2"/>
  <c r="F84" i="2"/>
  <c r="E84" i="2"/>
  <c r="D68" i="2"/>
  <c r="F68" i="2"/>
  <c r="E68" i="2"/>
  <c r="D52" i="2"/>
  <c r="F52" i="2"/>
  <c r="E52" i="2"/>
  <c r="D36" i="2"/>
  <c r="F36" i="2"/>
  <c r="E36" i="2"/>
  <c r="D20" i="2"/>
  <c r="F20" i="2"/>
  <c r="E20" i="2"/>
  <c r="D4" i="2"/>
  <c r="F4" i="2"/>
  <c r="E4" i="2"/>
  <c r="D292" i="2"/>
  <c r="F292" i="2"/>
  <c r="E292" i="2"/>
  <c r="D164" i="2"/>
  <c r="F164" i="2"/>
  <c r="E164" i="2"/>
  <c r="D259" i="2"/>
  <c r="F259" i="2"/>
  <c r="E259" i="2"/>
  <c r="D243" i="2"/>
  <c r="F243" i="2"/>
  <c r="E243" i="2"/>
  <c r="D227" i="2"/>
  <c r="F227" i="2"/>
  <c r="E227" i="2"/>
  <c r="D211" i="2"/>
  <c r="F211" i="2"/>
  <c r="E211" i="2"/>
  <c r="D195" i="2"/>
  <c r="F195" i="2"/>
  <c r="E195" i="2"/>
  <c r="D179" i="2"/>
  <c r="F179" i="2"/>
  <c r="E179" i="2"/>
  <c r="D163" i="2"/>
  <c r="F163" i="2"/>
  <c r="E163" i="2"/>
  <c r="D147" i="2"/>
  <c r="F147" i="2"/>
  <c r="E147" i="2"/>
  <c r="D131" i="2"/>
  <c r="F131" i="2"/>
  <c r="E131" i="2"/>
  <c r="D115" i="2"/>
  <c r="F115" i="2"/>
  <c r="E115" i="2"/>
  <c r="D99" i="2"/>
  <c r="F99" i="2"/>
  <c r="E99" i="2"/>
  <c r="D83" i="2"/>
  <c r="F83" i="2"/>
  <c r="E83" i="2"/>
  <c r="D67" i="2"/>
  <c r="F67" i="2"/>
  <c r="E67" i="2"/>
  <c r="D51" i="2"/>
  <c r="F51" i="2"/>
  <c r="E51" i="2"/>
  <c r="D35" i="2"/>
  <c r="F35" i="2"/>
  <c r="E35" i="2"/>
  <c r="D19" i="2"/>
  <c r="F19" i="2"/>
  <c r="E19" i="2"/>
  <c r="D3" i="2"/>
  <c r="F3" i="2"/>
  <c r="E3" i="2"/>
  <c r="D278" i="2"/>
  <c r="E278" i="2"/>
  <c r="F278" i="2"/>
  <c r="D133" i="2"/>
  <c r="F133" i="2"/>
  <c r="E133" i="2"/>
  <c r="D116" i="2"/>
  <c r="F116" i="2"/>
  <c r="E116" i="2"/>
  <c r="D100" i="2"/>
  <c r="F100" i="2"/>
  <c r="E100" i="2"/>
  <c r="D291" i="2"/>
  <c r="F291" i="2"/>
  <c r="E291" i="2"/>
  <c r="D275" i="2"/>
  <c r="F275" i="2"/>
  <c r="E275" i="2"/>
  <c r="D290" i="2"/>
  <c r="E290" i="2"/>
  <c r="F290" i="2"/>
  <c r="D274" i="2"/>
  <c r="E274" i="2"/>
  <c r="F274" i="2"/>
  <c r="D258" i="2"/>
  <c r="E258" i="2"/>
  <c r="F258" i="2"/>
  <c r="D242" i="2"/>
  <c r="E242" i="2"/>
  <c r="F242" i="2"/>
  <c r="D226" i="2"/>
  <c r="E226" i="2"/>
  <c r="F226" i="2"/>
  <c r="D210" i="2"/>
  <c r="E210" i="2"/>
  <c r="F210" i="2"/>
  <c r="D194" i="2"/>
  <c r="E194" i="2"/>
  <c r="F194" i="2"/>
  <c r="D178" i="2"/>
  <c r="E178" i="2"/>
  <c r="F178" i="2"/>
  <c r="D162" i="2"/>
  <c r="E162" i="2"/>
  <c r="F162" i="2"/>
  <c r="D146" i="2"/>
  <c r="E146" i="2"/>
  <c r="F146" i="2"/>
  <c r="D130" i="2"/>
  <c r="E130" i="2"/>
  <c r="F130" i="2"/>
  <c r="D114" i="2"/>
  <c r="E114" i="2"/>
  <c r="F114" i="2"/>
  <c r="D98" i="2"/>
  <c r="E98" i="2"/>
  <c r="F98" i="2"/>
  <c r="D82" i="2"/>
  <c r="E82" i="2"/>
  <c r="F82" i="2"/>
  <c r="D66" i="2"/>
  <c r="E66" i="2"/>
  <c r="F66" i="2"/>
  <c r="D50" i="2"/>
  <c r="E50" i="2"/>
  <c r="F50" i="2"/>
  <c r="D34" i="2"/>
  <c r="E34" i="2"/>
  <c r="F34" i="2"/>
  <c r="D18" i="2"/>
  <c r="E18" i="2"/>
  <c r="F18" i="2"/>
  <c r="D246" i="2"/>
  <c r="F246" i="2"/>
  <c r="E246" i="2"/>
  <c r="D165" i="2"/>
  <c r="F165" i="2"/>
  <c r="E165" i="2"/>
  <c r="D196" i="2"/>
  <c r="F196" i="2"/>
  <c r="E196" i="2"/>
  <c r="D148" i="2"/>
  <c r="F148" i="2"/>
  <c r="E148" i="2"/>
  <c r="D289" i="2"/>
  <c r="F289" i="2"/>
  <c r="E289" i="2"/>
  <c r="D273" i="2"/>
  <c r="F273" i="2"/>
  <c r="E273" i="2"/>
  <c r="D257" i="2"/>
  <c r="F257" i="2"/>
  <c r="E257" i="2"/>
  <c r="D241" i="2"/>
  <c r="F241" i="2"/>
  <c r="E241" i="2"/>
  <c r="D225" i="2"/>
  <c r="E225" i="2"/>
  <c r="F225" i="2"/>
  <c r="D209" i="2"/>
  <c r="F209" i="2"/>
  <c r="E209" i="2"/>
  <c r="D193" i="2"/>
  <c r="F193" i="2"/>
  <c r="E193" i="2"/>
  <c r="D177" i="2"/>
  <c r="E177" i="2"/>
  <c r="F177" i="2"/>
  <c r="D161" i="2"/>
  <c r="E161" i="2"/>
  <c r="F161" i="2"/>
  <c r="D145" i="2"/>
  <c r="E145" i="2"/>
  <c r="F145" i="2"/>
  <c r="D129" i="2"/>
  <c r="F129" i="2"/>
  <c r="E129" i="2"/>
  <c r="D113" i="2"/>
  <c r="E113" i="2"/>
  <c r="F113" i="2"/>
  <c r="D97" i="2"/>
  <c r="E97" i="2"/>
  <c r="F97" i="2"/>
  <c r="D81" i="2"/>
  <c r="F81" i="2"/>
  <c r="E81" i="2"/>
  <c r="D65" i="2"/>
  <c r="F65" i="2"/>
  <c r="E65" i="2"/>
  <c r="D49" i="2"/>
  <c r="F49" i="2"/>
  <c r="E49" i="2"/>
  <c r="D33" i="2"/>
  <c r="E33" i="2"/>
  <c r="F33" i="2"/>
  <c r="D17" i="2"/>
  <c r="F17" i="2"/>
  <c r="E17" i="2"/>
  <c r="D197" i="2"/>
  <c r="F197" i="2"/>
  <c r="E197" i="2"/>
  <c r="D117" i="2"/>
  <c r="F117" i="2"/>
  <c r="E117" i="2"/>
  <c r="D5" i="2"/>
  <c r="F5" i="2"/>
  <c r="E5" i="2"/>
  <c r="D276" i="2"/>
  <c r="F276" i="2"/>
  <c r="E276" i="2"/>
  <c r="D132" i="2"/>
  <c r="F132" i="2"/>
  <c r="E132" i="2"/>
  <c r="D288" i="2"/>
  <c r="E288" i="2"/>
  <c r="F288" i="2"/>
  <c r="D272" i="2"/>
  <c r="E272" i="2"/>
  <c r="F272" i="2"/>
  <c r="D256" i="2"/>
  <c r="E256" i="2"/>
  <c r="F256" i="2"/>
  <c r="D240" i="2"/>
  <c r="E240" i="2"/>
  <c r="F240" i="2"/>
  <c r="D224" i="2"/>
  <c r="E224" i="2"/>
  <c r="F224" i="2"/>
  <c r="D208" i="2"/>
  <c r="E208" i="2"/>
  <c r="F208" i="2"/>
  <c r="D192" i="2"/>
  <c r="E192" i="2"/>
  <c r="F192" i="2"/>
  <c r="D176" i="2"/>
  <c r="E176" i="2"/>
  <c r="F176" i="2"/>
  <c r="D160" i="2"/>
  <c r="E160" i="2"/>
  <c r="F160" i="2"/>
  <c r="D144" i="2"/>
  <c r="E144" i="2"/>
  <c r="F144" i="2"/>
  <c r="D128" i="2"/>
  <c r="E128" i="2"/>
  <c r="F128" i="2"/>
  <c r="D112" i="2"/>
  <c r="E112" i="2"/>
  <c r="F112" i="2"/>
  <c r="D96" i="2"/>
  <c r="E96" i="2"/>
  <c r="F96" i="2"/>
  <c r="D80" i="2"/>
  <c r="E80" i="2"/>
  <c r="F80" i="2"/>
  <c r="D64" i="2"/>
  <c r="E64" i="2"/>
  <c r="F64" i="2"/>
  <c r="D48" i="2"/>
  <c r="E48" i="2"/>
  <c r="F48" i="2"/>
  <c r="D32" i="2"/>
  <c r="E32" i="2"/>
  <c r="F32" i="2"/>
  <c r="D16" i="2"/>
  <c r="E16" i="2"/>
  <c r="F16" i="2"/>
  <c r="D166" i="2"/>
  <c r="F166" i="2"/>
  <c r="E166" i="2"/>
  <c r="D293" i="2"/>
  <c r="F293" i="2"/>
  <c r="E293" i="2"/>
  <c r="D21" i="2"/>
  <c r="F21" i="2"/>
  <c r="E21" i="2"/>
  <c r="D255" i="2"/>
  <c r="E255" i="2"/>
  <c r="F255" i="2"/>
  <c r="D239" i="2"/>
  <c r="E239" i="2"/>
  <c r="F239" i="2"/>
  <c r="D223" i="2"/>
  <c r="E223" i="2"/>
  <c r="F223" i="2"/>
  <c r="D207" i="2"/>
  <c r="E207" i="2"/>
  <c r="F207" i="2"/>
  <c r="D191" i="2"/>
  <c r="E191" i="2"/>
  <c r="F191" i="2"/>
  <c r="D175" i="2"/>
  <c r="E175" i="2"/>
  <c r="F175" i="2"/>
  <c r="D159" i="2"/>
  <c r="E159" i="2"/>
  <c r="F159" i="2"/>
  <c r="D143" i="2"/>
  <c r="E143" i="2"/>
  <c r="F143" i="2"/>
  <c r="D127" i="2"/>
  <c r="E127" i="2"/>
  <c r="F127" i="2"/>
  <c r="D111" i="2"/>
  <c r="E111" i="2"/>
  <c r="F111" i="2"/>
  <c r="D95" i="2"/>
  <c r="E95" i="2"/>
  <c r="F95" i="2"/>
  <c r="D79" i="2"/>
  <c r="E79" i="2"/>
  <c r="F79" i="2"/>
  <c r="D63" i="2"/>
  <c r="E63" i="2"/>
  <c r="F63" i="2"/>
  <c r="D47" i="2"/>
  <c r="E47" i="2"/>
  <c r="F47" i="2"/>
  <c r="D31" i="2"/>
  <c r="E31" i="2"/>
  <c r="F31" i="2"/>
  <c r="D15" i="2"/>
  <c r="E15" i="2"/>
  <c r="F15" i="2"/>
  <c r="D245" i="2"/>
  <c r="F245" i="2"/>
  <c r="E245" i="2"/>
  <c r="D101" i="2"/>
  <c r="F101" i="2"/>
  <c r="E101" i="2"/>
  <c r="D260" i="2"/>
  <c r="F260" i="2"/>
  <c r="E260" i="2"/>
  <c r="D287" i="2"/>
  <c r="E287" i="2"/>
  <c r="F287" i="2"/>
  <c r="D238" i="2"/>
  <c r="E238" i="2"/>
  <c r="F238" i="2"/>
  <c r="D222" i="2"/>
  <c r="E222" i="2"/>
  <c r="F222" i="2"/>
  <c r="D206" i="2"/>
  <c r="E206" i="2"/>
  <c r="F206" i="2"/>
  <c r="D190" i="2"/>
  <c r="E190" i="2"/>
  <c r="F190" i="2"/>
  <c r="D174" i="2"/>
  <c r="E174" i="2"/>
  <c r="F174" i="2"/>
  <c r="D158" i="2"/>
  <c r="E158" i="2"/>
  <c r="F158" i="2"/>
  <c r="D142" i="2"/>
  <c r="E142" i="2"/>
  <c r="F142" i="2"/>
  <c r="D126" i="2"/>
  <c r="E126" i="2"/>
  <c r="F126" i="2"/>
  <c r="D110" i="2"/>
  <c r="E110" i="2"/>
  <c r="F110" i="2"/>
  <c r="D94" i="2"/>
  <c r="E94" i="2"/>
  <c r="F94" i="2"/>
  <c r="D78" i="2"/>
  <c r="E78" i="2"/>
  <c r="F78" i="2"/>
  <c r="D62" i="2"/>
  <c r="E62" i="2"/>
  <c r="F62" i="2"/>
  <c r="D46" i="2"/>
  <c r="E46" i="2"/>
  <c r="F46" i="2"/>
  <c r="D30" i="2"/>
  <c r="E30" i="2"/>
  <c r="F30" i="2"/>
  <c r="D14" i="2"/>
  <c r="E14" i="2"/>
  <c r="F14" i="2"/>
  <c r="D214" i="2"/>
  <c r="F214" i="2"/>
  <c r="E214" i="2"/>
  <c r="D150" i="2"/>
  <c r="F150" i="2"/>
  <c r="E150" i="2"/>
  <c r="D181" i="2"/>
  <c r="F181" i="2"/>
  <c r="E181" i="2"/>
  <c r="D254" i="2"/>
  <c r="E254" i="2"/>
  <c r="F254" i="2"/>
  <c r="D285" i="2"/>
  <c r="E285" i="2"/>
  <c r="F285" i="2"/>
  <c r="D205" i="2"/>
  <c r="E205" i="2"/>
  <c r="F205" i="2"/>
  <c r="D189" i="2"/>
  <c r="E189" i="2"/>
  <c r="F189" i="2"/>
  <c r="D173" i="2"/>
  <c r="E173" i="2"/>
  <c r="F173" i="2"/>
  <c r="D157" i="2"/>
  <c r="E157" i="2"/>
  <c r="F157" i="2"/>
  <c r="D141" i="2"/>
  <c r="E141" i="2"/>
  <c r="F141" i="2"/>
  <c r="D125" i="2"/>
  <c r="E125" i="2"/>
  <c r="F125" i="2"/>
  <c r="D109" i="2"/>
  <c r="E109" i="2"/>
  <c r="F109" i="2"/>
  <c r="D93" i="2"/>
  <c r="E93" i="2"/>
  <c r="F93" i="2"/>
  <c r="D77" i="2"/>
  <c r="E77" i="2"/>
  <c r="F77" i="2"/>
  <c r="D61" i="2"/>
  <c r="E61" i="2"/>
  <c r="F61" i="2"/>
  <c r="D45" i="2"/>
  <c r="E45" i="2"/>
  <c r="F45" i="2"/>
  <c r="D29" i="2"/>
  <c r="E29" i="2"/>
  <c r="F29" i="2"/>
  <c r="D13" i="2"/>
  <c r="E13" i="2"/>
  <c r="F13" i="2"/>
  <c r="D229" i="2"/>
  <c r="F229" i="2"/>
  <c r="E229" i="2"/>
  <c r="D228" i="2"/>
  <c r="F228" i="2"/>
  <c r="E228" i="2"/>
  <c r="D286" i="2"/>
  <c r="E286" i="2"/>
  <c r="F286" i="2"/>
  <c r="D252" i="2"/>
  <c r="E252" i="2"/>
  <c r="F252" i="2"/>
  <c r="D204" i="2"/>
  <c r="E204" i="2"/>
  <c r="F204" i="2"/>
  <c r="D188" i="2"/>
  <c r="E188" i="2"/>
  <c r="F188" i="2"/>
  <c r="D172" i="2"/>
  <c r="E172" i="2"/>
  <c r="F172" i="2"/>
  <c r="D156" i="2"/>
  <c r="E156" i="2"/>
  <c r="F156" i="2"/>
  <c r="D140" i="2"/>
  <c r="E140" i="2"/>
  <c r="F140" i="2"/>
  <c r="D124" i="2"/>
  <c r="E124" i="2"/>
  <c r="F124" i="2"/>
  <c r="D108" i="2"/>
  <c r="E108" i="2"/>
  <c r="F108" i="2"/>
  <c r="D92" i="2"/>
  <c r="E92" i="2"/>
  <c r="F92" i="2"/>
  <c r="D76" i="2"/>
  <c r="E76" i="2"/>
  <c r="F76" i="2"/>
  <c r="D60" i="2"/>
  <c r="E60" i="2"/>
  <c r="F60" i="2"/>
  <c r="D44" i="2"/>
  <c r="E44" i="2"/>
  <c r="F44" i="2"/>
  <c r="D28" i="2"/>
  <c r="E28" i="2"/>
  <c r="F28" i="2"/>
  <c r="D12" i="2"/>
  <c r="E12" i="2"/>
  <c r="F12" i="2"/>
  <c r="D149" i="2"/>
  <c r="F149" i="2"/>
  <c r="E149" i="2"/>
  <c r="D253" i="2"/>
  <c r="E253" i="2"/>
  <c r="F253" i="2"/>
  <c r="D220" i="2"/>
  <c r="E220" i="2"/>
  <c r="F220" i="2"/>
  <c r="D299" i="2"/>
  <c r="E299" i="2"/>
  <c r="F299" i="2"/>
  <c r="D283" i="2"/>
  <c r="E283" i="2"/>
  <c r="F283" i="2"/>
  <c r="D267" i="2"/>
  <c r="E267" i="2"/>
  <c r="F267" i="2"/>
  <c r="D251" i="2"/>
  <c r="E251" i="2"/>
  <c r="F251" i="2"/>
  <c r="D235" i="2"/>
  <c r="E235" i="2"/>
  <c r="F235" i="2"/>
  <c r="D219" i="2"/>
  <c r="E219" i="2"/>
  <c r="F219" i="2"/>
  <c r="D203" i="2"/>
  <c r="E203" i="2"/>
  <c r="F203" i="2"/>
  <c r="D187" i="2"/>
  <c r="E187" i="2"/>
  <c r="F187" i="2"/>
  <c r="D171" i="2"/>
  <c r="E171" i="2"/>
  <c r="F171" i="2"/>
  <c r="D155" i="2"/>
  <c r="E155" i="2"/>
  <c r="F155" i="2"/>
  <c r="D139" i="2"/>
  <c r="E139" i="2"/>
  <c r="F139" i="2"/>
  <c r="D123" i="2"/>
  <c r="E123" i="2"/>
  <c r="F123" i="2"/>
  <c r="D107" i="2"/>
  <c r="E107" i="2"/>
  <c r="F107" i="2"/>
  <c r="D91" i="2"/>
  <c r="E91" i="2"/>
  <c r="F91" i="2"/>
  <c r="D75" i="2"/>
  <c r="E75" i="2"/>
  <c r="F75" i="2"/>
  <c r="D59" i="2"/>
  <c r="E59" i="2"/>
  <c r="F59" i="2"/>
  <c r="D43" i="2"/>
  <c r="E43" i="2"/>
  <c r="F43" i="2"/>
  <c r="D27" i="2"/>
  <c r="E27" i="2"/>
  <c r="F27" i="2"/>
  <c r="D11" i="2"/>
  <c r="E11" i="2"/>
  <c r="F11" i="2"/>
  <c r="D230" i="2"/>
  <c r="E230" i="2"/>
  <c r="F230" i="2"/>
  <c r="D244" i="2"/>
  <c r="F244" i="2"/>
  <c r="E244" i="2"/>
  <c r="D271" i="2"/>
  <c r="E271" i="2"/>
  <c r="F271" i="2"/>
  <c r="D2" i="2"/>
  <c r="E2" i="2"/>
  <c r="F2" i="2"/>
  <c r="D269" i="2"/>
  <c r="E269" i="2"/>
  <c r="F269" i="2"/>
  <c r="D268" i="2"/>
  <c r="E268" i="2"/>
  <c r="F268" i="2"/>
  <c r="D282" i="2"/>
  <c r="E282" i="2"/>
  <c r="F282" i="2"/>
  <c r="D250" i="2"/>
  <c r="E250" i="2"/>
  <c r="F250" i="2"/>
  <c r="D234" i="2"/>
  <c r="E234" i="2"/>
  <c r="F234" i="2"/>
  <c r="D218" i="2"/>
  <c r="E218" i="2"/>
  <c r="F218" i="2"/>
  <c r="D202" i="2"/>
  <c r="E202" i="2"/>
  <c r="F202" i="2"/>
  <c r="D186" i="2"/>
  <c r="E186" i="2"/>
  <c r="F186" i="2"/>
  <c r="D170" i="2"/>
  <c r="E170" i="2"/>
  <c r="F170" i="2"/>
  <c r="D154" i="2"/>
  <c r="E154" i="2"/>
  <c r="F154" i="2"/>
  <c r="D138" i="2"/>
  <c r="E138" i="2"/>
  <c r="F138" i="2"/>
  <c r="D122" i="2"/>
  <c r="E122" i="2"/>
  <c r="F122" i="2"/>
  <c r="D106" i="2"/>
  <c r="E106" i="2"/>
  <c r="F106" i="2"/>
  <c r="D90" i="2"/>
  <c r="E90" i="2"/>
  <c r="F90" i="2"/>
  <c r="D74" i="2"/>
  <c r="E74" i="2"/>
  <c r="F74" i="2"/>
  <c r="D58" i="2"/>
  <c r="E58" i="2"/>
  <c r="F58" i="2"/>
  <c r="D42" i="2"/>
  <c r="E42" i="2"/>
  <c r="F42" i="2"/>
  <c r="D26" i="2"/>
  <c r="E26" i="2"/>
  <c r="F26" i="2"/>
  <c r="D10" i="2"/>
  <c r="E10" i="2"/>
  <c r="F10" i="2"/>
  <c r="D198" i="2"/>
  <c r="F198" i="2"/>
  <c r="E198" i="2"/>
  <c r="D53" i="2"/>
  <c r="F53" i="2"/>
  <c r="E53" i="2"/>
  <c r="D212" i="2"/>
  <c r="F212" i="2"/>
  <c r="E212" i="2"/>
  <c r="D270" i="2"/>
  <c r="E270" i="2"/>
  <c r="F270" i="2"/>
  <c r="D237" i="2"/>
  <c r="E237" i="2"/>
  <c r="F237" i="2"/>
  <c r="D300" i="2"/>
  <c r="E300" i="2"/>
  <c r="F300" i="2"/>
  <c r="D284" i="2"/>
  <c r="E284" i="2"/>
  <c r="F284" i="2"/>
  <c r="D266" i="2"/>
  <c r="E266" i="2"/>
  <c r="F266" i="2"/>
  <c r="D297" i="2"/>
  <c r="E297" i="2"/>
  <c r="F297" i="2"/>
  <c r="D281" i="2"/>
  <c r="E281" i="2"/>
  <c r="F281" i="2"/>
  <c r="D265" i="2"/>
  <c r="E265" i="2"/>
  <c r="F265" i="2"/>
  <c r="D249" i="2"/>
  <c r="E249" i="2"/>
  <c r="F249" i="2"/>
  <c r="D233" i="2"/>
  <c r="E233" i="2"/>
  <c r="F233" i="2"/>
  <c r="D217" i="2"/>
  <c r="E217" i="2"/>
  <c r="F217" i="2"/>
  <c r="D201" i="2"/>
  <c r="E201" i="2"/>
  <c r="F201" i="2"/>
  <c r="D185" i="2"/>
  <c r="E185" i="2"/>
  <c r="F185" i="2"/>
  <c r="D169" i="2"/>
  <c r="E169" i="2"/>
  <c r="F169" i="2"/>
  <c r="D153" i="2"/>
  <c r="E153" i="2"/>
  <c r="F153" i="2"/>
  <c r="D137" i="2"/>
  <c r="E137" i="2"/>
  <c r="F137" i="2"/>
  <c r="D121" i="2"/>
  <c r="E121" i="2"/>
  <c r="F121" i="2"/>
  <c r="D105" i="2"/>
  <c r="E105" i="2"/>
  <c r="F105" i="2"/>
  <c r="D89" i="2"/>
  <c r="E89" i="2"/>
  <c r="F89" i="2"/>
  <c r="D73" i="2"/>
  <c r="E73" i="2"/>
  <c r="F73" i="2"/>
  <c r="D57" i="2"/>
  <c r="E57" i="2"/>
  <c r="F57" i="2"/>
  <c r="D41" i="2"/>
  <c r="E41" i="2"/>
  <c r="F41" i="2"/>
  <c r="D25" i="2"/>
  <c r="E25" i="2"/>
  <c r="F25" i="2"/>
  <c r="D9" i="2"/>
  <c r="E9" i="2"/>
  <c r="F9" i="2"/>
  <c r="D261" i="2"/>
  <c r="F261" i="2"/>
  <c r="E261" i="2"/>
  <c r="D85" i="2"/>
  <c r="F85" i="2"/>
  <c r="E85" i="2"/>
  <c r="D37" i="2"/>
  <c r="F37" i="2"/>
  <c r="E37" i="2"/>
  <c r="D221" i="2"/>
  <c r="E221" i="2"/>
  <c r="F221" i="2"/>
  <c r="D236" i="2"/>
  <c r="E236" i="2"/>
  <c r="F236" i="2"/>
  <c r="D298" i="2"/>
  <c r="E298" i="2"/>
  <c r="F298" i="2"/>
  <c r="D296" i="2"/>
  <c r="E296" i="2"/>
  <c r="F296" i="2"/>
  <c r="D280" i="2"/>
  <c r="E280" i="2"/>
  <c r="F280" i="2"/>
  <c r="D264" i="2"/>
  <c r="E264" i="2"/>
  <c r="F264" i="2"/>
  <c r="D248" i="2"/>
  <c r="E248" i="2"/>
  <c r="F248" i="2"/>
  <c r="D232" i="2"/>
  <c r="E232" i="2"/>
  <c r="F232" i="2"/>
  <c r="D216" i="2"/>
  <c r="E216" i="2"/>
  <c r="F216" i="2"/>
  <c r="D200" i="2"/>
  <c r="E200" i="2"/>
  <c r="F200" i="2"/>
  <c r="D184" i="2"/>
  <c r="E184" i="2"/>
  <c r="F184" i="2"/>
  <c r="D168" i="2"/>
  <c r="E168" i="2"/>
  <c r="F168" i="2"/>
  <c r="D152" i="2"/>
  <c r="E152" i="2"/>
  <c r="F152" i="2"/>
  <c r="D136" i="2"/>
  <c r="E136" i="2"/>
  <c r="F136" i="2"/>
  <c r="D120" i="2"/>
  <c r="E120" i="2"/>
  <c r="F120" i="2"/>
  <c r="D104" i="2"/>
  <c r="E104" i="2"/>
  <c r="F104" i="2"/>
  <c r="D88" i="2"/>
  <c r="E88" i="2"/>
  <c r="F88" i="2"/>
  <c r="D72" i="2"/>
  <c r="E72" i="2"/>
  <c r="F72" i="2"/>
  <c r="D56" i="2"/>
  <c r="E56" i="2"/>
  <c r="F56" i="2"/>
  <c r="D40" i="2"/>
  <c r="E40" i="2"/>
  <c r="F40" i="2"/>
  <c r="D24" i="2"/>
  <c r="E24" i="2"/>
  <c r="F24" i="2"/>
  <c r="D8" i="2"/>
  <c r="E8" i="2"/>
  <c r="F8" i="2"/>
  <c r="D294" i="2"/>
  <c r="F294" i="2"/>
  <c r="E294" i="2"/>
  <c r="D182" i="2"/>
  <c r="E182" i="2"/>
  <c r="F182" i="2"/>
  <c r="D277" i="2"/>
  <c r="F277" i="2"/>
  <c r="E277" i="2"/>
  <c r="D69" i="2"/>
  <c r="F69" i="2"/>
  <c r="E69" i="2"/>
  <c r="D295" i="2"/>
  <c r="F295" i="2"/>
  <c r="E295" i="2"/>
  <c r="D279" i="2"/>
  <c r="F279" i="2"/>
  <c r="E279" i="2"/>
  <c r="D263" i="2"/>
  <c r="F263" i="2"/>
  <c r="E263" i="2"/>
  <c r="D247" i="2"/>
  <c r="F247" i="2"/>
  <c r="E247" i="2"/>
  <c r="D231" i="2"/>
  <c r="F231" i="2"/>
  <c r="E231" i="2"/>
  <c r="D215" i="2"/>
  <c r="F215" i="2"/>
  <c r="E215" i="2"/>
  <c r="D199" i="2"/>
  <c r="F199" i="2"/>
  <c r="E199" i="2"/>
  <c r="D183" i="2"/>
  <c r="F183" i="2"/>
  <c r="E183" i="2"/>
  <c r="D167" i="2"/>
  <c r="F167" i="2"/>
  <c r="E167" i="2"/>
  <c r="D151" i="2"/>
  <c r="F151" i="2"/>
  <c r="E151" i="2"/>
  <c r="D135" i="2"/>
  <c r="F135" i="2"/>
  <c r="E135" i="2"/>
  <c r="D119" i="2"/>
  <c r="F119" i="2"/>
  <c r="E119" i="2"/>
  <c r="D103" i="2"/>
  <c r="F103" i="2"/>
  <c r="E103" i="2"/>
  <c r="D87" i="2"/>
  <c r="F87" i="2"/>
  <c r="E87" i="2"/>
  <c r="D71" i="2"/>
  <c r="F71" i="2"/>
  <c r="E71" i="2"/>
  <c r="D55" i="2"/>
  <c r="F55" i="2"/>
  <c r="E55" i="2"/>
  <c r="D39" i="2"/>
  <c r="F39" i="2"/>
  <c r="E39" i="2"/>
  <c r="D23" i="2"/>
  <c r="F23" i="2"/>
  <c r="E23" i="2"/>
  <c r="D7" i="2"/>
  <c r="F7" i="2"/>
  <c r="E7" i="2"/>
  <c r="H113" i="1"/>
  <c r="F113" i="1"/>
  <c r="G113" i="1"/>
  <c r="F80" i="1"/>
  <c r="G80" i="1"/>
  <c r="H80" i="1"/>
  <c r="F16" i="1"/>
  <c r="G16" i="1"/>
  <c r="H16" i="1"/>
  <c r="F287" i="1"/>
  <c r="G287" i="1"/>
  <c r="H287" i="1"/>
  <c r="F271" i="1"/>
  <c r="G271" i="1"/>
  <c r="H271" i="1"/>
  <c r="F255" i="1"/>
  <c r="G255" i="1"/>
  <c r="H255" i="1"/>
  <c r="F239" i="1"/>
  <c r="G239" i="1"/>
  <c r="H239" i="1"/>
  <c r="F223" i="1"/>
  <c r="G223" i="1"/>
  <c r="H223" i="1"/>
  <c r="F207" i="1"/>
  <c r="G207" i="1"/>
  <c r="H207" i="1"/>
  <c r="F191" i="1"/>
  <c r="G191" i="1"/>
  <c r="H191" i="1"/>
  <c r="F175" i="1"/>
  <c r="G175" i="1"/>
  <c r="H175" i="1"/>
  <c r="F159" i="1"/>
  <c r="G159" i="1"/>
  <c r="H159" i="1"/>
  <c r="F143" i="1"/>
  <c r="G143" i="1"/>
  <c r="H143" i="1"/>
  <c r="F127" i="1"/>
  <c r="G127" i="1"/>
  <c r="H127" i="1"/>
  <c r="F111" i="1"/>
  <c r="G111" i="1"/>
  <c r="H111" i="1"/>
  <c r="F95" i="1"/>
  <c r="G95" i="1"/>
  <c r="H95" i="1"/>
  <c r="F79" i="1"/>
  <c r="G79" i="1"/>
  <c r="H79" i="1"/>
  <c r="F63" i="1"/>
  <c r="G63" i="1"/>
  <c r="H63" i="1"/>
  <c r="F47" i="1"/>
  <c r="G47" i="1"/>
  <c r="H47" i="1"/>
  <c r="F31" i="1"/>
  <c r="G31" i="1"/>
  <c r="H31" i="1"/>
  <c r="F15" i="1"/>
  <c r="G15" i="1"/>
  <c r="H15" i="1"/>
  <c r="H225" i="1"/>
  <c r="F225" i="1"/>
  <c r="G225" i="1"/>
  <c r="F65" i="1"/>
  <c r="G65" i="1"/>
  <c r="H65" i="1"/>
  <c r="G288" i="1"/>
  <c r="H288" i="1"/>
  <c r="F288" i="1"/>
  <c r="F48" i="1"/>
  <c r="G48" i="1"/>
  <c r="H48" i="1"/>
  <c r="F286" i="1"/>
  <c r="G286" i="1"/>
  <c r="H286" i="1"/>
  <c r="F78" i="1"/>
  <c r="G78" i="1"/>
  <c r="H78" i="1"/>
  <c r="F2" i="1"/>
  <c r="H2" i="1"/>
  <c r="G2" i="1"/>
  <c r="H189" i="1"/>
  <c r="F189" i="1"/>
  <c r="G189" i="1"/>
  <c r="H173" i="1"/>
  <c r="F173" i="1"/>
  <c r="G173" i="1"/>
  <c r="H157" i="1"/>
  <c r="F157" i="1"/>
  <c r="G157" i="1"/>
  <c r="H141" i="1"/>
  <c r="F141" i="1"/>
  <c r="G141" i="1"/>
  <c r="H125" i="1"/>
  <c r="F125" i="1"/>
  <c r="G125" i="1"/>
  <c r="H109" i="1"/>
  <c r="F109" i="1"/>
  <c r="G109" i="1"/>
  <c r="H93" i="1"/>
  <c r="F93" i="1"/>
  <c r="G93" i="1"/>
  <c r="H77" i="1"/>
  <c r="F77" i="1"/>
  <c r="G77" i="1"/>
  <c r="H61" i="1"/>
  <c r="F61" i="1"/>
  <c r="G61" i="1"/>
  <c r="H45" i="1"/>
  <c r="F45" i="1"/>
  <c r="G45" i="1"/>
  <c r="H29" i="1"/>
  <c r="F29" i="1"/>
  <c r="G29" i="1"/>
  <c r="H13" i="1"/>
  <c r="F13" i="1"/>
  <c r="G13" i="1"/>
  <c r="H193" i="1"/>
  <c r="F193" i="1"/>
  <c r="G193" i="1"/>
  <c r="F112" i="1"/>
  <c r="G112" i="1"/>
  <c r="H112" i="1"/>
  <c r="F142" i="1"/>
  <c r="G142" i="1"/>
  <c r="H142" i="1"/>
  <c r="H237" i="1"/>
  <c r="F237" i="1"/>
  <c r="G237" i="1"/>
  <c r="G268" i="1"/>
  <c r="F268" i="1"/>
  <c r="H268" i="1"/>
  <c r="G236" i="1"/>
  <c r="F236" i="1"/>
  <c r="H236" i="1"/>
  <c r="G204" i="1"/>
  <c r="F204" i="1"/>
  <c r="H204" i="1"/>
  <c r="G188" i="1"/>
  <c r="F188" i="1"/>
  <c r="H188" i="1"/>
  <c r="G172" i="1"/>
  <c r="F172" i="1"/>
  <c r="H172" i="1"/>
  <c r="G156" i="1"/>
  <c r="F156" i="1"/>
  <c r="H156" i="1"/>
  <c r="G140" i="1"/>
  <c r="F140" i="1"/>
  <c r="H140" i="1"/>
  <c r="G124" i="1"/>
  <c r="F124" i="1"/>
  <c r="H124" i="1"/>
  <c r="G108" i="1"/>
  <c r="F108" i="1"/>
  <c r="H108" i="1"/>
  <c r="G92" i="1"/>
  <c r="F92" i="1"/>
  <c r="H92" i="1"/>
  <c r="G76" i="1"/>
  <c r="F76" i="1"/>
  <c r="H76" i="1"/>
  <c r="G60" i="1"/>
  <c r="F60" i="1"/>
  <c r="H60" i="1"/>
  <c r="G44" i="1"/>
  <c r="F44" i="1"/>
  <c r="H44" i="1"/>
  <c r="G28" i="1"/>
  <c r="F28" i="1"/>
  <c r="H28" i="1"/>
  <c r="G12" i="1"/>
  <c r="F12" i="1"/>
  <c r="H12" i="1"/>
  <c r="H241" i="1"/>
  <c r="F241" i="1"/>
  <c r="G241" i="1"/>
  <c r="F192" i="1"/>
  <c r="G192" i="1"/>
  <c r="H192" i="1"/>
  <c r="F144" i="1"/>
  <c r="G144" i="1"/>
  <c r="H144" i="1"/>
  <c r="F32" i="1"/>
  <c r="G32" i="1"/>
  <c r="H32" i="1"/>
  <c r="F206" i="1"/>
  <c r="G206" i="1"/>
  <c r="H206" i="1"/>
  <c r="F158" i="1"/>
  <c r="G158" i="1"/>
  <c r="H158" i="1"/>
  <c r="H205" i="1"/>
  <c r="F205" i="1"/>
  <c r="G205" i="1"/>
  <c r="G284" i="1"/>
  <c r="F284" i="1"/>
  <c r="H284" i="1"/>
  <c r="G220" i="1"/>
  <c r="F220" i="1"/>
  <c r="H220" i="1"/>
  <c r="F299" i="1"/>
  <c r="G299" i="1"/>
  <c r="H299" i="1"/>
  <c r="F283" i="1"/>
  <c r="G283" i="1"/>
  <c r="H283" i="1"/>
  <c r="F267" i="1"/>
  <c r="G267" i="1"/>
  <c r="H267" i="1"/>
  <c r="F251" i="1"/>
  <c r="G251" i="1"/>
  <c r="H251" i="1"/>
  <c r="F235" i="1"/>
  <c r="G235" i="1"/>
  <c r="H235" i="1"/>
  <c r="F219" i="1"/>
  <c r="G219" i="1"/>
  <c r="H219" i="1"/>
  <c r="F203" i="1"/>
  <c r="G203" i="1"/>
  <c r="H203" i="1"/>
  <c r="F187" i="1"/>
  <c r="G187" i="1"/>
  <c r="H187" i="1"/>
  <c r="F171" i="1"/>
  <c r="G171" i="1"/>
  <c r="H171" i="1"/>
  <c r="F155" i="1"/>
  <c r="G155" i="1"/>
  <c r="H155" i="1"/>
  <c r="F139" i="1"/>
  <c r="G139" i="1"/>
  <c r="H139" i="1"/>
  <c r="F123" i="1"/>
  <c r="G123" i="1"/>
  <c r="H123" i="1"/>
  <c r="F107" i="1"/>
  <c r="G107" i="1"/>
  <c r="H107" i="1"/>
  <c r="F91" i="1"/>
  <c r="G91" i="1"/>
  <c r="H91" i="1"/>
  <c r="F75" i="1"/>
  <c r="G75" i="1"/>
  <c r="H75" i="1"/>
  <c r="F59" i="1"/>
  <c r="G59" i="1"/>
  <c r="H59" i="1"/>
  <c r="F43" i="1"/>
  <c r="G43" i="1"/>
  <c r="H43" i="1"/>
  <c r="F27" i="1"/>
  <c r="G27" i="1"/>
  <c r="H27" i="1"/>
  <c r="F11" i="1"/>
  <c r="G11" i="1"/>
  <c r="H11" i="1"/>
  <c r="H257" i="1"/>
  <c r="F257" i="1"/>
  <c r="G257" i="1"/>
  <c r="F224" i="1"/>
  <c r="G224" i="1"/>
  <c r="H224" i="1"/>
  <c r="F160" i="1"/>
  <c r="G160" i="1"/>
  <c r="H160" i="1"/>
  <c r="F174" i="1"/>
  <c r="G174" i="1"/>
  <c r="H174" i="1"/>
  <c r="F94" i="1"/>
  <c r="G94" i="1"/>
  <c r="H94" i="1"/>
  <c r="F250" i="1"/>
  <c r="G250" i="1"/>
  <c r="H250" i="1"/>
  <c r="F234" i="1"/>
  <c r="G234" i="1"/>
  <c r="H234" i="1"/>
  <c r="F218" i="1"/>
  <c r="G218" i="1"/>
  <c r="H218" i="1"/>
  <c r="F202" i="1"/>
  <c r="G202" i="1"/>
  <c r="H202" i="1"/>
  <c r="F186" i="1"/>
  <c r="G186" i="1"/>
  <c r="H186" i="1"/>
  <c r="F170" i="1"/>
  <c r="G170" i="1"/>
  <c r="H170" i="1"/>
  <c r="F154" i="1"/>
  <c r="G154" i="1"/>
  <c r="H154" i="1"/>
  <c r="F138" i="1"/>
  <c r="G138" i="1"/>
  <c r="H138" i="1"/>
  <c r="F122" i="1"/>
  <c r="G122" i="1"/>
  <c r="H122" i="1"/>
  <c r="F106" i="1"/>
  <c r="G106" i="1"/>
  <c r="H106" i="1"/>
  <c r="F90" i="1"/>
  <c r="G90" i="1"/>
  <c r="H90" i="1"/>
  <c r="F74" i="1"/>
  <c r="G74" i="1"/>
  <c r="H74" i="1"/>
  <c r="F58" i="1"/>
  <c r="G58" i="1"/>
  <c r="H58" i="1"/>
  <c r="F42" i="1"/>
  <c r="G42" i="1"/>
  <c r="H42" i="1"/>
  <c r="F26" i="1"/>
  <c r="G26" i="1"/>
  <c r="H26" i="1"/>
  <c r="F10" i="1"/>
  <c r="G10" i="1"/>
  <c r="H10" i="1"/>
  <c r="H97" i="1"/>
  <c r="F97" i="1"/>
  <c r="G97" i="1"/>
  <c r="H17" i="1"/>
  <c r="F17" i="1"/>
  <c r="G17" i="1"/>
  <c r="F254" i="1"/>
  <c r="G254" i="1"/>
  <c r="H254" i="1"/>
  <c r="F126" i="1"/>
  <c r="G126" i="1"/>
  <c r="H126" i="1"/>
  <c r="G252" i="1"/>
  <c r="F252" i="1"/>
  <c r="H252" i="1"/>
  <c r="F298" i="1"/>
  <c r="G298" i="1"/>
  <c r="H298" i="1"/>
  <c r="F282" i="1"/>
  <c r="G282" i="1"/>
  <c r="H282" i="1"/>
  <c r="F297" i="1"/>
  <c r="G297" i="1"/>
  <c r="H297" i="1"/>
  <c r="H281" i="1"/>
  <c r="F281" i="1"/>
  <c r="G281" i="1"/>
  <c r="H265" i="1"/>
  <c r="F265" i="1"/>
  <c r="G265" i="1"/>
  <c r="H249" i="1"/>
  <c r="F249" i="1"/>
  <c r="G249" i="1"/>
  <c r="H233" i="1"/>
  <c r="F233" i="1"/>
  <c r="G233" i="1"/>
  <c r="H217" i="1"/>
  <c r="F217" i="1"/>
  <c r="G217" i="1"/>
  <c r="H201" i="1"/>
  <c r="F201" i="1"/>
  <c r="G201" i="1"/>
  <c r="F185" i="1"/>
  <c r="G185" i="1"/>
  <c r="H185" i="1"/>
  <c r="F169" i="1"/>
  <c r="G169" i="1"/>
  <c r="H169" i="1"/>
  <c r="F153" i="1"/>
  <c r="G153" i="1"/>
  <c r="H153" i="1"/>
  <c r="H137" i="1"/>
  <c r="F137" i="1"/>
  <c r="G137" i="1"/>
  <c r="H121" i="1"/>
  <c r="F121" i="1"/>
  <c r="G121" i="1"/>
  <c r="H105" i="1"/>
  <c r="F105" i="1"/>
  <c r="G105" i="1"/>
  <c r="F89" i="1"/>
  <c r="G89" i="1"/>
  <c r="H89" i="1"/>
  <c r="F73" i="1"/>
  <c r="G73" i="1"/>
  <c r="H73" i="1"/>
  <c r="F57" i="1"/>
  <c r="G57" i="1"/>
  <c r="H57" i="1"/>
  <c r="H41" i="1"/>
  <c r="F41" i="1"/>
  <c r="G41" i="1"/>
  <c r="F25" i="1"/>
  <c r="G25" i="1"/>
  <c r="H25" i="1"/>
  <c r="F9" i="1"/>
  <c r="G9" i="1"/>
  <c r="H9" i="1"/>
  <c r="H161" i="1"/>
  <c r="F161" i="1"/>
  <c r="G161" i="1"/>
  <c r="F176" i="1"/>
  <c r="G176" i="1"/>
  <c r="H176" i="1"/>
  <c r="F190" i="1"/>
  <c r="G190" i="1"/>
  <c r="H190" i="1"/>
  <c r="H221" i="1"/>
  <c r="F221" i="1"/>
  <c r="G221" i="1"/>
  <c r="G300" i="1"/>
  <c r="F300" i="1"/>
  <c r="H300" i="1"/>
  <c r="F266" i="1"/>
  <c r="G266" i="1"/>
  <c r="H266" i="1"/>
  <c r="G296" i="1"/>
  <c r="H296" i="1"/>
  <c r="F296" i="1"/>
  <c r="G280" i="1"/>
  <c r="H280" i="1"/>
  <c r="F280" i="1"/>
  <c r="G264" i="1"/>
  <c r="H264" i="1"/>
  <c r="F264" i="1"/>
  <c r="G248" i="1"/>
  <c r="H248" i="1"/>
  <c r="F248" i="1"/>
  <c r="G232" i="1"/>
  <c r="H232" i="1"/>
  <c r="F232" i="1"/>
  <c r="G216" i="1"/>
  <c r="H216" i="1"/>
  <c r="F216" i="1"/>
  <c r="G200" i="1"/>
  <c r="H200" i="1"/>
  <c r="F200" i="1"/>
  <c r="G184" i="1"/>
  <c r="H184" i="1"/>
  <c r="F184" i="1"/>
  <c r="G168" i="1"/>
  <c r="H168" i="1"/>
  <c r="F168" i="1"/>
  <c r="G152" i="1"/>
  <c r="H152" i="1"/>
  <c r="F152" i="1"/>
  <c r="G136" i="1"/>
  <c r="H136" i="1"/>
  <c r="F136" i="1"/>
  <c r="G120" i="1"/>
  <c r="H120" i="1"/>
  <c r="F120" i="1"/>
  <c r="G104" i="1"/>
  <c r="H104" i="1"/>
  <c r="F104" i="1"/>
  <c r="G88" i="1"/>
  <c r="H88" i="1"/>
  <c r="F88" i="1"/>
  <c r="G72" i="1"/>
  <c r="H72" i="1"/>
  <c r="F72" i="1"/>
  <c r="G56" i="1"/>
  <c r="H56" i="1"/>
  <c r="F56" i="1"/>
  <c r="G40" i="1"/>
  <c r="H40" i="1"/>
  <c r="F40" i="1"/>
  <c r="G24" i="1"/>
  <c r="H24" i="1"/>
  <c r="F24" i="1"/>
  <c r="G8" i="1"/>
  <c r="H8" i="1"/>
  <c r="F8" i="1"/>
  <c r="H49" i="1"/>
  <c r="F49" i="1"/>
  <c r="G49" i="1"/>
  <c r="F128" i="1"/>
  <c r="G128" i="1"/>
  <c r="H128" i="1"/>
  <c r="F110" i="1"/>
  <c r="G110" i="1"/>
  <c r="H110" i="1"/>
  <c r="F14" i="1"/>
  <c r="G14" i="1"/>
  <c r="H14" i="1"/>
  <c r="H285" i="1"/>
  <c r="F285" i="1"/>
  <c r="G285" i="1"/>
  <c r="F295" i="1"/>
  <c r="G295" i="1"/>
  <c r="H295" i="1"/>
  <c r="F279" i="1"/>
  <c r="G279" i="1"/>
  <c r="H279" i="1"/>
  <c r="F247" i="1"/>
  <c r="G247" i="1"/>
  <c r="H247" i="1"/>
  <c r="F231" i="1"/>
  <c r="G231" i="1"/>
  <c r="H231" i="1"/>
  <c r="F215" i="1"/>
  <c r="G215" i="1"/>
  <c r="H215" i="1"/>
  <c r="F199" i="1"/>
  <c r="G199" i="1"/>
  <c r="H199" i="1"/>
  <c r="F183" i="1"/>
  <c r="G183" i="1"/>
  <c r="H183" i="1"/>
  <c r="F167" i="1"/>
  <c r="G167" i="1"/>
  <c r="H167" i="1"/>
  <c r="F151" i="1"/>
  <c r="G151" i="1"/>
  <c r="H151" i="1"/>
  <c r="F135" i="1"/>
  <c r="G135" i="1"/>
  <c r="H135" i="1"/>
  <c r="F119" i="1"/>
  <c r="G119" i="1"/>
  <c r="H119" i="1"/>
  <c r="F103" i="1"/>
  <c r="G103" i="1"/>
  <c r="H103" i="1"/>
  <c r="F87" i="1"/>
  <c r="G87" i="1"/>
  <c r="H87" i="1"/>
  <c r="F71" i="1"/>
  <c r="G71" i="1"/>
  <c r="H71" i="1"/>
  <c r="F55" i="1"/>
  <c r="G55" i="1"/>
  <c r="H55" i="1"/>
  <c r="F39" i="1"/>
  <c r="G39" i="1"/>
  <c r="H39" i="1"/>
  <c r="F23" i="1"/>
  <c r="G23" i="1"/>
  <c r="H23" i="1"/>
  <c r="F7" i="1"/>
  <c r="G7" i="1"/>
  <c r="H7" i="1"/>
  <c r="H177" i="1"/>
  <c r="F177" i="1"/>
  <c r="G177" i="1"/>
  <c r="H81" i="1"/>
  <c r="F81" i="1"/>
  <c r="G81" i="1"/>
  <c r="G208" i="1"/>
  <c r="F208" i="1"/>
  <c r="H208" i="1"/>
  <c r="F222" i="1"/>
  <c r="G222" i="1"/>
  <c r="H222" i="1"/>
  <c r="F46" i="1"/>
  <c r="G46" i="1"/>
  <c r="H46" i="1"/>
  <c r="F263" i="1"/>
  <c r="G263" i="1"/>
  <c r="H263" i="1"/>
  <c r="F294" i="1"/>
  <c r="G294" i="1"/>
  <c r="H294" i="1"/>
  <c r="F278" i="1"/>
  <c r="G278" i="1"/>
  <c r="H278" i="1"/>
  <c r="F246" i="1"/>
  <c r="G246" i="1"/>
  <c r="H246" i="1"/>
  <c r="F230" i="1"/>
  <c r="G230" i="1"/>
  <c r="H230" i="1"/>
  <c r="F214" i="1"/>
  <c r="G214" i="1"/>
  <c r="H214" i="1"/>
  <c r="F198" i="1"/>
  <c r="G198" i="1"/>
  <c r="H198" i="1"/>
  <c r="F182" i="1"/>
  <c r="G182" i="1"/>
  <c r="H182" i="1"/>
  <c r="F166" i="1"/>
  <c r="G166" i="1"/>
  <c r="H166" i="1"/>
  <c r="F150" i="1"/>
  <c r="G150" i="1"/>
  <c r="H150" i="1"/>
  <c r="F134" i="1"/>
  <c r="G134" i="1"/>
  <c r="H134" i="1"/>
  <c r="F118" i="1"/>
  <c r="G118" i="1"/>
  <c r="H118" i="1"/>
  <c r="F102" i="1"/>
  <c r="G102" i="1"/>
  <c r="H102" i="1"/>
  <c r="F86" i="1"/>
  <c r="G86" i="1"/>
  <c r="H86" i="1"/>
  <c r="F70" i="1"/>
  <c r="G70" i="1"/>
  <c r="H70" i="1"/>
  <c r="F54" i="1"/>
  <c r="G54" i="1"/>
  <c r="H54" i="1"/>
  <c r="F38" i="1"/>
  <c r="G38" i="1"/>
  <c r="H38" i="1"/>
  <c r="F22" i="1"/>
  <c r="G22" i="1"/>
  <c r="H22" i="1"/>
  <c r="F6" i="1"/>
  <c r="G6" i="1"/>
  <c r="H6" i="1"/>
  <c r="H129" i="1"/>
  <c r="F129" i="1"/>
  <c r="G129" i="1"/>
  <c r="H33" i="1"/>
  <c r="F33" i="1"/>
  <c r="G33" i="1"/>
  <c r="F272" i="1"/>
  <c r="G272" i="1"/>
  <c r="H272" i="1"/>
  <c r="F30" i="1"/>
  <c r="G30" i="1"/>
  <c r="H30" i="1"/>
  <c r="H269" i="1"/>
  <c r="F269" i="1"/>
  <c r="G269" i="1"/>
  <c r="F262" i="1"/>
  <c r="G262" i="1"/>
  <c r="H262" i="1"/>
  <c r="F293" i="1"/>
  <c r="G293" i="1"/>
  <c r="H293" i="1"/>
  <c r="F277" i="1"/>
  <c r="G277" i="1"/>
  <c r="H277" i="1"/>
  <c r="F261" i="1"/>
  <c r="H261" i="1"/>
  <c r="G261" i="1"/>
  <c r="H245" i="1"/>
  <c r="F245" i="1"/>
  <c r="G245" i="1"/>
  <c r="F229" i="1"/>
  <c r="G229" i="1"/>
  <c r="H229" i="1"/>
  <c r="F213" i="1"/>
  <c r="G213" i="1"/>
  <c r="H213" i="1"/>
  <c r="F197" i="1"/>
  <c r="G197" i="1"/>
  <c r="H197" i="1"/>
  <c r="F181" i="1"/>
  <c r="G181" i="1"/>
  <c r="H181" i="1"/>
  <c r="F165" i="1"/>
  <c r="G165" i="1"/>
  <c r="H165" i="1"/>
  <c r="F149" i="1"/>
  <c r="G149" i="1"/>
  <c r="H149" i="1"/>
  <c r="F133" i="1"/>
  <c r="G133" i="1"/>
  <c r="H133" i="1"/>
  <c r="F117" i="1"/>
  <c r="G117" i="1"/>
  <c r="H117" i="1"/>
  <c r="F101" i="1"/>
  <c r="G101" i="1"/>
  <c r="H101" i="1"/>
  <c r="F85" i="1"/>
  <c r="G85" i="1"/>
  <c r="H85" i="1"/>
  <c r="F69" i="1"/>
  <c r="G69" i="1"/>
  <c r="H69" i="1"/>
  <c r="F53" i="1"/>
  <c r="G53" i="1"/>
  <c r="H53" i="1"/>
  <c r="F37" i="1"/>
  <c r="G37" i="1"/>
  <c r="H37" i="1"/>
  <c r="F21" i="1"/>
  <c r="G21" i="1"/>
  <c r="H21" i="1"/>
  <c r="F5" i="1"/>
  <c r="G5" i="1"/>
  <c r="H5" i="1"/>
  <c r="H289" i="1"/>
  <c r="F289" i="1"/>
  <c r="G289" i="1"/>
  <c r="F256" i="1"/>
  <c r="G256" i="1"/>
  <c r="H256" i="1"/>
  <c r="F96" i="1"/>
  <c r="G96" i="1"/>
  <c r="H96" i="1"/>
  <c r="F238" i="1"/>
  <c r="G238" i="1"/>
  <c r="H238" i="1"/>
  <c r="H253" i="1"/>
  <c r="G253" i="1"/>
  <c r="F253" i="1"/>
  <c r="G260" i="1"/>
  <c r="F260" i="1"/>
  <c r="H260" i="1"/>
  <c r="F228" i="1"/>
  <c r="G228" i="1"/>
  <c r="H228" i="1"/>
  <c r="G212" i="1"/>
  <c r="F212" i="1"/>
  <c r="H212" i="1"/>
  <c r="G196" i="1"/>
  <c r="F196" i="1"/>
  <c r="H196" i="1"/>
  <c r="G180" i="1"/>
  <c r="F180" i="1"/>
  <c r="H180" i="1"/>
  <c r="G164" i="1"/>
  <c r="F164" i="1"/>
  <c r="H164" i="1"/>
  <c r="F148" i="1"/>
  <c r="G148" i="1"/>
  <c r="H148" i="1"/>
  <c r="G132" i="1"/>
  <c r="F132" i="1"/>
  <c r="H132" i="1"/>
  <c r="G116" i="1"/>
  <c r="F116" i="1"/>
  <c r="H116" i="1"/>
  <c r="G100" i="1"/>
  <c r="F100" i="1"/>
  <c r="H100" i="1"/>
  <c r="G84" i="1"/>
  <c r="F84" i="1"/>
  <c r="H84" i="1"/>
  <c r="G68" i="1"/>
  <c r="F68" i="1"/>
  <c r="H68" i="1"/>
  <c r="G52" i="1"/>
  <c r="F52" i="1"/>
  <c r="H52" i="1"/>
  <c r="G36" i="1"/>
  <c r="F36" i="1"/>
  <c r="H36" i="1"/>
  <c r="G20" i="1"/>
  <c r="F20" i="1"/>
  <c r="H20" i="1"/>
  <c r="F4" i="1"/>
  <c r="G4" i="1"/>
  <c r="H4" i="1"/>
  <c r="H273" i="1"/>
  <c r="F273" i="1"/>
  <c r="G273" i="1"/>
  <c r="F64" i="1"/>
  <c r="G64" i="1"/>
  <c r="H64" i="1"/>
  <c r="F270" i="1"/>
  <c r="G270" i="1"/>
  <c r="H270" i="1"/>
  <c r="F292" i="1"/>
  <c r="G292" i="1"/>
  <c r="H292" i="1"/>
  <c r="F276" i="1"/>
  <c r="G276" i="1"/>
  <c r="H276" i="1"/>
  <c r="F259" i="1"/>
  <c r="G259" i="1"/>
  <c r="H259" i="1"/>
  <c r="F243" i="1"/>
  <c r="G243" i="1"/>
  <c r="H243" i="1"/>
  <c r="F227" i="1"/>
  <c r="G227" i="1"/>
  <c r="H227" i="1"/>
  <c r="F211" i="1"/>
  <c r="G211" i="1"/>
  <c r="H211" i="1"/>
  <c r="F195" i="1"/>
  <c r="G195" i="1"/>
  <c r="H195" i="1"/>
  <c r="F179" i="1"/>
  <c r="G179" i="1"/>
  <c r="H179" i="1"/>
  <c r="F163" i="1"/>
  <c r="G163" i="1"/>
  <c r="H163" i="1"/>
  <c r="F147" i="1"/>
  <c r="G147" i="1"/>
  <c r="H147" i="1"/>
  <c r="F131" i="1"/>
  <c r="G131" i="1"/>
  <c r="H131" i="1"/>
  <c r="F115" i="1"/>
  <c r="G115" i="1"/>
  <c r="H115" i="1"/>
  <c r="F99" i="1"/>
  <c r="G99" i="1"/>
  <c r="H99" i="1"/>
  <c r="F83" i="1"/>
  <c r="G83" i="1"/>
  <c r="H83" i="1"/>
  <c r="F67" i="1"/>
  <c r="G67" i="1"/>
  <c r="H67" i="1"/>
  <c r="F51" i="1"/>
  <c r="G51" i="1"/>
  <c r="H51" i="1"/>
  <c r="F35" i="1"/>
  <c r="G35" i="1"/>
  <c r="H35" i="1"/>
  <c r="F19" i="1"/>
  <c r="G19" i="1"/>
  <c r="H19" i="1"/>
  <c r="F3" i="1"/>
  <c r="G3" i="1"/>
  <c r="H3" i="1"/>
  <c r="H209" i="1"/>
  <c r="F209" i="1"/>
  <c r="G209" i="1"/>
  <c r="H145" i="1"/>
  <c r="F145" i="1"/>
  <c r="G145" i="1"/>
  <c r="F240" i="1"/>
  <c r="G240" i="1"/>
  <c r="H240" i="1"/>
  <c r="F62" i="1"/>
  <c r="G62" i="1"/>
  <c r="H62" i="1"/>
  <c r="F244" i="1"/>
  <c r="G244" i="1"/>
  <c r="H244" i="1"/>
  <c r="F291" i="1"/>
  <c r="G291" i="1"/>
  <c r="H291" i="1"/>
  <c r="F275" i="1"/>
  <c r="G275" i="1"/>
  <c r="H275" i="1"/>
  <c r="F290" i="1"/>
  <c r="G290" i="1"/>
  <c r="H290" i="1"/>
  <c r="F274" i="1"/>
  <c r="H274" i="1"/>
  <c r="G274" i="1"/>
  <c r="F258" i="1"/>
  <c r="G258" i="1"/>
  <c r="H258" i="1"/>
  <c r="F242" i="1"/>
  <c r="G242" i="1"/>
  <c r="H242" i="1"/>
  <c r="F226" i="1"/>
  <c r="G226" i="1"/>
  <c r="H226" i="1"/>
  <c r="F210" i="1"/>
  <c r="H210" i="1"/>
  <c r="G210" i="1"/>
  <c r="F194" i="1"/>
  <c r="G194" i="1"/>
  <c r="H194" i="1"/>
  <c r="F178" i="1"/>
  <c r="G178" i="1"/>
  <c r="H178" i="1"/>
  <c r="F162" i="1"/>
  <c r="H162" i="1"/>
  <c r="G162" i="1"/>
  <c r="F146" i="1"/>
  <c r="G146" i="1"/>
  <c r="H146" i="1"/>
  <c r="F130" i="1"/>
  <c r="G130" i="1"/>
  <c r="H130" i="1"/>
  <c r="F114" i="1"/>
  <c r="G114" i="1"/>
  <c r="H114" i="1"/>
  <c r="F98" i="1"/>
  <c r="G98" i="1"/>
  <c r="H98" i="1"/>
  <c r="F82" i="1"/>
  <c r="G82" i="1"/>
  <c r="H82" i="1"/>
  <c r="F66" i="1"/>
  <c r="G66" i="1"/>
  <c r="H66" i="1"/>
  <c r="F50" i="1"/>
  <c r="G50" i="1"/>
  <c r="H50" i="1"/>
  <c r="F34" i="1"/>
  <c r="G34" i="1"/>
  <c r="H34" i="1"/>
  <c r="F18" i="1"/>
  <c r="G18" i="1"/>
  <c r="H18" i="1"/>
</calcChain>
</file>

<file path=xl/sharedStrings.xml><?xml version="1.0" encoding="utf-8"?>
<sst xmlns="http://schemas.openxmlformats.org/spreadsheetml/2006/main" count="4792" uniqueCount="1600">
  <si>
    <t>Ntotal (g/100g)</t>
  </si>
  <si>
    <t>Ctotal (g/100g)</t>
  </si>
  <si>
    <t>250322 RaquelEsteban 2768-1</t>
  </si>
  <si>
    <t>250322 RaquelEsteban 2768-2</t>
  </si>
  <si>
    <t>250322 RaquelEsteban 2768-3</t>
  </si>
  <si>
    <t>250322 RaquelEsteban 2768-4</t>
  </si>
  <si>
    <t>250322 RaquelEsteban 2768-5</t>
  </si>
  <si>
    <t>250322 RaquelEsteban 2768-6</t>
  </si>
  <si>
    <t>250322 RaquelEsteban 2768-7</t>
  </si>
  <si>
    <t>250322 RaquelEsteban 2768-8</t>
  </si>
  <si>
    <t>250322 RaquelEsteban 2768-9</t>
  </si>
  <si>
    <t>250322 RaquelEsteban 2768-10</t>
  </si>
  <si>
    <t>250322 RaquelEsteban 2768-11</t>
  </si>
  <si>
    <t>250322 RaquelEsteban 2768-12</t>
  </si>
  <si>
    <t>250322 RaquelEsteban 2768-13</t>
  </si>
  <si>
    <t>250322 RaquelEsteban 2768-14</t>
  </si>
  <si>
    <t>250322 RaquelEsteban 2768-15</t>
  </si>
  <si>
    <t>250322 RaquelEsteban 2768-16</t>
  </si>
  <si>
    <t>250322 RaquelEsteban 2768-17</t>
  </si>
  <si>
    <t>250322 RaquelEsteban 2768-18</t>
  </si>
  <si>
    <t>250322 RaquelEsteban 2768-19</t>
  </si>
  <si>
    <t>250322 RaquelEsteban 2768-20</t>
  </si>
  <si>
    <t>250322 RaquelEsteban 2768-21</t>
  </si>
  <si>
    <t>250322 RaquelEsteban 2768-22</t>
  </si>
  <si>
    <t>250322 RaquelEsteban 2768-23</t>
  </si>
  <si>
    <t>250322 RaquelEsteban 2768-24</t>
  </si>
  <si>
    <t>250322 RaquelEsteban 2768-25</t>
  </si>
  <si>
    <t>250322 RaquelEsteban 2768-26</t>
  </si>
  <si>
    <t>250322 RaquelEsteban 2768-27</t>
  </si>
  <si>
    <t>250322 RaquelEsteban 2768-28</t>
  </si>
  <si>
    <t>250322 RaquelEsteban 2768-29</t>
  </si>
  <si>
    <t>250322 RaquelEsteban 2768-30</t>
  </si>
  <si>
    <t>250322 RaquelEsteban 2768-31</t>
  </si>
  <si>
    <t>250322 RaquelEsteban 2768-32</t>
  </si>
  <si>
    <t>250322 RaquelEsteban 2768-33</t>
  </si>
  <si>
    <t>250322 RaquelEsteban 2768-34</t>
  </si>
  <si>
    <t>250322 RaquelEsteban 2768-35</t>
  </si>
  <si>
    <t>250322 RaquelEsteban 2768-36</t>
  </si>
  <si>
    <t>250322 RaquelEsteban 2768-37</t>
  </si>
  <si>
    <t>250322 RaquelEsteban 2768-38</t>
  </si>
  <si>
    <t>250322 RaquelEsteban 2768-39</t>
  </si>
  <si>
    <t>250322 RaquelEsteban 2768-40</t>
  </si>
  <si>
    <t>250322 RaquelEsteban 2768-41</t>
  </si>
  <si>
    <t>250322 RaquelEsteban 2768-42</t>
  </si>
  <si>
    <t>250322 RaquelEsteban 2768-43</t>
  </si>
  <si>
    <t>250322 RaquelEsteban 2768-44</t>
  </si>
  <si>
    <t>250322 RaquelEsteban 2768-45</t>
  </si>
  <si>
    <t>250322 RaquelEsteban 2768-46</t>
  </si>
  <si>
    <t>250322 RaquelEsteban 2768-47</t>
  </si>
  <si>
    <t>250322 RaquelEsteban 2768-48</t>
  </si>
  <si>
    <t>250322 RaquelEsteban 2768-49</t>
  </si>
  <si>
    <t>250322 RaquelEsteban 2768-50</t>
  </si>
  <si>
    <t>250322 RaquelEsteban 2768-51</t>
  </si>
  <si>
    <t>250322 RaquelEsteban 2768-52</t>
  </si>
  <si>
    <t>250322 RaquelEsteban 2768-53</t>
  </si>
  <si>
    <t>250322 RaquelEsteban 2768-54</t>
  </si>
  <si>
    <t>250322 RaquelEsteban 2768-55</t>
  </si>
  <si>
    <t>250322 RaquelEsteban 2768-56</t>
  </si>
  <si>
    <t>250322 RaquelEsteban 2768-57</t>
  </si>
  <si>
    <t>250322 RaquelEsteban 2768-58</t>
  </si>
  <si>
    <t>250322 RaquelEsteban 2768-59</t>
  </si>
  <si>
    <t>250322 RaquelEsteban 2768-60</t>
  </si>
  <si>
    <t>250322 RaquelEsteban 2768-61</t>
  </si>
  <si>
    <t>250322 RaquelEsteban 2768-62</t>
  </si>
  <si>
    <t>250322 RaquelEsteban 2768-63</t>
  </si>
  <si>
    <t>250322 RaquelEsteban 2768-64</t>
  </si>
  <si>
    <t>250322 RaquelEsteban 2768-65</t>
  </si>
  <si>
    <t>250322 RaquelEsteban 2768-66</t>
  </si>
  <si>
    <t>250322 RaquelEsteban 2768-67</t>
  </si>
  <si>
    <t>250322 RaquelEsteban 2768-68</t>
  </si>
  <si>
    <t>250322 RaquelEsteban 2768-69</t>
  </si>
  <si>
    <t>250322 RaquelEsteban 2768-71</t>
  </si>
  <si>
    <t>250322 RaquelEsteban 2768-72</t>
  </si>
  <si>
    <t>250322 RaquelEsteban 2768-73</t>
  </si>
  <si>
    <t>250322 RaquelEsteban 2768-74</t>
  </si>
  <si>
    <t>250322 RaquelEsteban 2768-75</t>
  </si>
  <si>
    <t>250322 RaquelEsteban 2768-76</t>
  </si>
  <si>
    <t>250322 RaquelEsteban 2768-77</t>
  </si>
  <si>
    <t>250322 RaquelEsteban 2768-78</t>
  </si>
  <si>
    <t>250322 RaquelEsteban 2768-79</t>
  </si>
  <si>
    <t>250322 RaquelEsteban 2768-80</t>
  </si>
  <si>
    <t>250322 RaquelEsteban 2768-81</t>
  </si>
  <si>
    <t>250322 RaquelEsteban 2768-82</t>
  </si>
  <si>
    <t>250322 RaquelEsteban 2768-83</t>
  </si>
  <si>
    <t>250322 RaquelEsteban 2768-84</t>
  </si>
  <si>
    <t>250322 RaquelEsteban 2768-85</t>
  </si>
  <si>
    <t>250322 RaquelEsteban 2768-86</t>
  </si>
  <si>
    <t>250322 RaquelEsteban 2768-87</t>
  </si>
  <si>
    <t>250322 RaquelEsteban 2768-88</t>
  </si>
  <si>
    <t>250322 RaquelEsteban 2768-89</t>
  </si>
  <si>
    <t>250322 RaquelEsteban 2768-90</t>
  </si>
  <si>
    <t>250322 RaquelEsteban 2768-91</t>
  </si>
  <si>
    <t>250322 RaquelEsteban 2768-92</t>
  </si>
  <si>
    <t>250322 RaquelEsteban 2768-93</t>
  </si>
  <si>
    <t>250322 RaquelEsteban 2768-94</t>
  </si>
  <si>
    <t>250322 RaquelEsteban 2768-95</t>
  </si>
  <si>
    <t>250322 RaquelEsteban 2768-96</t>
  </si>
  <si>
    <t>250322 RaquelEsteban 2768-97</t>
  </si>
  <si>
    <t>250322 RaquelEsteban 2768-98</t>
  </si>
  <si>
    <t>250322 RaquelEsteban 2768-99</t>
  </si>
  <si>
    <t>250322 RaquelEsteban 2768-100</t>
  </si>
  <si>
    <t>250322 RaquelEsteban 2768-101</t>
  </si>
  <si>
    <t>250322 RaquelEsteban 2768-102</t>
  </si>
  <si>
    <t>250322 RaquelEsteban 2768-103</t>
  </si>
  <si>
    <t>250322 RaquelEsteban 2768-104</t>
  </si>
  <si>
    <t>250322 RaquelEsteban 2768-105</t>
  </si>
  <si>
    <t>250322 RaquelEsteban 2768-106</t>
  </si>
  <si>
    <t>250322 RaquelEsteban 2768-107</t>
  </si>
  <si>
    <t>250322 RaquelEsteban 2768-108</t>
  </si>
  <si>
    <t>250322 RaquelEsteban 2768-109</t>
  </si>
  <si>
    <t>250322 RaquelEsteban 2768-110</t>
  </si>
  <si>
    <t>250322 RaquelEsteban 2768-111</t>
  </si>
  <si>
    <t>250322 RaquelEsteban 2768-112</t>
  </si>
  <si>
    <t>250322 RaquelEsteban 2768-113</t>
  </si>
  <si>
    <t>250322 RaquelEsteban 2768-114</t>
  </si>
  <si>
    <t>250322 RaquelEsteban 2768-115</t>
  </si>
  <si>
    <t>250322 RaquelEsteban 2768-116</t>
  </si>
  <si>
    <t>250322 RaquelEsteban 2768-117</t>
  </si>
  <si>
    <t>250322 RaquelEsteban 2768-118</t>
  </si>
  <si>
    <t>250322 RaquelEsteban 2768-119</t>
  </si>
  <si>
    <t>250322 RaquelEsteban 2768-120</t>
  </si>
  <si>
    <t>250322 RaquelEsteban 2768-121</t>
  </si>
  <si>
    <t>250322 RaquelEsteban 2768-122</t>
  </si>
  <si>
    <t>250322 RaquelEsteban 2768-123</t>
  </si>
  <si>
    <t>250322 RaquelEsteban 2768-124</t>
  </si>
  <si>
    <t>250322 RaquelEsteban 2768-125</t>
  </si>
  <si>
    <t>250322 RaquelEsteban 2768-126</t>
  </si>
  <si>
    <t>250322 RaquelEsteban 2768-127</t>
  </si>
  <si>
    <t>250322 RaquelEsteban 2768-128</t>
  </si>
  <si>
    <t>250322 RaquelEsteban 2768-129</t>
  </si>
  <si>
    <t>250322 RaquelEsteban 2768-130</t>
  </si>
  <si>
    <t>250322 RaquelEsteban 2768-131</t>
  </si>
  <si>
    <t>250322 RaquelEsteban 2768-132</t>
  </si>
  <si>
    <t>250322 RaquelEsteban 2768-133</t>
  </si>
  <si>
    <t>250322 RaquelEsteban 2768-134</t>
  </si>
  <si>
    <t>250322 RaquelEsteban 2768-135</t>
  </si>
  <si>
    <t>250322 RaquelEsteban 2768-136</t>
  </si>
  <si>
    <t>250322 RaquelEsteban 2768-137</t>
  </si>
  <si>
    <t>250322 RaquelEsteban 2768-138</t>
  </si>
  <si>
    <t>250322 RaquelEsteban 2768-139</t>
  </si>
  <si>
    <t>250322 RaquelEsteban 2768-140</t>
  </si>
  <si>
    <t>250322 RaquelEsteban 2768-141</t>
  </si>
  <si>
    <t>250322 RaquelEsteban 2768-142</t>
  </si>
  <si>
    <t>250322 RaquelEsteban 2768-143</t>
  </si>
  <si>
    <t>250322 RaquelEsteban 2768-144</t>
  </si>
  <si>
    <t>250322 RaquelEsteban 2768-145</t>
  </si>
  <si>
    <t>250322 RaquelEsteban 2768-146</t>
  </si>
  <si>
    <t>250322 RaquelEsteban 2768-147</t>
  </si>
  <si>
    <t>250322 RaquelEsteban 2768-148</t>
  </si>
  <si>
    <t>250322 RaquelEsteban 2768-149</t>
  </si>
  <si>
    <t>250322 RaquelEsteban 2768-150</t>
  </si>
  <si>
    <t>250322 RaquelEsteban 2768-151</t>
  </si>
  <si>
    <t>250322 RaquelEsteban 2768-152</t>
  </si>
  <si>
    <t>250322 RaquelEsteban 2768-153</t>
  </si>
  <si>
    <t>250322 RaquelEsteban 2768-154</t>
  </si>
  <si>
    <t>250322 RaquelEsteban 2768-155</t>
  </si>
  <si>
    <t>250322 RaquelEsteban 2768-156</t>
  </si>
  <si>
    <t>250322 RaquelEsteban 2768-157</t>
  </si>
  <si>
    <t>250322 RaquelEsteban 2768-158</t>
  </si>
  <si>
    <t>250322 RaquelEsteban 2768-159</t>
  </si>
  <si>
    <t>250322 RaquelEsteban 2768-160</t>
  </si>
  <si>
    <t>250322 RaquelEsteban 2768-161</t>
  </si>
  <si>
    <t>250322 RaquelEsteban 2768-162</t>
  </si>
  <si>
    <t>250322 RaquelEsteban 2768-163</t>
  </si>
  <si>
    <t>250322 RaquelEsteban 2768-164</t>
  </si>
  <si>
    <t>250322 RaquelEsteban 2768-165</t>
  </si>
  <si>
    <t>250322 RaquelEsteban 2768-166</t>
  </si>
  <si>
    <t>250322 RaquelEsteban 2768-167</t>
  </si>
  <si>
    <t>250322 RaquelEsteban 2768-168</t>
  </si>
  <si>
    <t>250322 RaquelEsteban 2768-169</t>
  </si>
  <si>
    <t>250322 RaquelEsteban 2768-170</t>
  </si>
  <si>
    <t>250322 RaquelEsteban 2768-171</t>
  </si>
  <si>
    <t>250322 RaquelEsteban 2768-172</t>
  </si>
  <si>
    <t>250322 RaquelEsteban 2768-173</t>
  </si>
  <si>
    <t>250322 RaquelEsteban 2768-174</t>
  </si>
  <si>
    <t>250322 RaquelEsteban 2768-175</t>
  </si>
  <si>
    <t>250322 RaquelEsteban 2768-176</t>
  </si>
  <si>
    <t>250322 RaquelEsteban 2768-177</t>
  </si>
  <si>
    <t>250322 RaquelEsteban 2768-178</t>
  </si>
  <si>
    <t>250322 RaquelEsteban 2768-179</t>
  </si>
  <si>
    <t>250322 RaquelEsteban 2768-180</t>
  </si>
  <si>
    <t>250322 RaquelEsteban 2768-181</t>
  </si>
  <si>
    <t>250322 RaquelEsteban 2768-182</t>
  </si>
  <si>
    <t>250322 RaquelEsteban 2768-183</t>
  </si>
  <si>
    <t>250322 RaquelEsteban 2768-184</t>
  </si>
  <si>
    <t>250322 RaquelEsteban 2768-185</t>
  </si>
  <si>
    <t>250322 RaquelEsteban 2768-186</t>
  </si>
  <si>
    <t>250322 RaquelEsteban 2768-187</t>
  </si>
  <si>
    <t>250322 RaquelEsteban 2768-188</t>
  </si>
  <si>
    <t>250322 RaquelEsteban 2768-189</t>
  </si>
  <si>
    <t>250322 RaquelEsteban 2768-190</t>
  </si>
  <si>
    <t>250322 RaquelEsteban 2768-191</t>
  </si>
  <si>
    <t>250322 RaquelEsteban 2768-192</t>
  </si>
  <si>
    <t>250322 RaquelEsteban 2768-193</t>
  </si>
  <si>
    <t>250322 RaquelEsteban 2768-194</t>
  </si>
  <si>
    <t>250322 RaquelEsteban 2768-195</t>
  </si>
  <si>
    <t>250322 RaquelEsteban 2768-196</t>
  </si>
  <si>
    <t>250322 RaquelEsteban 2768-197</t>
  </si>
  <si>
    <t>250322 RaquelEsteban 2768-198</t>
  </si>
  <si>
    <t>250322 RaquelEsteban 2768-199</t>
  </si>
  <si>
    <t>250322 RaquelEsteban 2768-200</t>
  </si>
  <si>
    <t>250322 RaquelEsteban 2768-201</t>
  </si>
  <si>
    <t>250322 RaquelEsteban 2768-202</t>
  </si>
  <si>
    <t>250322 RaquelEsteban 2768-203</t>
  </si>
  <si>
    <t>250322 RaquelEsteban 2768-204</t>
  </si>
  <si>
    <t>250322 RaquelEsteban 2768-205</t>
  </si>
  <si>
    <t>250322 RaquelEsteban 2768-206</t>
  </si>
  <si>
    <t>250322 RaquelEsteban 2768-207</t>
  </si>
  <si>
    <t>250322 RaquelEsteban 2768-208</t>
  </si>
  <si>
    <t>250322 RaquelEsteban 2768-209</t>
  </si>
  <si>
    <t>250322 RaquelEsteban 2768-210</t>
  </si>
  <si>
    <t>250322 RaquelEsteban 2768-211</t>
  </si>
  <si>
    <t>250322 RaquelEsteban 2768-212</t>
  </si>
  <si>
    <t>250322 RaquelEsteban 2768-213</t>
  </si>
  <si>
    <t>250322 RaquelEsteban 2768-214</t>
  </si>
  <si>
    <t>250322 RaquelEsteban 2768-215</t>
  </si>
  <si>
    <t>250322 RaquelEsteban 2768-216</t>
  </si>
  <si>
    <t>250322 RaquelEsteban 2768-217</t>
  </si>
  <si>
    <t>250322 RaquelEsteban 2768-218</t>
  </si>
  <si>
    <t>250322 RaquelEsteban 2768-219</t>
  </si>
  <si>
    <t>250322 RaquelEsteban 2768-220</t>
  </si>
  <si>
    <t>250322 RaquelEsteban 2768-221</t>
  </si>
  <si>
    <t>250322 RaquelEsteban 2768-222</t>
  </si>
  <si>
    <t>250322 RaquelEsteban 2768-223</t>
  </si>
  <si>
    <t>250322 RaquelEsteban 2768-224</t>
  </si>
  <si>
    <t>250322 RaquelEsteban 2768-225</t>
  </si>
  <si>
    <t>250322 RaquelEsteban 2768-226</t>
  </si>
  <si>
    <t>250322 RaquelEsteban 2768-227</t>
  </si>
  <si>
    <t>250322 RaquelEsteban 2768-228</t>
  </si>
  <si>
    <t>250322 RaquelEsteban 2768-229</t>
  </si>
  <si>
    <t>250322 RaquelEsteban 2768-230</t>
  </si>
  <si>
    <t>250322 RaquelEsteban 2768-231</t>
  </si>
  <si>
    <t>250322 RaquelEsteban 2768-232</t>
  </si>
  <si>
    <t>250322 RaquelEsteban 2768-233</t>
  </si>
  <si>
    <t>250322 RaquelEsteban 2768-234</t>
  </si>
  <si>
    <t>250322 RaquelEsteban 2768-235</t>
  </si>
  <si>
    <t>250322 RaquelEsteban 2768-236</t>
  </si>
  <si>
    <t>250322 RaquelEsteban 2768-237</t>
  </si>
  <si>
    <t>250322 RaquelEsteban 2768-238</t>
  </si>
  <si>
    <t>250322 RaquelEsteban 2768-239</t>
  </si>
  <si>
    <t>250322 RaquelEsteban 2768-240</t>
  </si>
  <si>
    <t>250322 RaquelEsteban 2768-241</t>
  </si>
  <si>
    <t>250322 RaquelEsteban 2768-242</t>
  </si>
  <si>
    <t>250322 RaquelEsteban 2768-243</t>
  </si>
  <si>
    <t>250322 RaquelEsteban 2768-244</t>
  </si>
  <si>
    <t>250322 RaquelEsteban 2768-245</t>
  </si>
  <si>
    <t>250322 RaquelEsteban 2768-246</t>
  </si>
  <si>
    <t>250322 RaquelEsteban 2768-247</t>
  </si>
  <si>
    <t>250322 RaquelEsteban 2768-248</t>
  </si>
  <si>
    <t>250322 RaquelEsteban 2768-249</t>
  </si>
  <si>
    <t>250322 RaquelEsteban 2768-250</t>
  </si>
  <si>
    <t>250322 RaquelEsteban 2768-251</t>
  </si>
  <si>
    <t>250322 RaquelEsteban 2768-252</t>
  </si>
  <si>
    <t>250322 RaquelEsteban 2768-253</t>
  </si>
  <si>
    <t>250322 RaquelEsteban 2768-254</t>
  </si>
  <si>
    <t>250322 RaquelEsteban 2768-255</t>
  </si>
  <si>
    <t>250322 RaquelEsteban 2768-256</t>
  </si>
  <si>
    <t>250322 RaquelEsteban 2768-257</t>
  </si>
  <si>
    <t>250322 RaquelEsteban 2768-258</t>
  </si>
  <si>
    <t>250322 RaquelEsteban 2768-259</t>
  </si>
  <si>
    <t>250322 RaquelEsteban 2768-260</t>
  </si>
  <si>
    <t>250322 RaquelEsteban 2768-261</t>
  </si>
  <si>
    <t>250322 RaquelEsteban 2768-262</t>
  </si>
  <si>
    <t>250322 RaquelEsteban 2768-263</t>
  </si>
  <si>
    <t>250322 RaquelEsteban 2768-264</t>
  </si>
  <si>
    <t>250322 RaquelEsteban 2768-265</t>
  </si>
  <si>
    <t>250322 RaquelEsteban 2768-266</t>
  </si>
  <si>
    <t>250322 RaquelEsteban 2768-267</t>
  </si>
  <si>
    <t>250322 RaquelEsteban 2768-268</t>
  </si>
  <si>
    <t>250322 RaquelEsteban 2768-269</t>
  </si>
  <si>
    <t>250322 RaquelEsteban 2768-270</t>
  </si>
  <si>
    <t>250322 RaquelEsteban 2775-1</t>
  </si>
  <si>
    <t>250322 RaquelEsteban 2775-2</t>
  </si>
  <si>
    <t>250322 RaquelEsteban 2775-3</t>
  </si>
  <si>
    <t>250322 RaquelEsteban 2775-4</t>
  </si>
  <si>
    <t>250322 RaquelEsteban 2775-5</t>
  </si>
  <si>
    <t>250322 RaquelEsteban 2775-6</t>
  </si>
  <si>
    <t>250322 RaquelEsteban 2775-7</t>
  </si>
  <si>
    <t>250322 RaquelEsteban 2775-8</t>
  </si>
  <si>
    <t>250322 RaquelEsteban 2775-9</t>
  </si>
  <si>
    <t>250322 RaquelEsteban 2775-10</t>
  </si>
  <si>
    <t>250322 RaquelEsteban 2775-11</t>
  </si>
  <si>
    <t>250322 RaquelEsteban 2775-12</t>
  </si>
  <si>
    <t>250322 RaquelEsteban 2775-13</t>
  </si>
  <si>
    <t>250322 RaquelEsteban 2775-14</t>
  </si>
  <si>
    <t>250322 RaquelEsteban 2775-15</t>
  </si>
  <si>
    <t>250322 RaquelEsteban 2775-16</t>
  </si>
  <si>
    <t>250322 RaquelEsteban 2775-17</t>
  </si>
  <si>
    <t>250322 RaquelEsteban 2775-18</t>
  </si>
  <si>
    <t>250322 RaquelEsteban 2775-19</t>
  </si>
  <si>
    <t>250322 RaquelEsteban 2775-20</t>
  </si>
  <si>
    <t>250322 RaquelEsteban 2775-21</t>
  </si>
  <si>
    <t>250322 RaquelEsteban 2775-22</t>
  </si>
  <si>
    <t>250322 RaquelEsteban 2775-23</t>
  </si>
  <si>
    <t>250322 RaquelEsteban 2775-24</t>
  </si>
  <si>
    <t>250322 RaquelEsteban 2775-25</t>
  </si>
  <si>
    <t>250322 RaquelEsteban 2775-26</t>
  </si>
  <si>
    <t>250322 RaquelEsteban 2775-27</t>
  </si>
  <si>
    <t>250322 RaquelEsteban 2775-28</t>
  </si>
  <si>
    <t>250322 RaquelEsteban 2775-29</t>
  </si>
  <si>
    <t>250322 RaquelEsteban 2775-30</t>
  </si>
  <si>
    <t>Al (mg/Kg)</t>
  </si>
  <si>
    <t>As (mg/Kg)</t>
  </si>
  <si>
    <t>Be (mg/Kg)</t>
  </si>
  <si>
    <t>Bi (mg/Kg)</t>
  </si>
  <si>
    <t>B (mg/Kg)</t>
  </si>
  <si>
    <t>Ca (g/100g)</t>
  </si>
  <si>
    <t>Cd (mg/Kg)</t>
  </si>
  <si>
    <t>Co (mg/Kg)</t>
  </si>
  <si>
    <t>Cr (mg/Kg)</t>
  </si>
  <si>
    <t>Cu (mg/Kg)</t>
  </si>
  <si>
    <t>Fe (mg/Kg)</t>
  </si>
  <si>
    <t>K (g/100g)</t>
  </si>
  <si>
    <t>La (mg/Kg)</t>
  </si>
  <si>
    <t>Li (mg/Kg)</t>
  </si>
  <si>
    <t>Mg (g/100g)</t>
  </si>
  <si>
    <t>Mn (mg/Kg)</t>
  </si>
  <si>
    <t>Mo (mg/Kg)</t>
  </si>
  <si>
    <t>Na (g/100g)</t>
  </si>
  <si>
    <t>Ni (mg/Kg)</t>
  </si>
  <si>
    <t>Pb (mg/Kg)</t>
  </si>
  <si>
    <t>P (g/100g)</t>
  </si>
  <si>
    <t>Rb (mg/Kg)</t>
  </si>
  <si>
    <t>Sb (mg/Kg)</t>
  </si>
  <si>
    <t>Se (mg/Kg)</t>
  </si>
  <si>
    <t>Si (mg/Kg)</t>
  </si>
  <si>
    <t>S (g/100g)</t>
  </si>
  <si>
    <t>Sr (mg/Kg)</t>
  </si>
  <si>
    <t>Ti (mg/Kg)</t>
  </si>
  <si>
    <t>Tl (mg/Kg)</t>
  </si>
  <si>
    <t>V (mg/Kg)</t>
  </si>
  <si>
    <t>Zn (mg/Kg)</t>
  </si>
  <si>
    <t>EHU ION2768-1</t>
  </si>
  <si>
    <t>&lt;0,01</t>
  </si>
  <si>
    <t>EHU ION2768-2</t>
  </si>
  <si>
    <t>EHU ION2768-3</t>
  </si>
  <si>
    <t>EHU ION2768-4</t>
  </si>
  <si>
    <t>EHU ION2768-5</t>
  </si>
  <si>
    <t>EHU ION2768-6</t>
  </si>
  <si>
    <t>EHU ION2768-7</t>
  </si>
  <si>
    <t>EHU ION2768-8</t>
  </si>
  <si>
    <t>EHU ION2768-9</t>
  </si>
  <si>
    <t>EHU ION2768-10</t>
  </si>
  <si>
    <t>EHU ION2768-11</t>
  </si>
  <si>
    <t>EHU ION2768-12</t>
  </si>
  <si>
    <t>EHU ION2768-13</t>
  </si>
  <si>
    <t>EHU ION2768-14</t>
  </si>
  <si>
    <t>EHU ION2768-15</t>
  </si>
  <si>
    <t>EHU ION2768-16</t>
  </si>
  <si>
    <t>EHU ION2768-17</t>
  </si>
  <si>
    <t>EHU ION2768-18</t>
  </si>
  <si>
    <t>EHU ION2768-19</t>
  </si>
  <si>
    <t>EHU ION2768-20</t>
  </si>
  <si>
    <t>EHU ION2768-21</t>
  </si>
  <si>
    <t>EHU ION2768-22</t>
  </si>
  <si>
    <t>EHU ION2768-23</t>
  </si>
  <si>
    <t>EHU ION2768-24</t>
  </si>
  <si>
    <t>EHU ION2768-25</t>
  </si>
  <si>
    <t>EHU ION2768-26</t>
  </si>
  <si>
    <t>EHU ION2768-27</t>
  </si>
  <si>
    <t>EHU ION2768-28</t>
  </si>
  <si>
    <t>EHU ION2768-29</t>
  </si>
  <si>
    <t>EHU ION2768-30</t>
  </si>
  <si>
    <t>EHU ION2768-31</t>
  </si>
  <si>
    <t>EHU ION2768-32</t>
  </si>
  <si>
    <t>EHU ION2768-33</t>
  </si>
  <si>
    <t>EHU ION2768-34</t>
  </si>
  <si>
    <t>EHU ION2768-35</t>
  </si>
  <si>
    <t>EHU ION2768-36</t>
  </si>
  <si>
    <t>EHU ION2768-37</t>
  </si>
  <si>
    <t>EHU ION2768-38</t>
  </si>
  <si>
    <t>EHU ION2768-39</t>
  </si>
  <si>
    <t>EHU ION2768-40</t>
  </si>
  <si>
    <t>EHU ION2768-41</t>
  </si>
  <si>
    <t>EHU ION2768-42</t>
  </si>
  <si>
    <t>EHU ION2768-43</t>
  </si>
  <si>
    <t>EHU ION2768-44</t>
  </si>
  <si>
    <t>EHU ION2768-45</t>
  </si>
  <si>
    <t>EHU ION2768-46</t>
  </si>
  <si>
    <t>EHU ION2768-47</t>
  </si>
  <si>
    <t>EHU ION2768-48</t>
  </si>
  <si>
    <t>EHU ION2768-49</t>
  </si>
  <si>
    <t>EHU ION2768-50</t>
  </si>
  <si>
    <t>EHU ION2768-51</t>
  </si>
  <si>
    <t>EHU ION2768-52</t>
  </si>
  <si>
    <t>EHU ION2768-53</t>
  </si>
  <si>
    <t>EHU ION2768-54</t>
  </si>
  <si>
    <t>EHU ION2768-55</t>
  </si>
  <si>
    <t>EHU ION2768-56</t>
  </si>
  <si>
    <t>EHU ION2768-57</t>
  </si>
  <si>
    <t>EHU ION2768-58</t>
  </si>
  <si>
    <t>EHU ION2768-59</t>
  </si>
  <si>
    <t>EHU ION2768-60</t>
  </si>
  <si>
    <t>EHU ION2768-61</t>
  </si>
  <si>
    <t>EHU ION2768-62</t>
  </si>
  <si>
    <t>EHU ION2768-63</t>
  </si>
  <si>
    <t>EHU ION2768-64</t>
  </si>
  <si>
    <t>EHU ION2768-65</t>
  </si>
  <si>
    <t>EHU ION2768-66</t>
  </si>
  <si>
    <t>EHU ION2768-67</t>
  </si>
  <si>
    <t>EHU ION2768-68</t>
  </si>
  <si>
    <t>EHU ION2768-69</t>
  </si>
  <si>
    <t>EHU ION2768-71</t>
  </si>
  <si>
    <t>EHU ION2768-72</t>
  </si>
  <si>
    <t>EHU ION2768-73</t>
  </si>
  <si>
    <t>EHU ION2768-74</t>
  </si>
  <si>
    <t>EHU ION2768-75</t>
  </si>
  <si>
    <t>EHU ION2768-76</t>
  </si>
  <si>
    <t>EHU ION2768-77</t>
  </si>
  <si>
    <t>EHU ION2768-78</t>
  </si>
  <si>
    <t>EHU ION2768-79</t>
  </si>
  <si>
    <t>EHU ION2768-80</t>
  </si>
  <si>
    <t>EHU ION2768-81</t>
  </si>
  <si>
    <t>EHU ION2768-82</t>
  </si>
  <si>
    <t>EHU ION2768-83</t>
  </si>
  <si>
    <t>EHU ION2768-84</t>
  </si>
  <si>
    <t>EHU ION2768-85</t>
  </si>
  <si>
    <t>EHU ION2768-86</t>
  </si>
  <si>
    <t>EHU ION2768-87</t>
  </si>
  <si>
    <t>EHU ION2768-88</t>
  </si>
  <si>
    <t>EHU ION2768-89</t>
  </si>
  <si>
    <t>EHU ION2768-90</t>
  </si>
  <si>
    <t>EHU ION2768-91</t>
  </si>
  <si>
    <t>EHU ION2768-92</t>
  </si>
  <si>
    <t>EHU ION2768-93</t>
  </si>
  <si>
    <t>EHU ION2768-94</t>
  </si>
  <si>
    <t>EHU ION2768-95</t>
  </si>
  <si>
    <t>EHU ION2768-96</t>
  </si>
  <si>
    <t>EHU ION2768-97</t>
  </si>
  <si>
    <t>EHU ION2768-98</t>
  </si>
  <si>
    <t>EHU ION2768-99</t>
  </si>
  <si>
    <t>EHU ION2768-100</t>
  </si>
  <si>
    <t>EHU ION2768-101</t>
  </si>
  <si>
    <t>EHU ION2768-102</t>
  </si>
  <si>
    <t>EHU ION2768-103</t>
  </si>
  <si>
    <t>EHU ION2768-104</t>
  </si>
  <si>
    <t>EHU ION2768-105</t>
  </si>
  <si>
    <t>EHU ION2768-106</t>
  </si>
  <si>
    <t>EHU ION2768-107</t>
  </si>
  <si>
    <t>EHU ION2768-108</t>
  </si>
  <si>
    <t>EHU ION2768-109</t>
  </si>
  <si>
    <t>EHU ION2768-110</t>
  </si>
  <si>
    <t>EHU ION2768-111</t>
  </si>
  <si>
    <t>EHU ION2768-112</t>
  </si>
  <si>
    <t>EHU ION2768-113</t>
  </si>
  <si>
    <t>EHU ION2768-114</t>
  </si>
  <si>
    <t>EHU ION2768-115</t>
  </si>
  <si>
    <t>EHU ION2768-116</t>
  </si>
  <si>
    <t>EHU ION2768-117</t>
  </si>
  <si>
    <t>EHU ION2768-118</t>
  </si>
  <si>
    <t>EHU ION2768-119</t>
  </si>
  <si>
    <t>EHU ION2768-120</t>
  </si>
  <si>
    <t>EHU ION2768-121</t>
  </si>
  <si>
    <t>EHU ION2768-122</t>
  </si>
  <si>
    <t>EHU ION2768-123</t>
  </si>
  <si>
    <t>EHU ION2768-124</t>
  </si>
  <si>
    <t>EHU ION2768-125</t>
  </si>
  <si>
    <t>EHU ION2768-126</t>
  </si>
  <si>
    <t>EHU ION2768-127</t>
  </si>
  <si>
    <t>EHU ION2768-128</t>
  </si>
  <si>
    <t>EHU ION2768-129</t>
  </si>
  <si>
    <t>EHU ION2768-130</t>
  </si>
  <si>
    <t>EHU ION2768-131</t>
  </si>
  <si>
    <t>EHU ION2768-132</t>
  </si>
  <si>
    <t>EHU ION2768-133</t>
  </si>
  <si>
    <t>EHU ION2768-134</t>
  </si>
  <si>
    <t>EHU ION2768-135</t>
  </si>
  <si>
    <t>EHU ION2768-136</t>
  </si>
  <si>
    <t>EHU ION2768-137</t>
  </si>
  <si>
    <t>EHU ION2768-138</t>
  </si>
  <si>
    <t>EHU ION2768-139</t>
  </si>
  <si>
    <t>EHU ION2768-140</t>
  </si>
  <si>
    <t>EHU ION2768-141</t>
  </si>
  <si>
    <t>EHU ION2768-142</t>
  </si>
  <si>
    <t>EHU ION2768-143</t>
  </si>
  <si>
    <t>EHU ION2768-144</t>
  </si>
  <si>
    <t>EHU ION2768-145</t>
  </si>
  <si>
    <t>EHU ION2768-146</t>
  </si>
  <si>
    <t>EHU ION2768-147</t>
  </si>
  <si>
    <t>EHU ION2768-148</t>
  </si>
  <si>
    <t>EHU ION2768-149</t>
  </si>
  <si>
    <t>EHU ION2768-150</t>
  </si>
  <si>
    <t>EHU ION2768-151</t>
  </si>
  <si>
    <t>EHU ION2768-152</t>
  </si>
  <si>
    <t>EHU ION2768-153</t>
  </si>
  <si>
    <t>EHU ION2768-154</t>
  </si>
  <si>
    <t>EHU ION2768-155</t>
  </si>
  <si>
    <t>EHU ION2768-156</t>
  </si>
  <si>
    <t>EHU ION2768-157</t>
  </si>
  <si>
    <t>EHU ION2768-158</t>
  </si>
  <si>
    <t>EHU ION2768-159</t>
  </si>
  <si>
    <t>EHU ION2768-160</t>
  </si>
  <si>
    <t>EHU ION2768-161</t>
  </si>
  <si>
    <t>EHU ION2768-162</t>
  </si>
  <si>
    <t>EHU ION2768-163</t>
  </si>
  <si>
    <t>EHU ION2768-164</t>
  </si>
  <si>
    <t>EHU ION2768-165</t>
  </si>
  <si>
    <t>EHU ION2768-166</t>
  </si>
  <si>
    <t>EHU ION2768-167</t>
  </si>
  <si>
    <t>EHU ION2768-168</t>
  </si>
  <si>
    <t>EHU ION2768-169</t>
  </si>
  <si>
    <t>EHU ION2768-170</t>
  </si>
  <si>
    <t>EHU ION2768-171</t>
  </si>
  <si>
    <t>EHU ION2768-172</t>
  </si>
  <si>
    <t>EHU ION2768-173</t>
  </si>
  <si>
    <t>EHU ION2768-174</t>
  </si>
  <si>
    <t>EHU ION2768-175</t>
  </si>
  <si>
    <t>EHU ION2768-176</t>
  </si>
  <si>
    <t>EHU ION2768-177</t>
  </si>
  <si>
    <t>EHU ION2768-178</t>
  </si>
  <si>
    <t>EHU ION2768-179</t>
  </si>
  <si>
    <t>EHU ION2768-180</t>
  </si>
  <si>
    <t>EHU ION2768-181</t>
  </si>
  <si>
    <t>EHU ION2768-182</t>
  </si>
  <si>
    <t>EHU ION2768-183</t>
  </si>
  <si>
    <t>EHU ION2768-184</t>
  </si>
  <si>
    <t>EHU ION2768-185</t>
  </si>
  <si>
    <t>EHU ION2768-186</t>
  </si>
  <si>
    <t>EHU ION2768-187</t>
  </si>
  <si>
    <t>EHU ION2768-188</t>
  </si>
  <si>
    <t>EHU ION2768-189</t>
  </si>
  <si>
    <t>EHU ION2768-190</t>
  </si>
  <si>
    <t>EHU ION2768-191</t>
  </si>
  <si>
    <t>EHU ION2768-192</t>
  </si>
  <si>
    <t>EHU ION2768-193</t>
  </si>
  <si>
    <t>EHU ION2768-194</t>
  </si>
  <si>
    <t>EHU ION2768-195</t>
  </si>
  <si>
    <t>EHU ION2768-196</t>
  </si>
  <si>
    <t>EHU ION2768-197</t>
  </si>
  <si>
    <t>EHU ION2768-198</t>
  </si>
  <si>
    <t>EHU ION2768-199</t>
  </si>
  <si>
    <t>EHU ION2768-200</t>
  </si>
  <si>
    <t>EHU ION2768-201</t>
  </si>
  <si>
    <t>EHU ION2768-202</t>
  </si>
  <si>
    <t>EHU ION2768-203</t>
  </si>
  <si>
    <t>EHU ION2768-204</t>
  </si>
  <si>
    <t>EHU ION2768-205</t>
  </si>
  <si>
    <t>EHU ION2768-206</t>
  </si>
  <si>
    <t>EHU ION2768-207</t>
  </si>
  <si>
    <t>EHU ION2768-208</t>
  </si>
  <si>
    <t>EHU ION2768-209</t>
  </si>
  <si>
    <t>EHU ION2768-210</t>
  </si>
  <si>
    <t>EHU ION2768-211</t>
  </si>
  <si>
    <t>EHU ION2768-212</t>
  </si>
  <si>
    <t>EHU ION2768-213</t>
  </si>
  <si>
    <t>EHU ION2768-214</t>
  </si>
  <si>
    <t>EHU ION2768-215</t>
  </si>
  <si>
    <t>EHU ION2768-216</t>
  </si>
  <si>
    <t>EHU ION2768-217</t>
  </si>
  <si>
    <t>EHU ION2768-218</t>
  </si>
  <si>
    <t>EHU ION2768-219</t>
  </si>
  <si>
    <t>EHU ION2768-220</t>
  </si>
  <si>
    <t>EHU ION2768-221</t>
  </si>
  <si>
    <t>EHU ION2768-222</t>
  </si>
  <si>
    <t>EHU ION2768-223</t>
  </si>
  <si>
    <t>EHU ION2768-224</t>
  </si>
  <si>
    <t>EHU ION2768-225</t>
  </si>
  <si>
    <t>EHU ION2768-226</t>
  </si>
  <si>
    <t>EHU ION2768-227</t>
  </si>
  <si>
    <t>EHU ION2768-228</t>
  </si>
  <si>
    <t>EHU ION2768-229</t>
  </si>
  <si>
    <t>EHU ION2768-230</t>
  </si>
  <si>
    <t>EHU ION2768-231</t>
  </si>
  <si>
    <t>EHU ION2768-232</t>
  </si>
  <si>
    <t>EHU ION2768-233</t>
  </si>
  <si>
    <t>EHU ION2768-234</t>
  </si>
  <si>
    <t>EHU ION2768-235</t>
  </si>
  <si>
    <t>EHU ION2768-236</t>
  </si>
  <si>
    <t>EHU ION2768-237</t>
  </si>
  <si>
    <t>EHU ION2768-238</t>
  </si>
  <si>
    <t>EHU ION2768-239</t>
  </si>
  <si>
    <t>EHU ION2768-240</t>
  </si>
  <si>
    <t>EHU ION2768-241</t>
  </si>
  <si>
    <t>EHU ION2768-242</t>
  </si>
  <si>
    <t>EHU ION2768-243</t>
  </si>
  <si>
    <t>EHU ION2768-244</t>
  </si>
  <si>
    <t>EHU ION2768-245</t>
  </si>
  <si>
    <t>EHU ION2768-246</t>
  </si>
  <si>
    <t>EHU ION2768-247</t>
  </si>
  <si>
    <t>EHU ION2768-248</t>
  </si>
  <si>
    <t>EHU ION2768-249</t>
  </si>
  <si>
    <t>EHU ION2768-250</t>
  </si>
  <si>
    <t>EHU ION2768-251</t>
  </si>
  <si>
    <t>EHU ION2768-252</t>
  </si>
  <si>
    <t>EHU ION2768-253</t>
  </si>
  <si>
    <t>EHU ION2768-254</t>
  </si>
  <si>
    <t>EHU ION2768-255</t>
  </si>
  <si>
    <t>EHU ION2768-256</t>
  </si>
  <si>
    <t>EHU ION2768-257</t>
  </si>
  <si>
    <t>EHU ION2768-258</t>
  </si>
  <si>
    <t>EHU ION2768-259</t>
  </si>
  <si>
    <t>EHU ION2768-260</t>
  </si>
  <si>
    <t>EHU ION2768-261</t>
  </si>
  <si>
    <t>EHU ION2768-262</t>
  </si>
  <si>
    <t>EHU ION2768-263</t>
  </si>
  <si>
    <t>EHU ION2768-264</t>
  </si>
  <si>
    <t>EHU ION2768-265</t>
  </si>
  <si>
    <t>EHU ION2768-266</t>
  </si>
  <si>
    <t>EHU ION2768-267</t>
  </si>
  <si>
    <t>EHU ION2768-268</t>
  </si>
  <si>
    <t>EHU ION2768-269</t>
  </si>
  <si>
    <t>EHU ION2768-270</t>
  </si>
  <si>
    <t>EHU ION2775-1</t>
  </si>
  <si>
    <t>EHU ION2775-2</t>
  </si>
  <si>
    <t>EHU ION2775-3</t>
  </si>
  <si>
    <t>EHU ION2775-4</t>
  </si>
  <si>
    <t>EHU ION2775-5</t>
  </si>
  <si>
    <t>EHU ION2775-6</t>
  </si>
  <si>
    <t>EHU ION2775-7</t>
  </si>
  <si>
    <t>EHU ION2775-8</t>
  </si>
  <si>
    <t>EHU ION2775-9</t>
  </si>
  <si>
    <t>EHU ION2775-10</t>
  </si>
  <si>
    <t>EHU ION2775-11</t>
  </si>
  <si>
    <t>EHU ION2775-12</t>
  </si>
  <si>
    <t>EHU ION2775-13</t>
  </si>
  <si>
    <t>EHU ION2775-14</t>
  </si>
  <si>
    <t>EHU ION2775-15</t>
  </si>
  <si>
    <t>EHU ION2775-16</t>
  </si>
  <si>
    <t>EHU ION2775-17</t>
  </si>
  <si>
    <t>EHU ION2775-18</t>
  </si>
  <si>
    <t>EHU ION2775-19</t>
  </si>
  <si>
    <t>EHU ION2775-20</t>
  </si>
  <si>
    <t>EHU ION2775-21</t>
  </si>
  <si>
    <t>EHU ION2775-22</t>
  </si>
  <si>
    <t>EHU ION2775-23</t>
  </si>
  <si>
    <t>EHU ION2775-24</t>
  </si>
  <si>
    <t>EHU ION2775-25</t>
  </si>
  <si>
    <t>EHU ION2775-26</t>
  </si>
  <si>
    <t>EHU ION2775-27</t>
  </si>
  <si>
    <t>EHU ION2775-28</t>
  </si>
  <si>
    <t>EHU ION2775-29</t>
  </si>
  <si>
    <t>EHU ION2775-30</t>
  </si>
  <si>
    <t>Identificación</t>
  </si>
  <si>
    <t>LABEL</t>
  </si>
  <si>
    <t>Code</t>
  </si>
  <si>
    <t>25-P1S1C1AA</t>
  </si>
  <si>
    <t>25-P1S1C2AA</t>
  </si>
  <si>
    <t>25-P1S1C4AA</t>
  </si>
  <si>
    <t>25-P1S1C1FS</t>
  </si>
  <si>
    <t>25-P1S1C2FS</t>
  </si>
  <si>
    <t>25-P1S1C4FS</t>
  </si>
  <si>
    <t>25-P1S2C1AA</t>
  </si>
  <si>
    <t>25-P1S2C2AA</t>
  </si>
  <si>
    <t>25-P1S2C4AA</t>
  </si>
  <si>
    <t>25-P1S2C1FS</t>
  </si>
  <si>
    <t>25-P1S2C2FS</t>
  </si>
  <si>
    <t>25-P1S2C4FS</t>
  </si>
  <si>
    <t>25-P1S3C1AA</t>
  </si>
  <si>
    <t>25-P1S3C2AA</t>
  </si>
  <si>
    <t>25-P1S3C4AA</t>
  </si>
  <si>
    <t>25-P1S3C1FS</t>
  </si>
  <si>
    <t>25-P1S3C2FS</t>
  </si>
  <si>
    <t>25-P1S3C4FS</t>
  </si>
  <si>
    <t>25-P1S4C1AA</t>
  </si>
  <si>
    <t>25-P1S4C2AA</t>
  </si>
  <si>
    <t>25-P1S4C4AA</t>
  </si>
  <si>
    <t>25-P1S4C1FS</t>
  </si>
  <si>
    <t>25-P1S4C2FS</t>
  </si>
  <si>
    <t>25-P1S4C4FS</t>
  </si>
  <si>
    <t>25-P1S5C1AA</t>
  </si>
  <si>
    <t>25-P1S5C2AA</t>
  </si>
  <si>
    <t>25-P1S5C4AA</t>
  </si>
  <si>
    <t>25-P1S5C1FS</t>
  </si>
  <si>
    <t>25-P1S5C2FS</t>
  </si>
  <si>
    <t>25-P1S5C4FS</t>
  </si>
  <si>
    <t>25-P3S1C1AA</t>
  </si>
  <si>
    <t>25-P3S1C2AA</t>
  </si>
  <si>
    <t>25-P3S1C4AA</t>
  </si>
  <si>
    <t>25-P3S1C1FS</t>
  </si>
  <si>
    <t>25-P3S1C2FS</t>
  </si>
  <si>
    <t>25-P3S1C4FS</t>
  </si>
  <si>
    <t>25-P3S2C1AA</t>
  </si>
  <si>
    <t>25-P3S2C2AA</t>
  </si>
  <si>
    <t>25-P3S2C4AA</t>
  </si>
  <si>
    <t>25-P3S2C1FS</t>
  </si>
  <si>
    <t>25-P3S2C2FS</t>
  </si>
  <si>
    <t>25-P3S2C4FS</t>
  </si>
  <si>
    <t>25-P3S3C1AA</t>
  </si>
  <si>
    <t>25-P3S3C2AA</t>
  </si>
  <si>
    <t>25-P3S3C4AA</t>
  </si>
  <si>
    <t>25-P3S3C1FS</t>
  </si>
  <si>
    <t>25-P3S3C2FS</t>
  </si>
  <si>
    <t>25-P3S3C4FS</t>
  </si>
  <si>
    <t>25-P3S4C1AA</t>
  </si>
  <si>
    <t>25-P3S4C2AA</t>
  </si>
  <si>
    <t>25-P3S4C4AA</t>
  </si>
  <si>
    <t>25-P3S4C1FS</t>
  </si>
  <si>
    <t>25-P3S4C2FS</t>
  </si>
  <si>
    <t>25-P3S4C4FS</t>
  </si>
  <si>
    <t>25-P3S5C1AA</t>
  </si>
  <si>
    <t>25-P3S5C2AA</t>
  </si>
  <si>
    <t>25-P3S5C4AA</t>
  </si>
  <si>
    <t>25-P3S5C1FS</t>
  </si>
  <si>
    <t>25-P3S5C2FS</t>
  </si>
  <si>
    <t>25-P3S5C4FS</t>
  </si>
  <si>
    <t>25-P6S1C1AA</t>
  </si>
  <si>
    <t>25-P6S1C2AA</t>
  </si>
  <si>
    <t>25-P6S1C4AA</t>
  </si>
  <si>
    <t>25-P6S1C1FS</t>
  </si>
  <si>
    <t>25-P6S1C2FS</t>
  </si>
  <si>
    <t>25-P6S1C4FS</t>
  </si>
  <si>
    <t>25-P6S2C1AA</t>
  </si>
  <si>
    <t>25-P6S2C2AA</t>
  </si>
  <si>
    <t>25-P6S2C4AA</t>
  </si>
  <si>
    <t>25-P6S2C1FS</t>
  </si>
  <si>
    <t>25-P6S2C2FS</t>
  </si>
  <si>
    <t>25-P6S2C4FS</t>
  </si>
  <si>
    <t>25-P6S3C1AA</t>
  </si>
  <si>
    <t>25-P6S3C2AA</t>
  </si>
  <si>
    <t>25-P6S3C4AA</t>
  </si>
  <si>
    <t>25-P6S3C1FS</t>
  </si>
  <si>
    <t>25-P6S3C2FS</t>
  </si>
  <si>
    <t>25-P6S3C4FS</t>
  </si>
  <si>
    <t>25-P6S4C1AA</t>
  </si>
  <si>
    <t>25-P6S4C2AA</t>
  </si>
  <si>
    <t>25-P6S4C4AA</t>
  </si>
  <si>
    <t>25-P6S4C1FS</t>
  </si>
  <si>
    <t>25-P6S4C2FS</t>
  </si>
  <si>
    <t>25-P6S4C4FS</t>
  </si>
  <si>
    <t>25-P6S5C1AA</t>
  </si>
  <si>
    <t>25-P6S5C2AA</t>
  </si>
  <si>
    <t>25-P6S5C4AA</t>
  </si>
  <si>
    <t>25-P6S5C1FS</t>
  </si>
  <si>
    <t>25-P6S5C2FS</t>
  </si>
  <si>
    <t>25-P6S5C4FS</t>
  </si>
  <si>
    <t>10-P1S1C1AA</t>
  </si>
  <si>
    <t>10-P1S1C2AA</t>
  </si>
  <si>
    <t>10-P1S1C4AA</t>
  </si>
  <si>
    <t>10-P1S1C1FS</t>
  </si>
  <si>
    <t>10-P1S1C2FS</t>
  </si>
  <si>
    <t>10-P1S1C4FS</t>
  </si>
  <si>
    <t>10-P1S2C1AA</t>
  </si>
  <si>
    <t>10-P1S2C2AA</t>
  </si>
  <si>
    <t>10-P1S2C4AA</t>
  </si>
  <si>
    <t>10-P1S2C1FS</t>
  </si>
  <si>
    <t>10-P1S2C2FS</t>
  </si>
  <si>
    <t>10-P1S2C4FS</t>
  </si>
  <si>
    <t>10-P1S3C1AA</t>
  </si>
  <si>
    <t>10-P1S3C2AA</t>
  </si>
  <si>
    <t>10-P1S3C4AA</t>
  </si>
  <si>
    <t>10-P1S3C1FS</t>
  </si>
  <si>
    <t>10-P1S3C2FS</t>
  </si>
  <si>
    <t>10-P1S3C4FS</t>
  </si>
  <si>
    <t>10-P1S4C1AA</t>
  </si>
  <si>
    <t>10-P1S4C2AA</t>
  </si>
  <si>
    <t>10-P1S4C4AA</t>
  </si>
  <si>
    <t>10-P1S4C1FS</t>
  </si>
  <si>
    <t>10-P1S4C2FS</t>
  </si>
  <si>
    <t>10-P1S4C4FS</t>
  </si>
  <si>
    <t>10-P1S5C1AA</t>
  </si>
  <si>
    <t>10-P1S5C2AA</t>
  </si>
  <si>
    <t>10-P1S5C4AA</t>
  </si>
  <si>
    <t>10-P1S5C1FS</t>
  </si>
  <si>
    <t>10-P1S5C2FS</t>
  </si>
  <si>
    <t>10-P1S5C4FS</t>
  </si>
  <si>
    <t>10-P3S1C1AA</t>
  </si>
  <si>
    <t>10-P3S1C2AA</t>
  </si>
  <si>
    <t>10-P3S1C4AA</t>
  </si>
  <si>
    <t>10-P3S1C1FS</t>
  </si>
  <si>
    <t>10-P3S1C2FS</t>
  </si>
  <si>
    <t>10-P3S1C4FS</t>
  </si>
  <si>
    <t>10-P3S2C1AA</t>
  </si>
  <si>
    <t>10-P3S2C2AA</t>
  </si>
  <si>
    <t>10-P3S2C4AA</t>
  </si>
  <si>
    <t>10-P3S2C1FS</t>
  </si>
  <si>
    <t>10-P3S2C2FS</t>
  </si>
  <si>
    <t>10-P3S2C4FS</t>
  </si>
  <si>
    <t>10-P3S3C1AA</t>
  </si>
  <si>
    <t>10-P3S3C2AA</t>
  </si>
  <si>
    <t>10-P3S3C4AA</t>
  </si>
  <si>
    <t>10-P3S3C1FS</t>
  </si>
  <si>
    <t>10-P3S3C2FS</t>
  </si>
  <si>
    <t>10-P3S3C4FS</t>
  </si>
  <si>
    <t>10-P3S4C1AA</t>
  </si>
  <si>
    <t>10-P3S4C2AA</t>
  </si>
  <si>
    <t>10-P3S4C4AA</t>
  </si>
  <si>
    <t>10-P3S4C1FS</t>
  </si>
  <si>
    <t>10-P3S4C2FS</t>
  </si>
  <si>
    <t>10-P3S4C4FS</t>
  </si>
  <si>
    <t>10-P3S5C1AA</t>
  </si>
  <si>
    <t>10-P3S5C2AA</t>
  </si>
  <si>
    <t>10-P3S5C4AA</t>
  </si>
  <si>
    <t>10-P3S5C1FS</t>
  </si>
  <si>
    <t>10-P3S5C2FS</t>
  </si>
  <si>
    <t>10-P3S5C4FS</t>
  </si>
  <si>
    <t>10-P6S1C1AA</t>
  </si>
  <si>
    <t>10-P6S1C2AA</t>
  </si>
  <si>
    <t>10-P6S1C4AA</t>
  </si>
  <si>
    <t>10-P6S1C1FS</t>
  </si>
  <si>
    <t>10-P6S1C2FS</t>
  </si>
  <si>
    <t>10-P6S1C4FS</t>
  </si>
  <si>
    <t>10-P6S2C1AA</t>
  </si>
  <si>
    <t>10-P6S2C2AA</t>
  </si>
  <si>
    <t>10-P6S2C4AA</t>
  </si>
  <si>
    <t>10-P6S2C1FS</t>
  </si>
  <si>
    <t>10-P6S2C2FS</t>
  </si>
  <si>
    <t>10-P6S2C4FS</t>
  </si>
  <si>
    <t>10-P6S3C1AA</t>
  </si>
  <si>
    <t>10-P6S3C2AA</t>
  </si>
  <si>
    <t>10-P6S3C4AA</t>
  </si>
  <si>
    <t>10-P6S3C1FS</t>
  </si>
  <si>
    <t>10-P6S3C2FS</t>
  </si>
  <si>
    <t>10-P6S3C4FS</t>
  </si>
  <si>
    <t>10-P6S4C1AA</t>
  </si>
  <si>
    <t>10-P6S4C2AA</t>
  </si>
  <si>
    <t>10-P6S4C4AA</t>
  </si>
  <si>
    <t>10-P6S4C1FS</t>
  </si>
  <si>
    <t>10-P6S4C2FS</t>
  </si>
  <si>
    <t>10-P6S4C4FS</t>
  </si>
  <si>
    <t>10-P6S5C1AA</t>
  </si>
  <si>
    <t>10-P6S5C2AA</t>
  </si>
  <si>
    <t>10-P6S5C4AA</t>
  </si>
  <si>
    <t>10-P6S5C1FS</t>
  </si>
  <si>
    <t>10-P6S5C2FS</t>
  </si>
  <si>
    <t>10-P6S5C4FS</t>
  </si>
  <si>
    <t>10-P6S1C1AA -b</t>
  </si>
  <si>
    <t>10-P6S1C2AA -b</t>
  </si>
  <si>
    <t>10-P6S1C4AA -b</t>
  </si>
  <si>
    <t>10-P6S1C1FS -b</t>
  </si>
  <si>
    <t>10-P6S1C2FS -b</t>
  </si>
  <si>
    <t>10-P6S1C4FS -b</t>
  </si>
  <si>
    <t>10-P6S2C1AA -b</t>
  </si>
  <si>
    <t>10-P6S2C2AA -b</t>
  </si>
  <si>
    <t>10-P6S2C4AA -b</t>
  </si>
  <si>
    <t>10-P6S2C1FS -b</t>
  </si>
  <si>
    <t>10-P6S2C2FS -b</t>
  </si>
  <si>
    <t>10-P6S2C4FS -b</t>
  </si>
  <si>
    <t>10-P6S3C1AA -b</t>
  </si>
  <si>
    <t>10-P6S3C2AA -b</t>
  </si>
  <si>
    <t>10-P6S3C4AA -b</t>
  </si>
  <si>
    <t>10-P6S3C1FS -b</t>
  </si>
  <si>
    <t>10-P6S3C2FS -b</t>
  </si>
  <si>
    <t>10-P6S3C4FS -b</t>
  </si>
  <si>
    <t>10-P6S4C1AA -b</t>
  </si>
  <si>
    <t>10-P6S4C2AA -b</t>
  </si>
  <si>
    <t>10-P6S4C4AA -b</t>
  </si>
  <si>
    <t>10-P6S4C1FS -b</t>
  </si>
  <si>
    <t>10-P6S4C2FS -b</t>
  </si>
  <si>
    <t>10-P6S4C4FS -b</t>
  </si>
  <si>
    <t>10-P6S5C1AA -b</t>
  </si>
  <si>
    <t>10-P6S5C2AA -b</t>
  </si>
  <si>
    <t>10-P6S5C4AA -b</t>
  </si>
  <si>
    <t>10-P6S5C1FS -b</t>
  </si>
  <si>
    <t>10-P6S5C2FS -b</t>
  </si>
  <si>
    <t>10-P6S5C4FS -b</t>
  </si>
  <si>
    <t>11AA1</t>
  </si>
  <si>
    <t>11AA2</t>
  </si>
  <si>
    <t>11AA4</t>
  </si>
  <si>
    <t>11FS1</t>
  </si>
  <si>
    <t>11FS2</t>
  </si>
  <si>
    <t>11FS4</t>
  </si>
  <si>
    <t>12AA1</t>
  </si>
  <si>
    <t>12AA2</t>
  </si>
  <si>
    <t>12AA4</t>
  </si>
  <si>
    <t>12FS1</t>
  </si>
  <si>
    <t>12FS2</t>
  </si>
  <si>
    <t>12FS4</t>
  </si>
  <si>
    <t>15AA1</t>
  </si>
  <si>
    <t>15AA2</t>
  </si>
  <si>
    <t>15AA4</t>
  </si>
  <si>
    <t>15FS1</t>
  </si>
  <si>
    <t>15FS2</t>
  </si>
  <si>
    <t>15FS4</t>
  </si>
  <si>
    <t>31AA1</t>
  </si>
  <si>
    <t>31AA2</t>
  </si>
  <si>
    <t>31AA4</t>
  </si>
  <si>
    <t>31FS1</t>
  </si>
  <si>
    <t>31FS2</t>
  </si>
  <si>
    <t>31FS4</t>
  </si>
  <si>
    <t>34AA1</t>
  </si>
  <si>
    <t>34AA2</t>
  </si>
  <si>
    <t>34AA4</t>
  </si>
  <si>
    <t>34FS1</t>
  </si>
  <si>
    <t>34FS2</t>
  </si>
  <si>
    <t>34FS4</t>
  </si>
  <si>
    <t>35AA1</t>
  </si>
  <si>
    <t>35AA2</t>
  </si>
  <si>
    <t>35AA4</t>
  </si>
  <si>
    <t>35FS1</t>
  </si>
  <si>
    <t>35FS2</t>
  </si>
  <si>
    <t>35FS4</t>
  </si>
  <si>
    <t>63AA1</t>
  </si>
  <si>
    <t>63AA2</t>
  </si>
  <si>
    <t>63AA4</t>
  </si>
  <si>
    <t>63FS1</t>
  </si>
  <si>
    <t>63FS2</t>
  </si>
  <si>
    <t>63FS4</t>
  </si>
  <si>
    <t>64AA1</t>
  </si>
  <si>
    <t>64AA2</t>
  </si>
  <si>
    <t>64AA4</t>
  </si>
  <si>
    <t>64FS1</t>
  </si>
  <si>
    <t>64FS2</t>
  </si>
  <si>
    <t>64FS4</t>
  </si>
  <si>
    <t>13AA1</t>
  </si>
  <si>
    <t>13AA2</t>
  </si>
  <si>
    <t>13AA4</t>
  </si>
  <si>
    <t>13FS1</t>
  </si>
  <si>
    <t>13FS2</t>
  </si>
  <si>
    <t>13FS4</t>
  </si>
  <si>
    <t>14AA1</t>
  </si>
  <si>
    <t>14AA2</t>
  </si>
  <si>
    <t>14AA4</t>
  </si>
  <si>
    <t>14FS1</t>
  </si>
  <si>
    <t>14FS2</t>
  </si>
  <si>
    <t>14FS4</t>
  </si>
  <si>
    <t>32AA1</t>
  </si>
  <si>
    <t>32AA2</t>
  </si>
  <si>
    <t>32AA4</t>
  </si>
  <si>
    <t>32FS1</t>
  </si>
  <si>
    <t>32FS2</t>
  </si>
  <si>
    <t>32FS4</t>
  </si>
  <si>
    <t>33AA1</t>
  </si>
  <si>
    <t>33AA2</t>
  </si>
  <si>
    <t>33AA4</t>
  </si>
  <si>
    <t>33FS1</t>
  </si>
  <si>
    <t>33FS2</t>
  </si>
  <si>
    <t>33FS4</t>
  </si>
  <si>
    <t>61AA1</t>
  </si>
  <si>
    <t>61AA2</t>
  </si>
  <si>
    <t>61AA4</t>
  </si>
  <si>
    <t>61FS1</t>
  </si>
  <si>
    <t>61FS2</t>
  </si>
  <si>
    <t>61FS4</t>
  </si>
  <si>
    <t>62AA1</t>
  </si>
  <si>
    <t>62AA2</t>
  </si>
  <si>
    <t>62AA4</t>
  </si>
  <si>
    <t>62FS1</t>
  </si>
  <si>
    <t>62FS2</t>
  </si>
  <si>
    <t>62FS4</t>
  </si>
  <si>
    <t>65AA1</t>
  </si>
  <si>
    <t>65AA2</t>
  </si>
  <si>
    <t>65AA4</t>
  </si>
  <si>
    <t>65FS1</t>
  </si>
  <si>
    <t>65FS2</t>
  </si>
  <si>
    <t>65FS4</t>
  </si>
  <si>
    <t>Species</t>
  </si>
  <si>
    <t>01-P1S1C1AA-S</t>
  </si>
  <si>
    <t>01-P1S1C2AA-S</t>
  </si>
  <si>
    <t>01-P1S1C4AA-S</t>
  </si>
  <si>
    <t>01-P1S1C1FS-S</t>
  </si>
  <si>
    <t>01-P1S1C2FS-S</t>
  </si>
  <si>
    <t>01-P1S1C4FS-S</t>
  </si>
  <si>
    <t>01-P1S2C1AA-S</t>
  </si>
  <si>
    <t>01-P1S2C2AA-S</t>
  </si>
  <si>
    <t>01-P1S2C4AA-S</t>
  </si>
  <si>
    <t>01-P1S2C1FS-S</t>
  </si>
  <si>
    <t>01-P1S2C2FS-S</t>
  </si>
  <si>
    <t>01-P1S2C4FS-S</t>
  </si>
  <si>
    <t>01-P1S3C1AA-S</t>
  </si>
  <si>
    <t>01-P1S3C2AA-S</t>
  </si>
  <si>
    <t>01-P1S3C4AA-S</t>
  </si>
  <si>
    <t>01-P1S3C1FS-S</t>
  </si>
  <si>
    <t>01-P1S3C2FS-S</t>
  </si>
  <si>
    <t>01-P1S3C4FS-S</t>
  </si>
  <si>
    <t>01-P1S4C1AA-S</t>
  </si>
  <si>
    <t>01-P1S4C2AA-S</t>
  </si>
  <si>
    <t>01-P1S4C4AA-S</t>
  </si>
  <si>
    <t>01-P1S4C1FS-S</t>
  </si>
  <si>
    <t>01-P1S4C2FS-S</t>
  </si>
  <si>
    <t>01-P1S4C4FS-S</t>
  </si>
  <si>
    <t>01-P1S5C1AA-S</t>
  </si>
  <si>
    <t>01-P1S5C2AA-S</t>
  </si>
  <si>
    <t>01-P1S5C4AA-S</t>
  </si>
  <si>
    <t>01-P1S5C1FS-S</t>
  </si>
  <si>
    <t>01-P1S5C2FS-S</t>
  </si>
  <si>
    <t>01-P1S5C4FS-S</t>
  </si>
  <si>
    <t>01-P3S1C1AA-S</t>
  </si>
  <si>
    <t>01-P3S1C2AA-S</t>
  </si>
  <si>
    <t>01-P3S1C4AA-S</t>
  </si>
  <si>
    <t>01-P3S1C1FS-S</t>
  </si>
  <si>
    <t>01-P3S1C2FS-S</t>
  </si>
  <si>
    <t>01-P3S1C4FS-S</t>
  </si>
  <si>
    <t>01-P3S2C1AA-S</t>
  </si>
  <si>
    <t>01-P3S2C2AA-S</t>
  </si>
  <si>
    <t>01-P3S2C4AA-S</t>
  </si>
  <si>
    <t>01-P3S2C1FS-S</t>
  </si>
  <si>
    <t>01-P3S2C2FS-S</t>
  </si>
  <si>
    <t>01-P3S2C4FS-S</t>
  </si>
  <si>
    <t>01-P3S3C1AA-S</t>
  </si>
  <si>
    <t>01-P3S3C2AA-S</t>
  </si>
  <si>
    <t>01-P3S3C4AA-S</t>
  </si>
  <si>
    <t>01-P3S3C1FS-S</t>
  </si>
  <si>
    <t>01-P3S3C2FS-S</t>
  </si>
  <si>
    <t>01-P3S3C4FS-S</t>
  </si>
  <si>
    <t>01-P3S4C1AA-S</t>
  </si>
  <si>
    <t>01-P3S4C2AA-S</t>
  </si>
  <si>
    <t>01-P3S4C4AA-S</t>
  </si>
  <si>
    <t>01-P3S4C1FS-S</t>
  </si>
  <si>
    <t>01-P3S4C2FS-S</t>
  </si>
  <si>
    <t>01-P3S4C4FS-S</t>
  </si>
  <si>
    <t>01-P3S5C1AA-S</t>
  </si>
  <si>
    <t>01-P3S5C2AA-S</t>
  </si>
  <si>
    <t>01-P3S5C4AA-S</t>
  </si>
  <si>
    <t>01-P3S5C1FS-S</t>
  </si>
  <si>
    <t>01-P3S5C2FS-S</t>
  </si>
  <si>
    <t>01-P3S5C4FS-S</t>
  </si>
  <si>
    <t>01-P6S1C1AA-S</t>
  </si>
  <si>
    <t>01-P6S1C2AA-S</t>
  </si>
  <si>
    <t>01-P6S1C4AA-S</t>
  </si>
  <si>
    <t>01-P6S1C1FS-S</t>
  </si>
  <si>
    <t>01-P6S1C2FS-S</t>
  </si>
  <si>
    <t>01-P6S1C4FS-S</t>
  </si>
  <si>
    <t>01-P6S2C1AA-S</t>
  </si>
  <si>
    <t>01-P6S2C2AA-S</t>
  </si>
  <si>
    <t>01-P6S2C4AA-S</t>
  </si>
  <si>
    <t>01-P6S2C1FS-S</t>
  </si>
  <si>
    <t>01-P6S2C2FS-S</t>
  </si>
  <si>
    <t>01-P6S2C4FS-S</t>
  </si>
  <si>
    <t>01-P6S3C1AA-S</t>
  </si>
  <si>
    <t>01-P6S3C2AA-S</t>
  </si>
  <si>
    <t>01-P6S3C4AA-S</t>
  </si>
  <si>
    <t>01-P6S3C1FS-S</t>
  </si>
  <si>
    <t>01-P6S3C2FS-S</t>
  </si>
  <si>
    <t>01-P6S3C4FS-S</t>
  </si>
  <si>
    <t>01-P6S4C1AA-S</t>
  </si>
  <si>
    <t>01-P6S4C2AA-S</t>
  </si>
  <si>
    <t>01-P6S4C4AA-S</t>
  </si>
  <si>
    <t>01-P6S4C1FS-S</t>
  </si>
  <si>
    <t>01-P6S4C2FS-S</t>
  </si>
  <si>
    <t>01-P6S4C4FS-S</t>
  </si>
  <si>
    <t>01-P6S5C1AA-S</t>
  </si>
  <si>
    <t>01-P6S5C2AA-S</t>
  </si>
  <si>
    <t>01-P6S5C4AA-S</t>
  </si>
  <si>
    <t>01-P6S5C1FS-S</t>
  </si>
  <si>
    <t>01-P6S5C2FS-S</t>
  </si>
  <si>
    <t>01-P6S5C4FS-S</t>
  </si>
  <si>
    <t>01-P1S1C1AA-F</t>
  </si>
  <si>
    <t>01-P1S1C2AA-F</t>
  </si>
  <si>
    <t>01-P1S1C4AA-F</t>
  </si>
  <si>
    <t>01-P1S1C1FS-F</t>
  </si>
  <si>
    <t>01-P1S1C2FS-F</t>
  </si>
  <si>
    <t>01-P1S1C4FS-F</t>
  </si>
  <si>
    <t>01-P1S2C1AA-F</t>
  </si>
  <si>
    <t>01-P1S2C2AA-F</t>
  </si>
  <si>
    <t>01-P1S2C4AA-F</t>
  </si>
  <si>
    <t>01-P1S2C1FS-F</t>
  </si>
  <si>
    <t>01-P1S2C2FS-F</t>
  </si>
  <si>
    <t>01-P1S2C4FS-F</t>
  </si>
  <si>
    <t>01-P1S3C1AA-F</t>
  </si>
  <si>
    <t>01-P1S3C2AA-F</t>
  </si>
  <si>
    <t>01-P1S3C4AA-F</t>
  </si>
  <si>
    <t>01-P1S3C1FS-F</t>
  </si>
  <si>
    <t>01-P1S3C2FS-F</t>
  </si>
  <si>
    <t>01-P1S3C4FS-F</t>
  </si>
  <si>
    <t>01-P1S4C1AA-F</t>
  </si>
  <si>
    <t>01-P1S4C2AA-F</t>
  </si>
  <si>
    <t>01-P1S4C4AA-F</t>
  </si>
  <si>
    <t>01-P1S4C1FS-F</t>
  </si>
  <si>
    <t>01-P1S4C2FS-F</t>
  </si>
  <si>
    <t>01-P1S4C4FS-F</t>
  </si>
  <si>
    <t>01-P1S5C1AA-F</t>
  </si>
  <si>
    <t>01-P1S5C2AA-F</t>
  </si>
  <si>
    <t>01-P1S5C4AA-F</t>
  </si>
  <si>
    <t>01-P1S5C1FS-F</t>
  </si>
  <si>
    <t>01-P1S5C2FS-F</t>
  </si>
  <si>
    <t>01-P1S5C4FS-F</t>
  </si>
  <si>
    <t>01-P3S1C1AA-F</t>
  </si>
  <si>
    <t>01-P3S1C2AA-F</t>
  </si>
  <si>
    <t>01-P3S1C4AA-F</t>
  </si>
  <si>
    <t>01-P3S1C1FS-F</t>
  </si>
  <si>
    <t>01-P3S1C2FS-F</t>
  </si>
  <si>
    <t>01-P3S1C4FS-F</t>
  </si>
  <si>
    <t>01-P3S2C1AA-F</t>
  </si>
  <si>
    <t>01-P3S2C2AA-F</t>
  </si>
  <si>
    <t>01-P3S2C4AA-F</t>
  </si>
  <si>
    <t>01-P3S2C1FS-F</t>
  </si>
  <si>
    <t>01-P3S2C2FS-F</t>
  </si>
  <si>
    <t>01-P3S2C4FS-F</t>
  </si>
  <si>
    <t>01-P3S3C1AA-F</t>
  </si>
  <si>
    <t>01-P3S3C2AA-F</t>
  </si>
  <si>
    <t>01-P3S3C4AA-F</t>
  </si>
  <si>
    <t>01-P3S3C1FS-F</t>
  </si>
  <si>
    <t>01-P3S3C2FS-F</t>
  </si>
  <si>
    <t>01-P3S3C4FS-F</t>
  </si>
  <si>
    <t>01-P3S4C1AA-F</t>
  </si>
  <si>
    <t>01-P3S4C2AA-F</t>
  </si>
  <si>
    <t>01-P3S4C4AA-F</t>
  </si>
  <si>
    <t>01-P3S4C1FS-F</t>
  </si>
  <si>
    <t>01-P3S4C2FS-F</t>
  </si>
  <si>
    <t>01-P3S4C4FS-F</t>
  </si>
  <si>
    <t>01-P3S5C1AA-F</t>
  </si>
  <si>
    <t>01-P3S5C2AA-F</t>
  </si>
  <si>
    <t>01-P3S5C4AA-F</t>
  </si>
  <si>
    <t>01-P3S5C1FS-F</t>
  </si>
  <si>
    <t>01-P3S5C2FS-F</t>
  </si>
  <si>
    <t>01-P3S5C4FS-F</t>
  </si>
  <si>
    <t>01-P6S1C1AA-F</t>
  </si>
  <si>
    <t>01-P6S1C2AA-F</t>
  </si>
  <si>
    <t>01-P6S1C4AA-F</t>
  </si>
  <si>
    <t>01-P6S1C1FS-F</t>
  </si>
  <si>
    <t>01-P6S1C2FS-F</t>
  </si>
  <si>
    <t>01-P6S1C4FS-F</t>
  </si>
  <si>
    <t>01-P6S2C1AA-F</t>
  </si>
  <si>
    <t>01-P6S2C2AA-F</t>
  </si>
  <si>
    <t>01-P6S2C4AA-F</t>
  </si>
  <si>
    <t>01-P6S2C1FS-F</t>
  </si>
  <si>
    <t>01-P6S2C2FS-F</t>
  </si>
  <si>
    <t>01-P6S2C4FS-F</t>
  </si>
  <si>
    <t>01-P6S3C1AA-F</t>
  </si>
  <si>
    <t>01-P6S3C2AA-F</t>
  </si>
  <si>
    <t>01-P6S3C4AA-F</t>
  </si>
  <si>
    <t>01-P6S3C1FS-F</t>
  </si>
  <si>
    <t>01-P6S3C2FS-F</t>
  </si>
  <si>
    <t>01-P6S3C4FS-F</t>
  </si>
  <si>
    <t>01-P6S4C1AA-F</t>
  </si>
  <si>
    <t>01-P6S4C2AA-F</t>
  </si>
  <si>
    <t>01-P6S4C4AA-F</t>
  </si>
  <si>
    <t>01-P6S4C1FS-F</t>
  </si>
  <si>
    <t>01-P6S4C2FS-F</t>
  </si>
  <si>
    <t>01-P6S4C4FS-F</t>
  </si>
  <si>
    <t>01-P6S5C1AA-F</t>
  </si>
  <si>
    <t>01-P6S5C2AA-F</t>
  </si>
  <si>
    <t>01-P6S5C4AA-F</t>
  </si>
  <si>
    <t>01-P6S5C1FS-F</t>
  </si>
  <si>
    <t>01-P6S5C2FS-F</t>
  </si>
  <si>
    <t>01-P6S5C4FS-F</t>
  </si>
  <si>
    <t>01-P1S1C1AA-W</t>
  </si>
  <si>
    <t>01-P1S1C2AA-W</t>
  </si>
  <si>
    <t>01-P1S1C4AA-W</t>
  </si>
  <si>
    <t>01-P1S1C1FS-W</t>
  </si>
  <si>
    <t>01-P1S1C2FS-W</t>
  </si>
  <si>
    <t>01-P1S1C4FS-W</t>
  </si>
  <si>
    <t>01-P1S2C1AA-W</t>
  </si>
  <si>
    <t>01-P1S2C2AA-W</t>
  </si>
  <si>
    <t>01-P1S2C4AA-W</t>
  </si>
  <si>
    <t>01-P1S2C1FS-W</t>
  </si>
  <si>
    <t>01-P1S2C2FS-W</t>
  </si>
  <si>
    <t>01-P1S2C4FS-W</t>
  </si>
  <si>
    <t>01-P1S3C1AA-W</t>
  </si>
  <si>
    <t>01-P1S3C2AA-W</t>
  </si>
  <si>
    <t>01-P1S3C4AA-W</t>
  </si>
  <si>
    <t>01-P1S3C1FS-W</t>
  </si>
  <si>
    <t>01-P1S3C2FS-W</t>
  </si>
  <si>
    <t>01-P1S3C4FS-W</t>
  </si>
  <si>
    <t>01-P1S4C1AA-W</t>
  </si>
  <si>
    <t>01-P1S4C2AA-W</t>
  </si>
  <si>
    <t>01-P1S4C4AA-W</t>
  </si>
  <si>
    <t>01-P1S4C1FS-W</t>
  </si>
  <si>
    <t>01-P1S4C2FS-W</t>
  </si>
  <si>
    <t>01-P1S4C4FS-W</t>
  </si>
  <si>
    <t>01-P1S5C1AA-W</t>
  </si>
  <si>
    <t>01-P1S5C2AA-W</t>
  </si>
  <si>
    <t>01-P1S5C4AA-W</t>
  </si>
  <si>
    <t>01-P1S5C1FS-W</t>
  </si>
  <si>
    <t>01-P1S5C2FS-W</t>
  </si>
  <si>
    <t>01-P1S5C4FS-W</t>
  </si>
  <si>
    <t>01-P3S1C1AA-W</t>
  </si>
  <si>
    <t>01-P3S1C2AA-W</t>
  </si>
  <si>
    <t>01-P3S1C4AA-W</t>
  </si>
  <si>
    <t>01-P3S1C1FS-W</t>
  </si>
  <si>
    <t>01-P3S1C2FS-W</t>
  </si>
  <si>
    <t>01-P3S1C4FS-W</t>
  </si>
  <si>
    <t>01-P3S2C1AA-W</t>
  </si>
  <si>
    <t>01-P3S2C2AA-W</t>
  </si>
  <si>
    <t>01-P3S2C4AA-W</t>
  </si>
  <si>
    <t>01-P3S2C1FS-W</t>
  </si>
  <si>
    <t>01-P3S2C2FS-W</t>
  </si>
  <si>
    <t>01-P3S2C4FS-W</t>
  </si>
  <si>
    <t>01-P3S3C1AA-W</t>
  </si>
  <si>
    <t>01-P3S3C2AA-W</t>
  </si>
  <si>
    <t>01-P3S3C4AA-W</t>
  </si>
  <si>
    <t>01-P3S3C1FS-W</t>
  </si>
  <si>
    <t>01-P3S3C2FS-W</t>
  </si>
  <si>
    <t>01-P3S3C4FS-W</t>
  </si>
  <si>
    <t>01-P3S4C1AA-W</t>
  </si>
  <si>
    <t>01-P3S4C2AA-W</t>
  </si>
  <si>
    <t>01-P3S4C4AA-W</t>
  </si>
  <si>
    <t>01-P3S4C1FS-W</t>
  </si>
  <si>
    <t>01-P3S4C2FS-W</t>
  </si>
  <si>
    <t>01-P3S4C4FS-W</t>
  </si>
  <si>
    <t>01-P3S5C1AA-W</t>
  </si>
  <si>
    <t>01-P3S5C2AA-W</t>
  </si>
  <si>
    <t>01-P3S5C4AA-W</t>
  </si>
  <si>
    <t>01-P3S5C1FS-W</t>
  </si>
  <si>
    <t>01-P3S5C2FS-W</t>
  </si>
  <si>
    <t>01-P3S5C4FS-W</t>
  </si>
  <si>
    <t>01-P6S1C1AA-W</t>
  </si>
  <si>
    <t>01-P6S1C2AA-W</t>
  </si>
  <si>
    <t>01-P6S1C4AA-W</t>
  </si>
  <si>
    <t>01-P6S1C1FS-W</t>
  </si>
  <si>
    <t>01-P6S1C2FS-W</t>
  </si>
  <si>
    <t>01-P6S1C4FS-W</t>
  </si>
  <si>
    <t>01-P6S2C1AA-W</t>
  </si>
  <si>
    <t>01-P6S2C2AA-W</t>
  </si>
  <si>
    <t>01-P6S2C4AA-W</t>
  </si>
  <si>
    <t>01-P6S2C1FS-W</t>
  </si>
  <si>
    <t>01-P6S2C2FS-W</t>
  </si>
  <si>
    <t>01-P6S2C4FS-W</t>
  </si>
  <si>
    <t>01-P6S3C1AA-W</t>
  </si>
  <si>
    <t>01-P6S3C2AA-W</t>
  </si>
  <si>
    <t>01-P6S3C4AA-W</t>
  </si>
  <si>
    <t>01-P6S3C1FS-W</t>
  </si>
  <si>
    <t>01-P6S3C2FS-W</t>
  </si>
  <si>
    <t>01-P6S3C4FS-W</t>
  </si>
  <si>
    <t>01-P6S4C1AA-W</t>
  </si>
  <si>
    <t>01-P6S4C2AA-W</t>
  </si>
  <si>
    <t>01-P6S4C4AA-W</t>
  </si>
  <si>
    <t>01-P6S4C1FS-W</t>
  </si>
  <si>
    <t>01-P6S4C2FS-W</t>
  </si>
  <si>
    <t>01-P6S4C4FS-W</t>
  </si>
  <si>
    <t>01-P6S5C1AA-W</t>
  </si>
  <si>
    <t>01-P6S5C2AA-W</t>
  </si>
  <si>
    <t>01-P6S5C4AA-W</t>
  </si>
  <si>
    <t>01-P6S5C1FS-W</t>
  </si>
  <si>
    <t>01-P6S5C2FS-W</t>
  </si>
  <si>
    <t>01-P6S5C4FS-W</t>
  </si>
  <si>
    <t>01-P1S1C1AA-Sp</t>
  </si>
  <si>
    <t>01-P1S1C2AA-Sp</t>
  </si>
  <si>
    <t>01-P1S1C4AA-Sp</t>
  </si>
  <si>
    <t>01-P1S1C1FS-Sp</t>
  </si>
  <si>
    <t>01-P1S1C2FS-Sp</t>
  </si>
  <si>
    <t>01-P1S1C4FS-Sp</t>
  </si>
  <si>
    <t>01-P1S2C1AA-Sp</t>
  </si>
  <si>
    <t>01-P1S2C2AA-Sp</t>
  </si>
  <si>
    <t>01-P1S2C4AA-Sp</t>
  </si>
  <si>
    <t>01-P1S2C1FS-Sp</t>
  </si>
  <si>
    <t>01-P1S2C2FS-Sp</t>
  </si>
  <si>
    <t>01-P1S2C4FS-Sp</t>
  </si>
  <si>
    <t>01-P1S3C1AA-Sp</t>
  </si>
  <si>
    <t>01-P1S3C2AA-Sp</t>
  </si>
  <si>
    <t>01-P1S3C4AA-Sp</t>
  </si>
  <si>
    <t>01-P1S3C1FS-Sp</t>
  </si>
  <si>
    <t>01-P1S3C2FS-Sp</t>
  </si>
  <si>
    <t>01-P1S3C4FS-Sp</t>
  </si>
  <si>
    <t>01-P1S4C1AA-Sp</t>
  </si>
  <si>
    <t>01-P1S4C2AA-Sp</t>
  </si>
  <si>
    <t>01-P1S4C4AA-Sp</t>
  </si>
  <si>
    <t>01-P1S4C1FS-Sp</t>
  </si>
  <si>
    <t>01-P1S4C2FS-Sp</t>
  </si>
  <si>
    <t>01-P1S4C4FS-Sp</t>
  </si>
  <si>
    <t>01-P1S5C1AA-Sp</t>
  </si>
  <si>
    <t>01-P1S5C2AA-Sp</t>
  </si>
  <si>
    <t>01-P1S5C4AA-Sp</t>
  </si>
  <si>
    <t>01-P1S5C1FS-Sp</t>
  </si>
  <si>
    <t>01-P1S5C2FS-Sp</t>
  </si>
  <si>
    <t>01-P1S5C4FS-Sp</t>
  </si>
  <si>
    <t>01-P3S1C1AA-Sp</t>
  </si>
  <si>
    <t>01-P3S1C2AA-Sp</t>
  </si>
  <si>
    <t>01-P3S1C4AA-Sp</t>
  </si>
  <si>
    <t>01-P3S1C1FS-Sp</t>
  </si>
  <si>
    <t>01-P3S1C2FS-Sp</t>
  </si>
  <si>
    <t>01-P3S1C4FS-Sp</t>
  </si>
  <si>
    <t>01-P3S2C1AA-Sp</t>
  </si>
  <si>
    <t>01-P3S2C2AA-Sp</t>
  </si>
  <si>
    <t>01-P3S2C4AA-Sp</t>
  </si>
  <si>
    <t>01-P3S2C1FS-Sp</t>
  </si>
  <si>
    <t>01-P3S2C2FS-Sp</t>
  </si>
  <si>
    <t>01-P3S2C4FS-Sp</t>
  </si>
  <si>
    <t>01-P3S3C1AA-Sp</t>
  </si>
  <si>
    <t>01-P3S3C2AA-Sp</t>
  </si>
  <si>
    <t>01-P3S3C4AA-Sp</t>
  </si>
  <si>
    <t>01-P3S3C1FS-Sp</t>
  </si>
  <si>
    <t>01-P3S3C2FS-Sp</t>
  </si>
  <si>
    <t>01-P3S3C4FS-Sp</t>
  </si>
  <si>
    <t>01-P3S4C1AA-Sp</t>
  </si>
  <si>
    <t>01-P3S4C2AA-Sp</t>
  </si>
  <si>
    <t>01-P3S4C4AA-Sp</t>
  </si>
  <si>
    <t>01-P3S4C1FS-Sp</t>
  </si>
  <si>
    <t>01-P3S4C2FS-Sp</t>
  </si>
  <si>
    <t>01-P3S4C4FS-Sp</t>
  </si>
  <si>
    <t>01-P3S5C1AA-Sp</t>
  </si>
  <si>
    <t>01-P3S5C2AA-Sp</t>
  </si>
  <si>
    <t>01-P3S5C4AA-Sp</t>
  </si>
  <si>
    <t>01-P3S5C1FS-Sp</t>
  </si>
  <si>
    <t>01-P3S5C2FS-Sp</t>
  </si>
  <si>
    <t>01-P3S5C4FS-Sp</t>
  </si>
  <si>
    <t>01-P6S1C1AA-Sp</t>
  </si>
  <si>
    <t>01-P6S1C2AA-Sp</t>
  </si>
  <si>
    <t>01-P6S1C4AA-Sp</t>
  </si>
  <si>
    <t>01-P6S1C1FS-Sp</t>
  </si>
  <si>
    <t>01-P6S1C2FS-Sp</t>
  </si>
  <si>
    <t>01-P6S1C4FS-Sp</t>
  </si>
  <si>
    <t>01-P6S2C1AA-Sp</t>
  </si>
  <si>
    <t>01-P6S2C2AA-Sp</t>
  </si>
  <si>
    <t>01-P6S2C4AA-Sp</t>
  </si>
  <si>
    <t>01-P6S2C1FS-Sp</t>
  </si>
  <si>
    <t>01-P6S2C2FS-Sp</t>
  </si>
  <si>
    <t>01-P6S2C4FS-Sp</t>
  </si>
  <si>
    <t>01-P6S3C1AA-Sp</t>
  </si>
  <si>
    <t>01-P6S3C2AA-Sp</t>
  </si>
  <si>
    <t>01-P6S3C4AA-Sp</t>
  </si>
  <si>
    <t>01-P6S3C1FS-Sp</t>
  </si>
  <si>
    <t>01-P6S3C2FS-Sp</t>
  </si>
  <si>
    <t>01-P6S3C4FS-Sp</t>
  </si>
  <si>
    <t>01-P6S4C1AA-Sp</t>
  </si>
  <si>
    <t>01-P6S4C2AA-Sp</t>
  </si>
  <si>
    <t>01-P6S4C4AA-Sp</t>
  </si>
  <si>
    <t>01-P6S4C1FS-Sp</t>
  </si>
  <si>
    <t>01-P6S4C2FS-Sp</t>
  </si>
  <si>
    <t>01-P6S4C4FS-Sp</t>
  </si>
  <si>
    <t>01-P6S5C1AA-Sp</t>
  </si>
  <si>
    <t>01-P6S5C2AA-Sp</t>
  </si>
  <si>
    <t>01-P6S5C4AA-Sp</t>
  </si>
  <si>
    <t>01-P6S5C1FS-Sp</t>
  </si>
  <si>
    <t>01-P6S5C2FS-Sp</t>
  </si>
  <si>
    <t>01-P6S5C4FS-Sp</t>
  </si>
  <si>
    <t>Class</t>
  </si>
  <si>
    <t>Diameter</t>
  </si>
  <si>
    <t>01</t>
  </si>
  <si>
    <t>….........</t>
  </si>
  <si>
    <t>2775-24</t>
  </si>
  <si>
    <t>2775-13</t>
  </si>
  <si>
    <t>2775-28</t>
  </si>
  <si>
    <t>2775-16</t>
  </si>
  <si>
    <t>2775-30</t>
  </si>
  <si>
    <t>2775-14</t>
  </si>
  <si>
    <t>2775-9</t>
  </si>
  <si>
    <t>2775-23</t>
  </si>
  <si>
    <t>2775-17</t>
  </si>
  <si>
    <t>2775-7</t>
  </si>
  <si>
    <t>2775-1</t>
  </si>
  <si>
    <t>2775-4</t>
  </si>
  <si>
    <t>2775-12</t>
  </si>
  <si>
    <t>2775-15</t>
  </si>
  <si>
    <t>2775-6</t>
  </si>
  <si>
    <t>2775-3</t>
  </si>
  <si>
    <t>2775-26</t>
  </si>
  <si>
    <t>2775-8</t>
  </si>
  <si>
    <t>2775-10</t>
  </si>
  <si>
    <t>2775-21</t>
  </si>
  <si>
    <t>2775-19</t>
  </si>
  <si>
    <t>2775-29</t>
  </si>
  <si>
    <t>2775-25</t>
  </si>
  <si>
    <t>2775-11</t>
  </si>
  <si>
    <t>2775-18</t>
  </si>
  <si>
    <t>2775-2</t>
  </si>
  <si>
    <t>2775-20</t>
  </si>
  <si>
    <t>2775-5</t>
  </si>
  <si>
    <t>2775-….........</t>
  </si>
  <si>
    <t>CODE CEBAS</t>
  </si>
  <si>
    <t>CODE DEWOOD</t>
  </si>
  <si>
    <t>2768-1</t>
  </si>
  <si>
    <t>…..............</t>
  </si>
  <si>
    <t>2768-13</t>
  </si>
  <si>
    <t>2768-3</t>
  </si>
  <si>
    <t>2768-2</t>
  </si>
  <si>
    <t>2768-16</t>
  </si>
  <si>
    <t>2768-11</t>
  </si>
  <si>
    <t>2768-15</t>
  </si>
  <si>
    <t>2768-12</t>
  </si>
  <si>
    <t>2768-9</t>
  </si>
  <si>
    <t>2768-18</t>
  </si>
  <si>
    <t>2768-4</t>
  </si>
  <si>
    <t>2768-10</t>
  </si>
  <si>
    <t>2768-7</t>
  </si>
  <si>
    <t>2768-8</t>
  </si>
  <si>
    <t>2768-14</t>
  </si>
  <si>
    <t>2768-17</t>
  </si>
  <si>
    <t>2768-5</t>
  </si>
  <si>
    <t>2768-32</t>
  </si>
  <si>
    <t>2768-41</t>
  </si>
  <si>
    <t>2768-36</t>
  </si>
  <si>
    <t>2768-27</t>
  </si>
  <si>
    <t>2768-37</t>
  </si>
  <si>
    <t>2768-43</t>
  </si>
  <si>
    <t>2768-44</t>
  </si>
  <si>
    <t>2768-35</t>
  </si>
  <si>
    <t>2768-42</t>
  </si>
  <si>
    <t>2768-31</t>
  </si>
  <si>
    <t>2768-30</t>
  </si>
  <si>
    <t>2768-81</t>
  </si>
  <si>
    <t>2768-40</t>
  </si>
  <si>
    <t>2768-38</t>
  </si>
  <si>
    <t>2768-83</t>
  </si>
  <si>
    <t>2768-57</t>
  </si>
  <si>
    <t>2768-59</t>
  </si>
  <si>
    <t>2768-114</t>
  </si>
  <si>
    <t>2768-89</t>
  </si>
  <si>
    <t>2768-115</t>
  </si>
  <si>
    <t>2768-58</t>
  </si>
  <si>
    <t>2768-64</t>
  </si>
  <si>
    <t>2768-119</t>
  </si>
  <si>
    <t>2768-67</t>
  </si>
  <si>
    <t>2768-122</t>
  </si>
  <si>
    <t>2768-94</t>
  </si>
  <si>
    <t>2768-139</t>
  </si>
  <si>
    <t>2768-65</t>
  </si>
  <si>
    <t>2768-124</t>
  </si>
  <si>
    <t>2768-269</t>
  </si>
  <si>
    <t>2768-147</t>
  </si>
  <si>
    <t>2768-150</t>
  </si>
  <si>
    <t>2768-270</t>
  </si>
  <si>
    <t>2768-71</t>
  </si>
  <si>
    <t>2768-145</t>
  </si>
  <si>
    <t>2768-123</t>
  </si>
  <si>
    <t>2768-96</t>
  </si>
  <si>
    <t>2768-148</t>
  </si>
  <si>
    <t>2768-151</t>
  </si>
  <si>
    <t>2768-137</t>
  </si>
  <si>
    <t>2768-85</t>
  </si>
  <si>
    <t>2768-121</t>
  </si>
  <si>
    <t>2768-120</t>
  </si>
  <si>
    <t>2768-68</t>
  </si>
  <si>
    <t>2768-54</t>
  </si>
  <si>
    <t>2768-118</t>
  </si>
  <si>
    <t>2768-33</t>
  </si>
  <si>
    <t>2768-82</t>
  </si>
  <si>
    <t>2768-66</t>
  </si>
  <si>
    <t>2768-55</t>
  </si>
  <si>
    <t>2768-146</t>
  </si>
  <si>
    <t>2768-144</t>
  </si>
  <si>
    <t>2768-117</t>
  </si>
  <si>
    <t>2768-143</t>
  </si>
  <si>
    <t>2768-56</t>
  </si>
  <si>
    <t>2768-136</t>
  </si>
  <si>
    <t>2768-87</t>
  </si>
  <si>
    <t>2768-91</t>
  </si>
  <si>
    <t>2768-88</t>
  </si>
  <si>
    <t>2768-69</t>
  </si>
  <si>
    <t>2768-98</t>
  </si>
  <si>
    <t>2768-39</t>
  </si>
  <si>
    <t>2768-152</t>
  </si>
  <si>
    <t>2768-153</t>
  </si>
  <si>
    <t>2768-154</t>
  </si>
  <si>
    <t>2768-155</t>
  </si>
  <si>
    <t>2768-156</t>
  </si>
  <si>
    <t>2768-157</t>
  </si>
  <si>
    <t>2768-158</t>
  </si>
  <si>
    <t>2768-159</t>
  </si>
  <si>
    <t>2768-160</t>
  </si>
  <si>
    <t>2768-19</t>
  </si>
  <si>
    <t>2768-20</t>
  </si>
  <si>
    <t>2768-21</t>
  </si>
  <si>
    <t>2768-22</t>
  </si>
  <si>
    <t>2768-23</t>
  </si>
  <si>
    <t>2768-24</t>
  </si>
  <si>
    <t>2768-25</t>
  </si>
  <si>
    <t>2768-26</t>
  </si>
  <si>
    <t>2768-179</t>
  </si>
  <si>
    <t>2768-1180</t>
  </si>
  <si>
    <t>2768-181</t>
  </si>
  <si>
    <t>2768-182</t>
  </si>
  <si>
    <t>2768-183</t>
  </si>
  <si>
    <t>2768-45</t>
  </si>
  <si>
    <t>2768-46</t>
  </si>
  <si>
    <t>2768-47</t>
  </si>
  <si>
    <t>2768-48</t>
  </si>
  <si>
    <t>2768-49</t>
  </si>
  <si>
    <t>2768-50</t>
  </si>
  <si>
    <t>2768-51</t>
  </si>
  <si>
    <t>2768-52</t>
  </si>
  <si>
    <t>2768-53</t>
  </si>
  <si>
    <t>2768-184</t>
  </si>
  <si>
    <t>2768-185</t>
  </si>
  <si>
    <t>2768-186</t>
  </si>
  <si>
    <t>2768-187</t>
  </si>
  <si>
    <t>2768-206</t>
  </si>
  <si>
    <t>2768-207</t>
  </si>
  <si>
    <t>2768-208</t>
  </si>
  <si>
    <t>2768-209</t>
  </si>
  <si>
    <t>2768-72</t>
  </si>
  <si>
    <t>2768-73</t>
  </si>
  <si>
    <t>2768-74</t>
  </si>
  <si>
    <t>2768-75</t>
  </si>
  <si>
    <t>2768-76</t>
  </si>
  <si>
    <t>2768-77</t>
  </si>
  <si>
    <t>2768-210</t>
  </si>
  <si>
    <t>2768-211</t>
  </si>
  <si>
    <t>2768-212</t>
  </si>
  <si>
    <t>2768-213</t>
  </si>
  <si>
    <t>2768-214</t>
  </si>
  <si>
    <t>2768-233</t>
  </si>
  <si>
    <t>2768-234</t>
  </si>
  <si>
    <t>2768-235</t>
  </si>
  <si>
    <t>2768-236</t>
  </si>
  <si>
    <t>2768-237</t>
  </si>
  <si>
    <t>2768-78</t>
  </si>
  <si>
    <t>2768-79</t>
  </si>
  <si>
    <t>2768-80</t>
  </si>
  <si>
    <t>2768-238</t>
  </si>
  <si>
    <t>2768-239</t>
  </si>
  <si>
    <t>2768-240</t>
  </si>
  <si>
    <t>2768-241</t>
  </si>
  <si>
    <t>2768-100</t>
  </si>
  <si>
    <t>2768-101</t>
  </si>
  <si>
    <t>2768-102</t>
  </si>
  <si>
    <t>2768-103</t>
  </si>
  <si>
    <t>2768-104</t>
  </si>
  <si>
    <t>2768-105</t>
  </si>
  <si>
    <t>2768-106</t>
  </si>
  <si>
    <t>2768-99</t>
  </si>
  <si>
    <t>2768-260</t>
  </si>
  <si>
    <t>2768-261</t>
  </si>
  <si>
    <t>2768-262</t>
  </si>
  <si>
    <t>2768-263</t>
  </si>
  <si>
    <t>2768-264</t>
  </si>
  <si>
    <t>2768-265</t>
  </si>
  <si>
    <t>2768-266</t>
  </si>
  <si>
    <t>2768-267</t>
  </si>
  <si>
    <t>2768-268</t>
  </si>
  <si>
    <t>2768-161</t>
  </si>
  <si>
    <t>2768-162</t>
  </si>
  <si>
    <t>2768-163</t>
  </si>
  <si>
    <t>2768-164</t>
  </si>
  <si>
    <t>2768-165</t>
  </si>
  <si>
    <t>2768-166</t>
  </si>
  <si>
    <t>2768-167</t>
  </si>
  <si>
    <t>2768-168</t>
  </si>
  <si>
    <t>2768-169</t>
  </si>
  <si>
    <t>2768-125</t>
  </si>
  <si>
    <t>2768-126</t>
  </si>
  <si>
    <t>2768-127</t>
  </si>
  <si>
    <t>2768-128</t>
  </si>
  <si>
    <t>2768-129</t>
  </si>
  <si>
    <t>2768-130</t>
  </si>
  <si>
    <t>2768-131</t>
  </si>
  <si>
    <t>2768-132</t>
  </si>
  <si>
    <t>2768-133</t>
  </si>
  <si>
    <t>2768-170</t>
  </si>
  <si>
    <t>2768-171</t>
  </si>
  <si>
    <t>2768-172</t>
  </si>
  <si>
    <t>2768-173</t>
  </si>
  <si>
    <t>2768-174</t>
  </si>
  <si>
    <t>2768-175</t>
  </si>
  <si>
    <t>2768-176</t>
  </si>
  <si>
    <t>2768-197</t>
  </si>
  <si>
    <t>2768-198</t>
  </si>
  <si>
    <t>2768-199</t>
  </si>
  <si>
    <t>2768-200</t>
  </si>
  <si>
    <t>2768-201</t>
  </si>
  <si>
    <t>2768-202</t>
  </si>
  <si>
    <t>2768-203</t>
  </si>
  <si>
    <t>2768-204</t>
  </si>
  <si>
    <t>2768-205</t>
  </si>
  <si>
    <t>2768-177</t>
  </si>
  <si>
    <t>2768-178</t>
  </si>
  <si>
    <t>2768-188</t>
  </si>
  <si>
    <t>2768-189</t>
  </si>
  <si>
    <t>2768-190</t>
  </si>
  <si>
    <t>2768-191</t>
  </si>
  <si>
    <t>2768-192</t>
  </si>
  <si>
    <t>2768-193</t>
  </si>
  <si>
    <t>2768-194</t>
  </si>
  <si>
    <t>2768-195</t>
  </si>
  <si>
    <t>2768-196</t>
  </si>
  <si>
    <t>2768-215</t>
  </si>
  <si>
    <t>2768-216</t>
  </si>
  <si>
    <t>2768-217</t>
  </si>
  <si>
    <t>2768-218</t>
  </si>
  <si>
    <t>2768-219</t>
  </si>
  <si>
    <t>2768-220</t>
  </si>
  <si>
    <t>2768-221</t>
  </si>
  <si>
    <t>2768-222</t>
  </si>
  <si>
    <t>2768-223</t>
  </si>
  <si>
    <t>2768-224</t>
  </si>
  <si>
    <t>2768-225</t>
  </si>
  <si>
    <t>2768-226</t>
  </si>
  <si>
    <t>2768-227</t>
  </si>
  <si>
    <t>2768-228</t>
  </si>
  <si>
    <t>2768-229</t>
  </si>
  <si>
    <t>2768-230</t>
  </si>
  <si>
    <t>2768-231</t>
  </si>
  <si>
    <t>2768-232</t>
  </si>
  <si>
    <t>2768-251</t>
  </si>
  <si>
    <t>2768-252</t>
  </si>
  <si>
    <t>2768-253</t>
  </si>
  <si>
    <t>2768-254</t>
  </si>
  <si>
    <t>2768-255</t>
  </si>
  <si>
    <t>2768-256</t>
  </si>
  <si>
    <t>2768-257</t>
  </si>
  <si>
    <t>2768-258</t>
  </si>
  <si>
    <t>2768-242</t>
  </si>
  <si>
    <t>2768-243</t>
  </si>
  <si>
    <t>2768-244</t>
  </si>
  <si>
    <t>2768-245</t>
  </si>
  <si>
    <t>2768-246</t>
  </si>
  <si>
    <t>2768-247</t>
  </si>
  <si>
    <t>2768-248</t>
  </si>
  <si>
    <t>2768-249</t>
  </si>
  <si>
    <t>2768-250</t>
  </si>
  <si>
    <t>2768-140</t>
  </si>
  <si>
    <t>2768-90</t>
  </si>
  <si>
    <t>2768-259</t>
  </si>
  <si>
    <t>2768-107</t>
  </si>
  <si>
    <t>2768-60</t>
  </si>
  <si>
    <t>2768-112</t>
  </si>
  <si>
    <t>2768-138</t>
  </si>
  <si>
    <t>2768-62</t>
  </si>
  <si>
    <t>2768-92</t>
  </si>
  <si>
    <t>2768-110</t>
  </si>
  <si>
    <t>2768-86</t>
  </si>
  <si>
    <t>2768-149</t>
  </si>
  <si>
    <t>2768-63</t>
  </si>
  <si>
    <t>2768-116</t>
  </si>
  <si>
    <t>2768-134</t>
  </si>
  <si>
    <t>2768-108</t>
  </si>
  <si>
    <t>2768-141</t>
  </si>
  <si>
    <t>2768-142</t>
  </si>
  <si>
    <t>2768-95</t>
  </si>
  <si>
    <t>2768-97</t>
  </si>
  <si>
    <t>2768-135</t>
  </si>
  <si>
    <t>2768-109</t>
  </si>
  <si>
    <t>2768-84</t>
  </si>
  <si>
    <t>2768-61</t>
  </si>
  <si>
    <t>2768-29</t>
  </si>
  <si>
    <t>2768-111</t>
  </si>
  <si>
    <t>2768-113</t>
  </si>
  <si>
    <t>2768-…..............</t>
  </si>
  <si>
    <t>DeWood code</t>
  </si>
  <si>
    <t>IDENTIFICACION 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</si>
</sst>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0" formatCode="0.00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sz val="10"/>
      <name val="Arial"/>
    </font>
    <font>
      <sz val="8"/>
      <color indexed="9"/>
      <name val="Arial"/>
      <family val="2"/>
    </font>
    <font>
      <sz val="8"/>
      <color indexed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top" wrapText="1"/>
    </xf>
    <xf numFmtId="2" fontId="5" fillId="3" borderId="2" xfId="0" applyNumberFormat="1" applyFont="1" applyFill="1" applyBorder="1" applyAlignment="1">
      <alignment horizontal="center" vertical="top" wrapText="1"/>
    </xf>
    <xf numFmtId="2" fontId="5" fillId="3" borderId="2" xfId="0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top" wrapText="1"/>
    </xf>
    <xf numFmtId="0" fontId="0" fillId="0" borderId="0" xfId="0" applyFont="1"/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2" fontId="8" fillId="3" borderId="2" xfId="1" applyNumberFormat="1" applyFont="1" applyFill="1" applyBorder="1" applyAlignment="1">
      <alignment horizontal="center" vertical="top" wrapText="1"/>
    </xf>
    <xf numFmtId="2" fontId="8" fillId="3" borderId="2" xfId="1" applyNumberFormat="1" applyFont="1" applyFill="1" applyBorder="1" applyAlignment="1">
      <alignment horizontal="center" vertical="center" wrapText="1"/>
    </xf>
    <xf numFmtId="170" fontId="8" fillId="3" borderId="2" xfId="1" applyNumberFormat="1" applyFont="1" applyFill="1" applyBorder="1" applyAlignment="1">
      <alignment horizontal="center" vertical="center" wrapText="1"/>
    </xf>
    <xf numFmtId="169" fontId="8" fillId="3" borderId="2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0" xfId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2" fillId="0" borderId="2" xfId="0" applyFont="1" applyBorder="1"/>
    <xf numFmtId="0" fontId="9" fillId="0" borderId="6" xfId="0" applyFont="1" applyBorder="1"/>
    <xf numFmtId="0" fontId="10" fillId="0" borderId="2" xfId="0" applyFont="1" applyBorder="1"/>
    <xf numFmtId="0" fontId="1" fillId="4" borderId="6" xfId="0" applyFont="1" applyFill="1" applyBorder="1"/>
    <xf numFmtId="0" fontId="11" fillId="4" borderId="2" xfId="0" applyFont="1" applyFill="1" applyBorder="1"/>
    <xf numFmtId="0" fontId="11" fillId="4" borderId="6" xfId="0" applyFont="1" applyFill="1" applyBorder="1"/>
    <xf numFmtId="0" fontId="1" fillId="0" borderId="6" xfId="0" applyFont="1" applyBorder="1"/>
    <xf numFmtId="0" fontId="11" fillId="0" borderId="2" xfId="0" applyFont="1" applyBorder="1"/>
    <xf numFmtId="0" fontId="11" fillId="0" borderId="6" xfId="0" applyFont="1" applyBorder="1"/>
    <xf numFmtId="0" fontId="11" fillId="0" borderId="6" xfId="0" quotePrefix="1" applyFont="1" applyBorder="1"/>
    <xf numFmtId="49" fontId="0" fillId="0" borderId="0" xfId="0" applyNumberFormat="1"/>
  </cellXfs>
  <cellStyles count="2">
    <cellStyle name="Normal" xfId="0" builtinId="0"/>
    <cellStyle name="Normal 2" xfId="1" xr:uid="{66C10C18-8CB3-4C05-BD5A-6080D2CDCE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F584-C4D8-40AB-B97E-0FDCA00DFD50}">
  <dimension ref="A1:H300"/>
  <sheetViews>
    <sheetView tabSelected="1" workbookViewId="0">
      <selection sqref="A1:XFD1"/>
    </sheetView>
  </sheetViews>
  <sheetFormatPr defaultRowHeight="12" customHeight="1" x14ac:dyDescent="0.25"/>
  <cols>
    <col min="1" max="1" width="25.7109375" bestFit="1" customWidth="1"/>
    <col min="2" max="2" width="25.7109375" customWidth="1"/>
    <col min="3" max="3" width="12" customWidth="1"/>
    <col min="4" max="4" width="12.140625" customWidth="1"/>
    <col min="5" max="5" width="13.85546875" bestFit="1" customWidth="1"/>
  </cols>
  <sheetData>
    <row r="1" spans="1:8" ht="12" customHeight="1" x14ac:dyDescent="0.25">
      <c r="A1" s="1" t="s">
        <v>1599</v>
      </c>
      <c r="B1" s="17" t="s">
        <v>632</v>
      </c>
      <c r="C1" s="2" t="s">
        <v>0</v>
      </c>
      <c r="D1" s="2" t="s">
        <v>1</v>
      </c>
      <c r="E1" s="16" t="s">
        <v>1598</v>
      </c>
      <c r="F1" s="16" t="s">
        <v>935</v>
      </c>
      <c r="G1" s="16" t="s">
        <v>1296</v>
      </c>
      <c r="H1" s="16" t="s">
        <v>1297</v>
      </c>
    </row>
    <row r="2" spans="1:8" ht="12" customHeight="1" x14ac:dyDescent="0.25">
      <c r="A2" s="3" t="s">
        <v>2</v>
      </c>
      <c r="B2" s="3" t="str">
        <f>RIGHT(A2, LEN(A2)-21)</f>
        <v>2768-1</v>
      </c>
      <c r="C2" s="4">
        <v>0.66039500000000007</v>
      </c>
      <c r="D2" s="5">
        <v>46.057000000000002</v>
      </c>
      <c r="E2">
        <f>VLOOKUP(B2,'CEBAS-DEWOOD code'!A$2:B$302,2,FALSE)</f>
        <v>114</v>
      </c>
      <c r="F2" s="7" t="str">
        <f>VLOOKUP(E2,'Field Table'!A$2:E$661,3,FALSE)</f>
        <v>FS</v>
      </c>
      <c r="G2" s="7" t="str">
        <f>VLOOKUP(E2,'Field Table'!A$2:E$661,4,FALSE)</f>
        <v>4</v>
      </c>
      <c r="H2" s="7" t="str">
        <f>VLOOKUP(E2,'Field Table'!A$2:E$661,5,FALSE)</f>
        <v>25</v>
      </c>
    </row>
    <row r="3" spans="1:8" ht="12" customHeight="1" x14ac:dyDescent="0.25">
      <c r="A3" s="3" t="s">
        <v>3</v>
      </c>
      <c r="B3" s="3" t="str">
        <f>RIGHT(A3, LEN(A3)-21)</f>
        <v>2768-2</v>
      </c>
      <c r="C3" s="4">
        <v>0.19467000000000001</v>
      </c>
      <c r="D3" s="5">
        <v>46.557000000000002</v>
      </c>
      <c r="E3">
        <f>VLOOKUP(B3,'CEBAS-DEWOOD code'!A$2:B$302,2,FALSE)</f>
        <v>364</v>
      </c>
      <c r="F3" s="7" t="str">
        <f>VLOOKUP(E3,'Field Table'!A$2:E$661,3,FALSE)</f>
        <v>FS</v>
      </c>
      <c r="G3" s="7" t="str">
        <f>VLOOKUP(E3,'Field Table'!A$2:E$661,4,FALSE)</f>
        <v>2</v>
      </c>
      <c r="H3" s="7" t="str">
        <f>VLOOKUP(E3,'Field Table'!A$2:E$661,5,FALSE)</f>
        <v>25</v>
      </c>
    </row>
    <row r="4" spans="1:8" ht="12" customHeight="1" x14ac:dyDescent="0.25">
      <c r="A4" s="3" t="s">
        <v>4</v>
      </c>
      <c r="B4" s="3" t="str">
        <f>RIGHT(A4, LEN(A4)-21)</f>
        <v>2768-3</v>
      </c>
      <c r="C4" s="4">
        <v>0.15213599999999999</v>
      </c>
      <c r="D4" s="5">
        <v>45.231400000000001</v>
      </c>
      <c r="E4">
        <f>VLOOKUP(B4,'CEBAS-DEWOOD code'!A$2:B$302,2,FALSE)</f>
        <v>37</v>
      </c>
      <c r="F4" s="7" t="str">
        <f>VLOOKUP(E4,'Field Table'!A$2:E$661,3,FALSE)</f>
        <v>AA</v>
      </c>
      <c r="G4" s="7" t="str">
        <f>VLOOKUP(E4,'Field Table'!A$2:E$661,4,FALSE)</f>
        <v>1</v>
      </c>
      <c r="H4" s="7" t="str">
        <f>VLOOKUP(E4,'Field Table'!A$2:E$661,5,FALSE)</f>
        <v>25</v>
      </c>
    </row>
    <row r="5" spans="1:8" ht="12" customHeight="1" x14ac:dyDescent="0.25">
      <c r="A5" s="3" t="s">
        <v>5</v>
      </c>
      <c r="B5" s="3" t="str">
        <f>RIGHT(A5, LEN(A5)-21)</f>
        <v>2768-4</v>
      </c>
      <c r="C5" s="4">
        <v>0.1069</v>
      </c>
      <c r="D5" s="5">
        <v>51.737000000000002</v>
      </c>
      <c r="E5">
        <f>VLOOKUP(B5,'CEBAS-DEWOOD code'!A$2:B$302,2,FALSE)</f>
        <v>172</v>
      </c>
      <c r="F5" s="7" t="str">
        <f>VLOOKUP(E5,'Field Table'!A$2:E$661,3,FALSE)</f>
        <v>AA</v>
      </c>
      <c r="G5" s="7" t="str">
        <f>VLOOKUP(E5,'Field Table'!A$2:E$661,4,FALSE)</f>
        <v>4</v>
      </c>
      <c r="H5" s="7" t="str">
        <f>VLOOKUP(E5,'Field Table'!A$2:E$661,5,FALSE)</f>
        <v>25</v>
      </c>
    </row>
    <row r="6" spans="1:8" ht="12" customHeight="1" x14ac:dyDescent="0.25">
      <c r="A6" s="3" t="s">
        <v>6</v>
      </c>
      <c r="B6" s="3" t="str">
        <f>RIGHT(A6, LEN(A6)-21)</f>
        <v>2768-5</v>
      </c>
      <c r="C6" s="4">
        <v>0.17723</v>
      </c>
      <c r="D6" s="5">
        <v>46.113</v>
      </c>
      <c r="E6">
        <f>VLOOKUP(B6,'CEBAS-DEWOOD code'!A$2:B$302,2,FALSE)</f>
        <v>192</v>
      </c>
      <c r="F6" s="7" t="str">
        <f>VLOOKUP(E6,'Field Table'!A$2:E$661,3,FALSE)</f>
        <v>FS</v>
      </c>
      <c r="G6" s="7" t="str">
        <f>VLOOKUP(E6,'Field Table'!A$2:E$661,4,FALSE)</f>
        <v>2</v>
      </c>
      <c r="H6" s="7" t="str">
        <f>VLOOKUP(E6,'Field Table'!A$2:E$661,5,FALSE)</f>
        <v>10</v>
      </c>
    </row>
    <row r="7" spans="1:8" ht="12" customHeight="1" x14ac:dyDescent="0.25">
      <c r="A7" s="3" t="s">
        <v>7</v>
      </c>
      <c r="B7" s="3" t="str">
        <f>RIGHT(A7, LEN(A7)-21)</f>
        <v>2768-6</v>
      </c>
      <c r="C7" s="4">
        <v>0.12427000000000001</v>
      </c>
      <c r="D7" s="5">
        <v>47.552</v>
      </c>
      <c r="E7" t="e">
        <f>VLOOKUP(B7,'CEBAS-DEWOOD code'!A$2:B$302,2,FALSE)</f>
        <v>#N/A</v>
      </c>
      <c r="F7" s="7" t="e">
        <f>VLOOKUP(E7,'Field Table'!A$2:E$661,3,FALSE)</f>
        <v>#N/A</v>
      </c>
      <c r="G7" s="7" t="e">
        <f>VLOOKUP(E7,'Field Table'!A$2:E$661,4,FALSE)</f>
        <v>#N/A</v>
      </c>
      <c r="H7" s="7" t="e">
        <f>VLOOKUP(E7,'Field Table'!A$2:E$661,5,FALSE)</f>
        <v>#N/A</v>
      </c>
    </row>
    <row r="8" spans="1:8" ht="12" customHeight="1" x14ac:dyDescent="0.25">
      <c r="A8" s="3" t="s">
        <v>8</v>
      </c>
      <c r="B8" s="3" t="str">
        <f>RIGHT(A8, LEN(A8)-21)</f>
        <v>2768-7</v>
      </c>
      <c r="C8" s="4">
        <v>0.40786</v>
      </c>
      <c r="D8" s="5">
        <v>47.854999999999997</v>
      </c>
      <c r="E8">
        <f>VLOOKUP(B8,'CEBAS-DEWOOD code'!A$2:B$302,2,FALSE)</f>
        <v>1011</v>
      </c>
      <c r="F8" s="7" t="str">
        <f>VLOOKUP(E8,'Field Table'!A$2:E$661,3,FALSE)</f>
        <v>FS</v>
      </c>
      <c r="G8" s="7" t="str">
        <f>VLOOKUP(E8,'Field Table'!A$2:E$661,4,FALSE)</f>
        <v>2</v>
      </c>
      <c r="H8" s="7" t="str">
        <f>VLOOKUP(E8,'Field Table'!A$2:E$661,5,FALSE)</f>
        <v>01</v>
      </c>
    </row>
    <row r="9" spans="1:8" ht="12" customHeight="1" x14ac:dyDescent="0.25">
      <c r="A9" s="3" t="s">
        <v>9</v>
      </c>
      <c r="B9" s="3" t="str">
        <f>RIGHT(A9, LEN(A9)-21)</f>
        <v>2768-8</v>
      </c>
      <c r="C9" s="4">
        <v>0.18547</v>
      </c>
      <c r="D9" s="5">
        <v>48.079000000000001</v>
      </c>
      <c r="E9">
        <f>VLOOKUP(B9,'CEBAS-DEWOOD code'!A$2:B$302,2,FALSE)</f>
        <v>129</v>
      </c>
      <c r="F9" s="7" t="str">
        <f>VLOOKUP(E9,'Field Table'!A$2:E$661,3,FALSE)</f>
        <v>AA</v>
      </c>
      <c r="G9" s="7" t="str">
        <f>VLOOKUP(E9,'Field Table'!A$2:E$661,4,FALSE)</f>
        <v>4</v>
      </c>
      <c r="H9" s="7" t="str">
        <f>VLOOKUP(E9,'Field Table'!A$2:E$661,5,FALSE)</f>
        <v>10</v>
      </c>
    </row>
    <row r="10" spans="1:8" ht="12" customHeight="1" x14ac:dyDescent="0.25">
      <c r="A10" s="3" t="s">
        <v>10</v>
      </c>
      <c r="B10" s="3" t="str">
        <f>RIGHT(A10, LEN(A10)-21)</f>
        <v>2768-9</v>
      </c>
      <c r="C10" s="4">
        <v>0.12812999999999999</v>
      </c>
      <c r="D10" s="5">
        <v>46.988</v>
      </c>
      <c r="E10">
        <f>VLOOKUP(B10,'CEBAS-DEWOOD code'!A$2:B$302,2,FALSE)</f>
        <v>137</v>
      </c>
      <c r="F10" s="7" t="str">
        <f>VLOOKUP(E10,'Field Table'!A$2:E$661,3,FALSE)</f>
        <v>FS</v>
      </c>
      <c r="G10" s="7" t="str">
        <f>VLOOKUP(E10,'Field Table'!A$2:E$661,4,FALSE)</f>
        <v>1</v>
      </c>
      <c r="H10" s="7" t="str">
        <f>VLOOKUP(E10,'Field Table'!A$2:E$661,5,FALSE)</f>
        <v>25</v>
      </c>
    </row>
    <row r="11" spans="1:8" ht="12" customHeight="1" x14ac:dyDescent="0.25">
      <c r="A11" s="3" t="s">
        <v>11</v>
      </c>
      <c r="B11" s="3" t="str">
        <f>RIGHT(A11, LEN(A11)-21)</f>
        <v>2768-10</v>
      </c>
      <c r="C11" s="4">
        <v>0.31780000000000003</v>
      </c>
      <c r="D11" s="5">
        <v>37.698</v>
      </c>
      <c r="E11">
        <f>VLOOKUP(B11,'CEBAS-DEWOOD code'!A$2:B$302,2,FALSE)</f>
        <v>1090</v>
      </c>
      <c r="F11" s="7" t="str">
        <f>VLOOKUP(E11,'Field Table'!A$2:E$661,3,FALSE)</f>
        <v>FS</v>
      </c>
      <c r="G11" s="7" t="str">
        <f>VLOOKUP(E11,'Field Table'!A$2:E$661,4,FALSE)</f>
        <v>4</v>
      </c>
      <c r="H11" s="7" t="str">
        <f>VLOOKUP(E11,'Field Table'!A$2:E$661,5,FALSE)</f>
        <v>01</v>
      </c>
    </row>
    <row r="12" spans="1:8" ht="12" customHeight="1" x14ac:dyDescent="0.25">
      <c r="A12" s="3" t="s">
        <v>12</v>
      </c>
      <c r="B12" s="3" t="str">
        <f>RIGHT(A12, LEN(A12)-21)</f>
        <v>2768-11</v>
      </c>
      <c r="C12" s="4">
        <v>0.14039000000000001</v>
      </c>
      <c r="D12" s="5">
        <v>47.266499999999994</v>
      </c>
      <c r="E12">
        <f>VLOOKUP(B12,'CEBAS-DEWOOD code'!A$2:B$302,2,FALSE)</f>
        <v>381</v>
      </c>
      <c r="F12" s="7" t="str">
        <f>VLOOKUP(E12,'Field Table'!A$2:E$661,3,FALSE)</f>
        <v>FS</v>
      </c>
      <c r="G12" s="7" t="str">
        <f>VLOOKUP(E12,'Field Table'!A$2:E$661,4,FALSE)</f>
        <v>1</v>
      </c>
      <c r="H12" s="7" t="str">
        <f>VLOOKUP(E12,'Field Table'!A$2:E$661,5,FALSE)</f>
        <v>25</v>
      </c>
    </row>
    <row r="13" spans="1:8" ht="12" customHeight="1" x14ac:dyDescent="0.25">
      <c r="A13" s="3" t="s">
        <v>13</v>
      </c>
      <c r="B13" s="3" t="str">
        <f>RIGHT(A13, LEN(A13)-21)</f>
        <v>2768-12</v>
      </c>
      <c r="C13" s="4">
        <v>0.10321</v>
      </c>
      <c r="D13" s="5">
        <v>47.593000000000004</v>
      </c>
      <c r="E13">
        <f>VLOOKUP(B13,'CEBAS-DEWOOD code'!A$2:B$302,2,FALSE)</f>
        <v>75</v>
      </c>
      <c r="F13" s="7" t="str">
        <f>VLOOKUP(E13,'Field Table'!A$2:E$661,3,FALSE)</f>
        <v>AA</v>
      </c>
      <c r="G13" s="7" t="str">
        <f>VLOOKUP(E13,'Field Table'!A$2:E$661,4,FALSE)</f>
        <v>4</v>
      </c>
      <c r="H13" s="7" t="str">
        <f>VLOOKUP(E13,'Field Table'!A$2:E$661,5,FALSE)</f>
        <v>25</v>
      </c>
    </row>
    <row r="14" spans="1:8" ht="12" customHeight="1" x14ac:dyDescent="0.25">
      <c r="A14" s="3" t="s">
        <v>14</v>
      </c>
      <c r="B14" s="3" t="str">
        <f>RIGHT(A14, LEN(A14)-21)</f>
        <v>2768-13</v>
      </c>
      <c r="C14" s="4">
        <v>0.16505</v>
      </c>
      <c r="D14" s="5">
        <v>46.49</v>
      </c>
      <c r="E14">
        <f>VLOOKUP(B14,'CEBAS-DEWOOD code'!A$2:B$302,2,FALSE)</f>
        <v>382</v>
      </c>
      <c r="F14" s="7" t="str">
        <f>VLOOKUP(E14,'Field Table'!A$2:E$661,3,FALSE)</f>
        <v>FS</v>
      </c>
      <c r="G14" s="7" t="str">
        <f>VLOOKUP(E14,'Field Table'!A$2:E$661,4,FALSE)</f>
        <v>2</v>
      </c>
      <c r="H14" s="7" t="str">
        <f>VLOOKUP(E14,'Field Table'!A$2:E$661,5,FALSE)</f>
        <v>25</v>
      </c>
    </row>
    <row r="15" spans="1:8" ht="12" customHeight="1" x14ac:dyDescent="0.25">
      <c r="A15" s="3" t="s">
        <v>15</v>
      </c>
      <c r="B15" s="3" t="str">
        <f>RIGHT(A15, LEN(A15)-21)</f>
        <v>2768-14</v>
      </c>
      <c r="C15" s="4">
        <v>6.9360000000000005E-2</v>
      </c>
      <c r="D15" s="5">
        <v>47.537999999999997</v>
      </c>
      <c r="E15">
        <f>VLOOKUP(B15,'CEBAS-DEWOOD code'!A$2:B$302,2,FALSE)</f>
        <v>350</v>
      </c>
      <c r="F15" s="7" t="str">
        <f>VLOOKUP(E15,'Field Table'!A$2:E$661,3,FALSE)</f>
        <v>AA</v>
      </c>
      <c r="G15" s="7" t="str">
        <f>VLOOKUP(E15,'Field Table'!A$2:E$661,4,FALSE)</f>
        <v>2</v>
      </c>
      <c r="H15" s="7" t="str">
        <f>VLOOKUP(E15,'Field Table'!A$2:E$661,5,FALSE)</f>
        <v>10</v>
      </c>
    </row>
    <row r="16" spans="1:8" ht="12" customHeight="1" x14ac:dyDescent="0.25">
      <c r="A16" s="3" t="s">
        <v>16</v>
      </c>
      <c r="B16" s="3" t="str">
        <f>RIGHT(A16, LEN(A16)-21)</f>
        <v>2768-15</v>
      </c>
      <c r="C16" s="4">
        <v>0.10062</v>
      </c>
      <c r="D16" s="5">
        <v>48.856999999999999</v>
      </c>
      <c r="E16">
        <f>VLOOKUP(B16,'CEBAS-DEWOOD code'!A$2:B$302,2,FALSE)</f>
        <v>176</v>
      </c>
      <c r="F16" s="7" t="str">
        <f>VLOOKUP(E16,'Field Table'!A$2:E$661,3,FALSE)</f>
        <v>AA</v>
      </c>
      <c r="G16" s="7" t="str">
        <f>VLOOKUP(E16,'Field Table'!A$2:E$661,4,FALSE)</f>
        <v>1</v>
      </c>
      <c r="H16" s="7" t="str">
        <f>VLOOKUP(E16,'Field Table'!A$2:E$661,5,FALSE)</f>
        <v>10</v>
      </c>
    </row>
    <row r="17" spans="1:8" ht="12" customHeight="1" x14ac:dyDescent="0.25">
      <c r="A17" s="3" t="s">
        <v>17</v>
      </c>
      <c r="B17" s="3" t="str">
        <f>RIGHT(A17, LEN(A17)-21)</f>
        <v>2768-16</v>
      </c>
      <c r="C17" s="4">
        <v>0.1244</v>
      </c>
      <c r="D17" s="5">
        <v>47.508000000000003</v>
      </c>
      <c r="E17">
        <f>VLOOKUP(B17,'CEBAS-DEWOOD code'!A$2:B$302,2,FALSE)</f>
        <v>190</v>
      </c>
      <c r="F17" s="7" t="str">
        <f>VLOOKUP(E17,'Field Table'!A$2:E$661,3,FALSE)</f>
        <v>AA</v>
      </c>
      <c r="G17" s="7" t="str">
        <f>VLOOKUP(E17,'Field Table'!A$2:E$661,4,FALSE)</f>
        <v>4</v>
      </c>
      <c r="H17" s="7" t="str">
        <f>VLOOKUP(E17,'Field Table'!A$2:E$661,5,FALSE)</f>
        <v>10</v>
      </c>
    </row>
    <row r="18" spans="1:8" ht="12" customHeight="1" x14ac:dyDescent="0.25">
      <c r="A18" s="3" t="s">
        <v>18</v>
      </c>
      <c r="B18" s="3" t="str">
        <f>RIGHT(A18, LEN(A18)-21)</f>
        <v>2768-17</v>
      </c>
      <c r="C18" s="4">
        <v>0.33879999999999999</v>
      </c>
      <c r="D18" s="5">
        <v>47.192</v>
      </c>
      <c r="E18">
        <f>VLOOKUP(B18,'CEBAS-DEWOOD code'!A$2:B$302,2,FALSE)</f>
        <v>1070</v>
      </c>
      <c r="F18" s="7" t="str">
        <f>VLOOKUP(E18,'Field Table'!A$2:E$661,3,FALSE)</f>
        <v>FS</v>
      </c>
      <c r="G18" s="7" t="str">
        <f>VLOOKUP(E18,'Field Table'!A$2:E$661,4,FALSE)</f>
        <v>1</v>
      </c>
      <c r="H18" s="7" t="str">
        <f>VLOOKUP(E18,'Field Table'!A$2:E$661,5,FALSE)</f>
        <v>01</v>
      </c>
    </row>
    <row r="19" spans="1:8" ht="12" customHeight="1" x14ac:dyDescent="0.25">
      <c r="A19" s="3" t="s">
        <v>19</v>
      </c>
      <c r="B19" s="3" t="str">
        <f>RIGHT(A19, LEN(A19)-21)</f>
        <v>2768-18</v>
      </c>
      <c r="C19" s="4">
        <v>0.21298</v>
      </c>
      <c r="D19" s="5">
        <v>49.212000000000003</v>
      </c>
      <c r="E19">
        <f>VLOOKUP(B19,'CEBAS-DEWOOD code'!A$2:B$302,2,FALSE)</f>
        <v>1085</v>
      </c>
      <c r="F19" s="7" t="str">
        <f>VLOOKUP(E19,'Field Table'!A$2:E$661,3,FALSE)</f>
        <v>AA</v>
      </c>
      <c r="G19" s="7" t="str">
        <f>VLOOKUP(E19,'Field Table'!A$2:E$661,4,FALSE)</f>
        <v>1</v>
      </c>
      <c r="H19" s="7" t="str">
        <f>VLOOKUP(E19,'Field Table'!A$2:E$661,5,FALSE)</f>
        <v>01</v>
      </c>
    </row>
    <row r="20" spans="1:8" ht="12" customHeight="1" x14ac:dyDescent="0.25">
      <c r="A20" s="3" t="s">
        <v>20</v>
      </c>
      <c r="B20" s="3" t="str">
        <f>RIGHT(A20, LEN(A20)-21)</f>
        <v>2768-19</v>
      </c>
      <c r="C20" s="4">
        <v>0.19830999999999999</v>
      </c>
      <c r="D20" s="5">
        <v>45.593000000000004</v>
      </c>
      <c r="E20">
        <f>VLOOKUP(B20,'CEBAS-DEWOOD code'!A$2:B$302,2,FALSE)</f>
        <v>191</v>
      </c>
      <c r="F20" s="7" t="str">
        <f>VLOOKUP(E20,'Field Table'!A$2:E$661,3,FALSE)</f>
        <v>FS</v>
      </c>
      <c r="G20" s="7" t="str">
        <f>VLOOKUP(E20,'Field Table'!A$2:E$661,4,FALSE)</f>
        <v>1</v>
      </c>
      <c r="H20" s="7" t="str">
        <f>VLOOKUP(E20,'Field Table'!A$2:E$661,5,FALSE)</f>
        <v>10</v>
      </c>
    </row>
    <row r="21" spans="1:8" ht="12" customHeight="1" x14ac:dyDescent="0.25">
      <c r="A21" s="3" t="s">
        <v>21</v>
      </c>
      <c r="B21" s="3" t="str">
        <f>RIGHT(A21, LEN(A21)-21)</f>
        <v>2768-20</v>
      </c>
      <c r="C21" s="4">
        <v>0.16086</v>
      </c>
      <c r="D21" s="5">
        <v>45.988</v>
      </c>
      <c r="E21">
        <f>VLOOKUP(B21,'CEBAS-DEWOOD code'!A$2:B$302,2,FALSE)</f>
        <v>155</v>
      </c>
      <c r="F21" s="7" t="str">
        <f>VLOOKUP(E21,'Field Table'!A$2:E$661,3,FALSE)</f>
        <v>FS</v>
      </c>
      <c r="G21" s="7" t="str">
        <f>VLOOKUP(E21,'Field Table'!A$2:E$661,4,FALSE)</f>
        <v>1</v>
      </c>
      <c r="H21" s="7" t="str">
        <f>VLOOKUP(E21,'Field Table'!A$2:E$661,5,FALSE)</f>
        <v>10</v>
      </c>
    </row>
    <row r="22" spans="1:8" ht="12" customHeight="1" x14ac:dyDescent="0.25">
      <c r="A22" s="3" t="s">
        <v>22</v>
      </c>
      <c r="B22" s="3" t="str">
        <f>RIGHT(A22, LEN(A22)-21)</f>
        <v>2768-21</v>
      </c>
      <c r="C22" s="4">
        <v>0.30669999999999997</v>
      </c>
      <c r="D22" s="5">
        <v>46.215000000000003</v>
      </c>
      <c r="E22">
        <f>VLOOKUP(B22,'CEBAS-DEWOOD code'!A$2:B$302,2,FALSE)</f>
        <v>401</v>
      </c>
      <c r="F22" s="7" t="str">
        <f>VLOOKUP(E22,'Field Table'!A$2:E$661,3,FALSE)</f>
        <v>FS</v>
      </c>
      <c r="G22" s="7" t="str">
        <f>VLOOKUP(E22,'Field Table'!A$2:E$661,4,FALSE)</f>
        <v>4</v>
      </c>
      <c r="H22" s="7" t="str">
        <f>VLOOKUP(E22,'Field Table'!A$2:E$661,5,FALSE)</f>
        <v>25</v>
      </c>
    </row>
    <row r="23" spans="1:8" ht="12" customHeight="1" x14ac:dyDescent="0.25">
      <c r="A23" s="3" t="s">
        <v>23</v>
      </c>
      <c r="B23" s="3" t="str">
        <f>RIGHT(A23, LEN(A23)-21)</f>
        <v>2768-22</v>
      </c>
      <c r="C23" s="4">
        <v>0.13317999999999999</v>
      </c>
      <c r="D23" s="5">
        <v>48.542999999999999</v>
      </c>
      <c r="E23">
        <f>VLOOKUP(B23,'CEBAS-DEWOOD code'!A$2:B$302,2,FALSE)</f>
        <v>1</v>
      </c>
      <c r="F23" s="7" t="str">
        <f>VLOOKUP(E23,'Field Table'!A$2:E$661,3,FALSE)</f>
        <v>AA</v>
      </c>
      <c r="G23" s="7" t="str">
        <f>VLOOKUP(E23,'Field Table'!A$2:E$661,4,FALSE)</f>
        <v>1</v>
      </c>
      <c r="H23" s="7" t="str">
        <f>VLOOKUP(E23,'Field Table'!A$2:E$661,5,FALSE)</f>
        <v>25</v>
      </c>
    </row>
    <row r="24" spans="1:8" ht="12" customHeight="1" x14ac:dyDescent="0.25">
      <c r="A24" s="3" t="s">
        <v>24</v>
      </c>
      <c r="B24" s="3" t="str">
        <f>RIGHT(A24, LEN(A24)-21)</f>
        <v>2768-23</v>
      </c>
      <c r="C24" s="4">
        <v>0.11226</v>
      </c>
      <c r="D24" s="5">
        <v>48.222999999999999</v>
      </c>
      <c r="E24">
        <f>VLOOKUP(B24,'CEBAS-DEWOOD code'!A$2:B$302,2,FALSE)</f>
        <v>361</v>
      </c>
      <c r="F24" s="7" t="str">
        <f>VLOOKUP(E24,'Field Table'!A$2:E$661,3,FALSE)</f>
        <v>AA</v>
      </c>
      <c r="G24" s="7" t="str">
        <f>VLOOKUP(E24,'Field Table'!A$2:E$661,4,FALSE)</f>
        <v>2</v>
      </c>
      <c r="H24" s="7" t="str">
        <f>VLOOKUP(E24,'Field Table'!A$2:E$661,5,FALSE)</f>
        <v>25</v>
      </c>
    </row>
    <row r="25" spans="1:8" ht="12" customHeight="1" x14ac:dyDescent="0.25">
      <c r="A25" s="3" t="s">
        <v>25</v>
      </c>
      <c r="B25" s="3" t="str">
        <f>RIGHT(A25, LEN(A25)-21)</f>
        <v>2768-24</v>
      </c>
      <c r="C25" s="4">
        <v>0.36248999999999998</v>
      </c>
      <c r="D25" s="5">
        <v>47.100999999999999</v>
      </c>
      <c r="E25">
        <f>VLOOKUP(B25,'CEBAS-DEWOOD code'!A$2:B$302,2,FALSE)</f>
        <v>1072</v>
      </c>
      <c r="F25" s="7" t="str">
        <f>VLOOKUP(E25,'Field Table'!A$2:E$661,3,FALSE)</f>
        <v>FS</v>
      </c>
      <c r="G25" s="7" t="str">
        <f>VLOOKUP(E25,'Field Table'!A$2:E$661,4,FALSE)</f>
        <v>4</v>
      </c>
      <c r="H25" s="7" t="str">
        <f>VLOOKUP(E25,'Field Table'!A$2:E$661,5,FALSE)</f>
        <v>01</v>
      </c>
    </row>
    <row r="26" spans="1:8" ht="12" customHeight="1" x14ac:dyDescent="0.25">
      <c r="A26" s="3" t="s">
        <v>26</v>
      </c>
      <c r="B26" s="3" t="str">
        <f>RIGHT(A26, LEN(A26)-21)</f>
        <v>2768-25</v>
      </c>
      <c r="C26" s="4">
        <v>0.22570000000000001</v>
      </c>
      <c r="D26" s="5">
        <v>46.18</v>
      </c>
      <c r="E26">
        <f>VLOOKUP(B26,'CEBAS-DEWOOD code'!A$2:B$302,2,FALSE)</f>
        <v>410</v>
      </c>
      <c r="F26" s="7" t="str">
        <f>VLOOKUP(E26,'Field Table'!A$2:E$661,3,FALSE)</f>
        <v>FS</v>
      </c>
      <c r="G26" s="7" t="str">
        <f>VLOOKUP(E26,'Field Table'!A$2:E$661,4,FALSE)</f>
        <v>2</v>
      </c>
      <c r="H26" s="7" t="str">
        <f>VLOOKUP(E26,'Field Table'!A$2:E$661,5,FALSE)</f>
        <v>10</v>
      </c>
    </row>
    <row r="27" spans="1:8" ht="12" customHeight="1" x14ac:dyDescent="0.25">
      <c r="A27" s="3" t="s">
        <v>27</v>
      </c>
      <c r="B27" s="3" t="str">
        <f>RIGHT(A27, LEN(A27)-21)</f>
        <v>2768-26</v>
      </c>
      <c r="C27" s="4">
        <v>0.14971999999999999</v>
      </c>
      <c r="D27" s="5">
        <v>47.792000000000002</v>
      </c>
      <c r="E27">
        <f>VLOOKUP(B27,'CEBAS-DEWOOD code'!A$2:B$302,2,FALSE)</f>
        <v>76</v>
      </c>
      <c r="F27" s="7" t="str">
        <f>VLOOKUP(E27,'Field Table'!A$2:E$661,3,FALSE)</f>
        <v>FS</v>
      </c>
      <c r="G27" s="7" t="str">
        <f>VLOOKUP(E27,'Field Table'!A$2:E$661,4,FALSE)</f>
        <v>1</v>
      </c>
      <c r="H27" s="7" t="str">
        <f>VLOOKUP(E27,'Field Table'!A$2:E$661,5,FALSE)</f>
        <v>25</v>
      </c>
    </row>
    <row r="28" spans="1:8" ht="12" customHeight="1" x14ac:dyDescent="0.25">
      <c r="A28" s="3" t="s">
        <v>28</v>
      </c>
      <c r="B28" s="3" t="str">
        <f>RIGHT(A28, LEN(A28)-21)</f>
        <v>2768-27</v>
      </c>
      <c r="C28" s="4">
        <v>0.16843</v>
      </c>
      <c r="D28" s="5">
        <v>48.828000000000003</v>
      </c>
      <c r="E28">
        <f>VLOOKUP(B28,'CEBAS-DEWOOD code'!A$2:B$302,2,FALSE)</f>
        <v>1014</v>
      </c>
      <c r="F28" s="7" t="str">
        <f>VLOOKUP(E28,'Field Table'!A$2:E$661,3,FALSE)</f>
        <v>AA</v>
      </c>
      <c r="G28" s="7" t="str">
        <f>VLOOKUP(E28,'Field Table'!A$2:E$661,4,FALSE)</f>
        <v>2</v>
      </c>
      <c r="H28" s="7" t="str">
        <f>VLOOKUP(E28,'Field Table'!A$2:E$661,5,FALSE)</f>
        <v>01</v>
      </c>
    </row>
    <row r="29" spans="1:8" ht="12" customHeight="1" x14ac:dyDescent="0.25">
      <c r="A29" s="3" t="s">
        <v>29</v>
      </c>
      <c r="B29" s="3" t="str">
        <f>RIGHT(A29, LEN(A29)-21)</f>
        <v>2768-28</v>
      </c>
      <c r="C29" s="4">
        <v>0.16914999999999999</v>
      </c>
      <c r="D29" s="5">
        <v>46.165999999999997</v>
      </c>
      <c r="E29" t="e">
        <f>VLOOKUP(B29,'CEBAS-DEWOOD code'!A$2:B$302,2,FALSE)</f>
        <v>#N/A</v>
      </c>
      <c r="F29" s="7" t="e">
        <f>VLOOKUP(E29,'Field Table'!A$2:E$661,3,FALSE)</f>
        <v>#N/A</v>
      </c>
      <c r="G29" s="7" t="e">
        <f>VLOOKUP(E29,'Field Table'!A$2:E$661,4,FALSE)</f>
        <v>#N/A</v>
      </c>
      <c r="H29" s="7" t="e">
        <f>VLOOKUP(E29,'Field Table'!A$2:E$661,5,FALSE)</f>
        <v>#N/A</v>
      </c>
    </row>
    <row r="30" spans="1:8" ht="12" customHeight="1" x14ac:dyDescent="0.25">
      <c r="A30" s="3" t="s">
        <v>30</v>
      </c>
      <c r="B30" s="3" t="str">
        <f>RIGHT(A30, LEN(A30)-21)</f>
        <v>2768-29</v>
      </c>
      <c r="C30" s="4">
        <v>9.8580000000000001E-2</v>
      </c>
      <c r="D30" s="5">
        <v>48.279000000000003</v>
      </c>
      <c r="E30">
        <f>VLOOKUP(B30,'CEBAS-DEWOOD code'!A$2:B$302,2,FALSE)</f>
        <v>189</v>
      </c>
      <c r="F30" s="7" t="str">
        <f>VLOOKUP(E30,'Field Table'!A$2:E$661,3,FALSE)</f>
        <v>AA</v>
      </c>
      <c r="G30" s="7" t="str">
        <f>VLOOKUP(E30,'Field Table'!A$2:E$661,4,FALSE)</f>
        <v>2</v>
      </c>
      <c r="H30" s="7" t="str">
        <f>VLOOKUP(E30,'Field Table'!A$2:E$661,5,FALSE)</f>
        <v>10</v>
      </c>
    </row>
    <row r="31" spans="1:8" ht="12" customHeight="1" x14ac:dyDescent="0.25">
      <c r="A31" s="3" t="s">
        <v>31</v>
      </c>
      <c r="B31" s="3" t="str">
        <f>RIGHT(A31, LEN(A31)-21)</f>
        <v>2768-30</v>
      </c>
      <c r="C31" s="4">
        <v>0.3049</v>
      </c>
      <c r="D31" s="5">
        <v>49.508000000000003</v>
      </c>
      <c r="E31">
        <f>VLOOKUP(B31,'CEBAS-DEWOOD code'!A$2:B$302,2,FALSE)</f>
        <v>1063</v>
      </c>
      <c r="F31" s="7" t="str">
        <f>VLOOKUP(E31,'Field Table'!A$2:E$661,3,FALSE)</f>
        <v>AA</v>
      </c>
      <c r="G31" s="7" t="str">
        <f>VLOOKUP(E31,'Field Table'!A$2:E$661,4,FALSE)</f>
        <v>4</v>
      </c>
      <c r="H31" s="7" t="str">
        <f>VLOOKUP(E31,'Field Table'!A$2:E$661,5,FALSE)</f>
        <v>01</v>
      </c>
    </row>
    <row r="32" spans="1:8" ht="12" customHeight="1" x14ac:dyDescent="0.25">
      <c r="A32" s="3" t="s">
        <v>32</v>
      </c>
      <c r="B32" s="3" t="str">
        <f>RIGHT(A32, LEN(A32)-21)</f>
        <v>2768-31</v>
      </c>
      <c r="C32" s="4">
        <v>0.13200999999999999</v>
      </c>
      <c r="D32" s="5">
        <v>46.79</v>
      </c>
      <c r="E32">
        <f>VLOOKUP(B32,'CEBAS-DEWOOD code'!A$2:B$302,2,FALSE)</f>
        <v>380</v>
      </c>
      <c r="F32" s="7" t="str">
        <f>VLOOKUP(E32,'Field Table'!A$2:E$661,3,FALSE)</f>
        <v>AA</v>
      </c>
      <c r="G32" s="7" t="str">
        <f>VLOOKUP(E32,'Field Table'!A$2:E$661,4,FALSE)</f>
        <v>4</v>
      </c>
      <c r="H32" s="7" t="str">
        <f>VLOOKUP(E32,'Field Table'!A$2:E$661,5,FALSE)</f>
        <v>25</v>
      </c>
    </row>
    <row r="33" spans="1:8" ht="12" customHeight="1" x14ac:dyDescent="0.25">
      <c r="A33" s="3" t="s">
        <v>33</v>
      </c>
      <c r="B33" s="3" t="str">
        <f>RIGHT(A33, LEN(A33)-21)</f>
        <v>2768-32</v>
      </c>
      <c r="C33" s="4">
        <v>0.44621</v>
      </c>
      <c r="D33" s="5">
        <v>48.93</v>
      </c>
      <c r="E33">
        <f>VLOOKUP(B33,'CEBAS-DEWOOD code'!A$2:B$302,2,FALSE)</f>
        <v>1005</v>
      </c>
      <c r="F33" s="7" t="str">
        <f>VLOOKUP(E33,'Field Table'!A$2:E$661,3,FALSE)</f>
        <v>FS</v>
      </c>
      <c r="G33" s="7" t="str">
        <f>VLOOKUP(E33,'Field Table'!A$2:E$661,4,FALSE)</f>
        <v>2</v>
      </c>
      <c r="H33" s="7" t="str">
        <f>VLOOKUP(E33,'Field Table'!A$2:E$661,5,FALSE)</f>
        <v>01</v>
      </c>
    </row>
    <row r="34" spans="1:8" ht="12" customHeight="1" x14ac:dyDescent="0.25">
      <c r="A34" s="3" t="s">
        <v>34</v>
      </c>
      <c r="B34" s="3" t="str">
        <f>RIGHT(A34, LEN(A34)-21)</f>
        <v>2768-33</v>
      </c>
      <c r="C34" s="4">
        <v>0.18509999999999999</v>
      </c>
      <c r="D34" s="5">
        <v>48.44</v>
      </c>
      <c r="E34">
        <f>VLOOKUP(B34,'CEBAS-DEWOOD code'!A$2:B$302,2,FALSE)</f>
        <v>110</v>
      </c>
      <c r="F34" s="7" t="str">
        <f>VLOOKUP(E34,'Field Table'!A$2:E$661,3,FALSE)</f>
        <v>AA</v>
      </c>
      <c r="G34" s="7" t="str">
        <f>VLOOKUP(E34,'Field Table'!A$2:E$661,4,FALSE)</f>
        <v>2</v>
      </c>
      <c r="H34" s="7" t="str">
        <f>VLOOKUP(E34,'Field Table'!A$2:E$661,5,FALSE)</f>
        <v>25</v>
      </c>
    </row>
    <row r="35" spans="1:8" ht="12" customHeight="1" x14ac:dyDescent="0.25">
      <c r="A35" s="3" t="s">
        <v>35</v>
      </c>
      <c r="B35" s="3" t="str">
        <f>RIGHT(A35, LEN(A35)-21)</f>
        <v>2768-34</v>
      </c>
      <c r="C35" s="4">
        <v>0.20349999999999999</v>
      </c>
      <c r="D35" s="5">
        <v>48.08</v>
      </c>
      <c r="E35" t="e">
        <f>VLOOKUP(B35,'CEBAS-DEWOOD code'!A$2:B$302,2,FALSE)</f>
        <v>#N/A</v>
      </c>
      <c r="F35" s="7" t="e">
        <f>VLOOKUP(E35,'Field Table'!A$2:E$661,3,FALSE)</f>
        <v>#N/A</v>
      </c>
      <c r="G35" s="7" t="e">
        <f>VLOOKUP(E35,'Field Table'!A$2:E$661,4,FALSE)</f>
        <v>#N/A</v>
      </c>
      <c r="H35" s="7" t="e">
        <f>VLOOKUP(E35,'Field Table'!A$2:E$661,5,FALSE)</f>
        <v>#N/A</v>
      </c>
    </row>
    <row r="36" spans="1:8" ht="12" customHeight="1" x14ac:dyDescent="0.25">
      <c r="A36" s="3" t="s">
        <v>36</v>
      </c>
      <c r="B36" s="3" t="str">
        <f>RIGHT(A36, LEN(A36)-21)</f>
        <v>2768-35</v>
      </c>
      <c r="C36" s="4">
        <v>0.1303</v>
      </c>
      <c r="D36" s="5">
        <v>48.21</v>
      </c>
      <c r="E36">
        <f>VLOOKUP(B36,'CEBAS-DEWOOD code'!A$2:B$302,2,FALSE)</f>
        <v>369</v>
      </c>
      <c r="F36" s="7" t="str">
        <f>VLOOKUP(E36,'Field Table'!A$2:E$661,3,FALSE)</f>
        <v>AA</v>
      </c>
      <c r="G36" s="7" t="str">
        <f>VLOOKUP(E36,'Field Table'!A$2:E$661,4,FALSE)</f>
        <v>2</v>
      </c>
      <c r="H36" s="7" t="str">
        <f>VLOOKUP(E36,'Field Table'!A$2:E$661,5,FALSE)</f>
        <v>10</v>
      </c>
    </row>
    <row r="37" spans="1:8" ht="12" customHeight="1" x14ac:dyDescent="0.25">
      <c r="A37" s="3" t="s">
        <v>37</v>
      </c>
      <c r="B37" s="3" t="str">
        <f>RIGHT(A37, LEN(A37)-21)</f>
        <v>2768-36</v>
      </c>
      <c r="C37" s="4">
        <v>0.15540000000000001</v>
      </c>
      <c r="D37" s="5">
        <v>47.59</v>
      </c>
      <c r="E37">
        <f>VLOOKUP(B37,'CEBAS-DEWOOD code'!A$2:B$302,2,FALSE)</f>
        <v>1038</v>
      </c>
      <c r="F37" s="7" t="str">
        <f>VLOOKUP(E37,'Field Table'!A$2:E$661,3,FALSE)</f>
        <v>AA</v>
      </c>
      <c r="G37" s="7" t="str">
        <f>VLOOKUP(E37,'Field Table'!A$2:E$661,4,FALSE)</f>
        <v>2</v>
      </c>
      <c r="H37" s="7" t="str">
        <f>VLOOKUP(E37,'Field Table'!A$2:E$661,5,FALSE)</f>
        <v>01</v>
      </c>
    </row>
    <row r="38" spans="1:8" ht="12" customHeight="1" x14ac:dyDescent="0.25">
      <c r="A38" s="3" t="s">
        <v>38</v>
      </c>
      <c r="B38" s="3" t="str">
        <f>RIGHT(A38, LEN(A38)-21)</f>
        <v>2768-37</v>
      </c>
      <c r="C38" s="4">
        <v>0.13639999999999999</v>
      </c>
      <c r="D38" s="5">
        <v>48.8</v>
      </c>
      <c r="E38">
        <f>VLOOKUP(B38,'CEBAS-DEWOOD code'!A$2:B$302,2,FALSE)</f>
        <v>268</v>
      </c>
      <c r="F38" s="7" t="str">
        <f>VLOOKUP(E38,'Field Table'!A$2:E$661,3,FALSE)</f>
        <v>FS</v>
      </c>
      <c r="G38" s="7" t="str">
        <f>VLOOKUP(E38,'Field Table'!A$2:E$661,4,FALSE)</f>
        <v>2</v>
      </c>
      <c r="H38" s="7" t="str">
        <f>VLOOKUP(E38,'Field Table'!A$2:E$661,5,FALSE)</f>
        <v>01</v>
      </c>
    </row>
    <row r="39" spans="1:8" ht="12" customHeight="1" x14ac:dyDescent="0.25">
      <c r="A39" s="3" t="s">
        <v>39</v>
      </c>
      <c r="B39" s="3" t="str">
        <f>RIGHT(A39, LEN(A39)-21)</f>
        <v>2768-38</v>
      </c>
      <c r="C39" s="4">
        <v>0.21560000000000001</v>
      </c>
      <c r="D39" s="5">
        <v>47.33</v>
      </c>
      <c r="E39">
        <f>VLOOKUP(B39,'CEBAS-DEWOOD code'!A$2:B$302,2,FALSE)</f>
        <v>157</v>
      </c>
      <c r="F39" s="7" t="str">
        <f>VLOOKUP(E39,'Field Table'!A$2:E$661,3,FALSE)</f>
        <v>FS</v>
      </c>
      <c r="G39" s="7" t="str">
        <f>VLOOKUP(E39,'Field Table'!A$2:E$661,4,FALSE)</f>
        <v>4</v>
      </c>
      <c r="H39" s="7" t="str">
        <f>VLOOKUP(E39,'Field Table'!A$2:E$661,5,FALSE)</f>
        <v>10</v>
      </c>
    </row>
    <row r="40" spans="1:8" ht="12" customHeight="1" x14ac:dyDescent="0.25">
      <c r="A40" s="3" t="s">
        <v>40</v>
      </c>
      <c r="B40" s="3" t="str">
        <f>RIGHT(A40, LEN(A40)-21)</f>
        <v>2768-39</v>
      </c>
      <c r="C40" s="4">
        <v>0.59799999999999998</v>
      </c>
      <c r="D40" s="5">
        <v>49.42</v>
      </c>
      <c r="E40">
        <f>VLOOKUP(B40,'CEBAS-DEWOOD code'!A$2:B$302,2,FALSE)</f>
        <v>1035</v>
      </c>
      <c r="F40" s="7" t="str">
        <f>VLOOKUP(E40,'Field Table'!A$2:E$661,3,FALSE)</f>
        <v>FS</v>
      </c>
      <c r="G40" s="7" t="str">
        <f>VLOOKUP(E40,'Field Table'!A$2:E$661,4,FALSE)</f>
        <v>2</v>
      </c>
      <c r="H40" s="7" t="str">
        <f>VLOOKUP(E40,'Field Table'!A$2:E$661,5,FALSE)</f>
        <v>01</v>
      </c>
    </row>
    <row r="41" spans="1:8" ht="12" customHeight="1" x14ac:dyDescent="0.25">
      <c r="A41" s="3" t="s">
        <v>41</v>
      </c>
      <c r="B41" s="3" t="str">
        <f>RIGHT(A41, LEN(A41)-21)</f>
        <v>2768-40</v>
      </c>
      <c r="C41" s="4">
        <v>0.17849999999999999</v>
      </c>
      <c r="D41" s="5">
        <v>48.29</v>
      </c>
      <c r="E41">
        <f>VLOOKUP(B41,'CEBAS-DEWOOD code'!A$2:B$302,2,FALSE)</f>
        <v>388</v>
      </c>
      <c r="F41" s="7" t="str">
        <f>VLOOKUP(E41,'Field Table'!A$2:E$661,3,FALSE)</f>
        <v>AA</v>
      </c>
      <c r="G41" s="7" t="str">
        <f>VLOOKUP(E41,'Field Table'!A$2:E$661,4,FALSE)</f>
        <v>4</v>
      </c>
      <c r="H41" s="7" t="str">
        <f>VLOOKUP(E41,'Field Table'!A$2:E$661,5,FALSE)</f>
        <v>10</v>
      </c>
    </row>
    <row r="42" spans="1:8" ht="12" customHeight="1" x14ac:dyDescent="0.25">
      <c r="A42" s="3" t="s">
        <v>42</v>
      </c>
      <c r="B42" s="3" t="str">
        <f>RIGHT(A42, LEN(A42)-21)</f>
        <v>2768-41</v>
      </c>
      <c r="C42" s="4">
        <v>0.26150000000000001</v>
      </c>
      <c r="D42" s="5">
        <v>49.71</v>
      </c>
      <c r="E42">
        <f>VLOOKUP(B42,'CEBAS-DEWOOD code'!A$2:B$302,2,FALSE)</f>
        <v>166</v>
      </c>
      <c r="F42" s="7" t="str">
        <f>VLOOKUP(E42,'Field Table'!A$2:E$661,3,FALSE)</f>
        <v>AA</v>
      </c>
      <c r="G42" s="7" t="str">
        <f>VLOOKUP(E42,'Field Table'!A$2:E$661,4,FALSE)</f>
        <v>4</v>
      </c>
      <c r="H42" s="7" t="str">
        <f>VLOOKUP(E42,'Field Table'!A$2:E$661,5,FALSE)</f>
        <v>10</v>
      </c>
    </row>
    <row r="43" spans="1:8" ht="12" customHeight="1" x14ac:dyDescent="0.25">
      <c r="A43" s="3" t="s">
        <v>43</v>
      </c>
      <c r="B43" s="3" t="str">
        <f>RIGHT(A43, LEN(A43)-21)</f>
        <v>2768-42</v>
      </c>
      <c r="C43" s="4">
        <v>0.13009999999999999</v>
      </c>
      <c r="D43" s="5">
        <v>48.32</v>
      </c>
      <c r="E43">
        <f>VLOOKUP(B43,'CEBAS-DEWOOD code'!A$2:B$302,2,FALSE)</f>
        <v>1044</v>
      </c>
      <c r="F43" s="7" t="str">
        <f>VLOOKUP(E43,'Field Table'!A$2:E$661,3,FALSE)</f>
        <v>AA</v>
      </c>
      <c r="G43" s="7" t="str">
        <f>VLOOKUP(E43,'Field Table'!A$2:E$661,4,FALSE)</f>
        <v>2</v>
      </c>
      <c r="H43" s="7" t="str">
        <f>VLOOKUP(E43,'Field Table'!A$2:E$661,5,FALSE)</f>
        <v>01</v>
      </c>
    </row>
    <row r="44" spans="1:8" ht="12" customHeight="1" x14ac:dyDescent="0.25">
      <c r="A44" s="3" t="s">
        <v>44</v>
      </c>
      <c r="B44" s="3" t="str">
        <f>RIGHT(A44, LEN(A44)-21)</f>
        <v>2768-43</v>
      </c>
      <c r="C44" s="4">
        <v>0.20749999999999999</v>
      </c>
      <c r="D44" s="5">
        <v>48.12</v>
      </c>
      <c r="E44">
        <f>VLOOKUP(B44,'CEBAS-DEWOOD code'!A$2:B$302,2,FALSE)</f>
        <v>8</v>
      </c>
      <c r="F44" s="7" t="str">
        <f>VLOOKUP(E44,'Field Table'!A$2:E$661,3,FALSE)</f>
        <v>AA</v>
      </c>
      <c r="G44" s="7" t="str">
        <f>VLOOKUP(E44,'Field Table'!A$2:E$661,4,FALSE)</f>
        <v>2</v>
      </c>
      <c r="H44" s="7" t="str">
        <f>VLOOKUP(E44,'Field Table'!A$2:E$661,5,FALSE)</f>
        <v>10</v>
      </c>
    </row>
    <row r="45" spans="1:8" ht="12" customHeight="1" x14ac:dyDescent="0.25">
      <c r="A45" s="3" t="s">
        <v>45</v>
      </c>
      <c r="B45" s="3" t="str">
        <f>RIGHT(A45, LEN(A45)-21)</f>
        <v>2768-44</v>
      </c>
      <c r="C45" s="4">
        <v>0.10390000000000001</v>
      </c>
      <c r="D45" s="5">
        <v>47.88</v>
      </c>
      <c r="E45">
        <f>VLOOKUP(B45,'CEBAS-DEWOOD code'!A$2:B$302,2,FALSE)</f>
        <v>44</v>
      </c>
      <c r="F45" s="7" t="str">
        <f>VLOOKUP(E45,'Field Table'!A$2:E$661,3,FALSE)</f>
        <v>AA</v>
      </c>
      <c r="G45" s="7" t="str">
        <f>VLOOKUP(E45,'Field Table'!A$2:E$661,4,FALSE)</f>
        <v>2</v>
      </c>
      <c r="H45" s="7" t="str">
        <f>VLOOKUP(E45,'Field Table'!A$2:E$661,5,FALSE)</f>
        <v>10</v>
      </c>
    </row>
    <row r="46" spans="1:8" ht="12" customHeight="1" x14ac:dyDescent="0.25">
      <c r="A46" s="3" t="s">
        <v>46</v>
      </c>
      <c r="B46" s="3" t="str">
        <f>RIGHT(A46, LEN(A46)-21)</f>
        <v>2768-45</v>
      </c>
      <c r="C46" s="4">
        <v>0.15759999999999999</v>
      </c>
      <c r="D46" s="5">
        <v>47.09</v>
      </c>
      <c r="E46">
        <f>VLOOKUP(B46,'CEBAS-DEWOOD code'!A$2:B$302,2,FALSE)</f>
        <v>374</v>
      </c>
      <c r="F46" s="7" t="str">
        <f>VLOOKUP(E46,'Field Table'!A$2:E$661,3,FALSE)</f>
        <v>FS</v>
      </c>
      <c r="G46" s="7" t="str">
        <f>VLOOKUP(E46,'Field Table'!A$2:E$661,4,FALSE)</f>
        <v>2</v>
      </c>
      <c r="H46" s="7" t="str">
        <f>VLOOKUP(E46,'Field Table'!A$2:E$661,5,FALSE)</f>
        <v>10</v>
      </c>
    </row>
    <row r="47" spans="1:8" ht="12" customHeight="1" x14ac:dyDescent="0.25">
      <c r="A47" s="3" t="s">
        <v>47</v>
      </c>
      <c r="B47" s="3" t="str">
        <f>RIGHT(A47, LEN(A47)-21)</f>
        <v>2768-46</v>
      </c>
      <c r="C47" s="4">
        <v>0.16120000000000001</v>
      </c>
      <c r="D47" s="5">
        <v>47.41</v>
      </c>
      <c r="E47">
        <f>VLOOKUP(B47,'CEBAS-DEWOOD code'!A$2:B$302,2,FALSE)</f>
        <v>381</v>
      </c>
      <c r="F47" s="7" t="str">
        <f>VLOOKUP(E47,'Field Table'!A$2:E$661,3,FALSE)</f>
        <v>FS</v>
      </c>
      <c r="G47" s="7" t="str">
        <f>VLOOKUP(E47,'Field Table'!A$2:E$661,4,FALSE)</f>
        <v>1</v>
      </c>
      <c r="H47" s="7" t="str">
        <f>VLOOKUP(E47,'Field Table'!A$2:E$661,5,FALSE)</f>
        <v>25</v>
      </c>
    </row>
    <row r="48" spans="1:8" ht="12" customHeight="1" x14ac:dyDescent="0.25">
      <c r="A48" s="3" t="s">
        <v>48</v>
      </c>
      <c r="B48" s="3" t="str">
        <f>RIGHT(A48, LEN(A48)-21)</f>
        <v>2768-47</v>
      </c>
      <c r="C48" s="4">
        <v>0.2487</v>
      </c>
      <c r="D48" s="5">
        <v>49.15</v>
      </c>
      <c r="E48">
        <f>VLOOKUP(B48,'CEBAS-DEWOOD code'!A$2:B$302,2,FALSE)</f>
        <v>1007</v>
      </c>
      <c r="F48" s="7" t="str">
        <f>VLOOKUP(E48,'Field Table'!A$2:E$661,3,FALSE)</f>
        <v>AA</v>
      </c>
      <c r="G48" s="7" t="str">
        <f>VLOOKUP(E48,'Field Table'!A$2:E$661,4,FALSE)</f>
        <v>1</v>
      </c>
      <c r="H48" s="7" t="str">
        <f>VLOOKUP(E48,'Field Table'!A$2:E$661,5,FALSE)</f>
        <v>01</v>
      </c>
    </row>
    <row r="49" spans="1:8" ht="12" customHeight="1" x14ac:dyDescent="0.25">
      <c r="A49" s="3" t="s">
        <v>49</v>
      </c>
      <c r="B49" s="3" t="str">
        <f>RIGHT(A49, LEN(A49)-21)</f>
        <v>2768-48</v>
      </c>
      <c r="C49" s="4">
        <v>0.1754</v>
      </c>
      <c r="D49" s="5">
        <v>47.23</v>
      </c>
      <c r="E49">
        <f>VLOOKUP(B49,'CEBAS-DEWOOD code'!A$2:B$302,2,FALSE)</f>
        <v>1084</v>
      </c>
      <c r="F49" s="7" t="str">
        <f>VLOOKUP(E49,'Field Table'!A$2:E$661,3,FALSE)</f>
        <v>FS</v>
      </c>
      <c r="G49" s="7" t="str">
        <f>VLOOKUP(E49,'Field Table'!A$2:E$661,4,FALSE)</f>
        <v>4</v>
      </c>
      <c r="H49" s="7" t="str">
        <f>VLOOKUP(E49,'Field Table'!A$2:E$661,5,FALSE)</f>
        <v>01</v>
      </c>
    </row>
    <row r="50" spans="1:8" ht="12" customHeight="1" x14ac:dyDescent="0.25">
      <c r="A50" s="3" t="s">
        <v>50</v>
      </c>
      <c r="B50" s="3" t="str">
        <f>RIGHT(A50, LEN(A50)-21)</f>
        <v>2768-49</v>
      </c>
      <c r="C50" s="4">
        <v>0.30449999999999999</v>
      </c>
      <c r="D50" s="5">
        <v>47.43</v>
      </c>
      <c r="E50">
        <f>VLOOKUP(B50,'CEBAS-DEWOOD code'!A$2:B$302,2,FALSE)</f>
        <v>1055</v>
      </c>
      <c r="F50" s="7" t="str">
        <f>VLOOKUP(E50,'Field Table'!A$2:E$661,3,FALSE)</f>
        <v>AA</v>
      </c>
      <c r="G50" s="7" t="str">
        <f>VLOOKUP(E50,'Field Table'!A$2:E$661,4,FALSE)</f>
        <v>1</v>
      </c>
      <c r="H50" s="7" t="str">
        <f>VLOOKUP(E50,'Field Table'!A$2:E$661,5,FALSE)</f>
        <v>01</v>
      </c>
    </row>
    <row r="51" spans="1:8" ht="12" customHeight="1" x14ac:dyDescent="0.25">
      <c r="A51" s="3" t="s">
        <v>51</v>
      </c>
      <c r="B51" s="3" t="str">
        <f>RIGHT(A51, LEN(A51)-21)</f>
        <v>2768-50</v>
      </c>
      <c r="C51" s="4">
        <v>0.22559999999999999</v>
      </c>
      <c r="D51" s="5">
        <v>48.08</v>
      </c>
      <c r="E51">
        <f>VLOOKUP(B51,'CEBAS-DEWOOD code'!A$2:B$302,2,FALSE)</f>
        <v>326</v>
      </c>
      <c r="F51" s="7" t="str">
        <f>VLOOKUP(E51,'Field Table'!A$2:E$661,3,FALSE)</f>
        <v>AA</v>
      </c>
      <c r="G51" s="7" t="str">
        <f>VLOOKUP(E51,'Field Table'!A$2:E$661,4,FALSE)</f>
        <v>4</v>
      </c>
      <c r="H51" s="7" t="str">
        <f>VLOOKUP(E51,'Field Table'!A$2:E$661,5,FALSE)</f>
        <v>25</v>
      </c>
    </row>
    <row r="52" spans="1:8" ht="12" customHeight="1" x14ac:dyDescent="0.25">
      <c r="A52" s="3" t="s">
        <v>52</v>
      </c>
      <c r="B52" s="3" t="str">
        <f>RIGHT(A52, LEN(A52)-21)</f>
        <v>2768-51</v>
      </c>
      <c r="C52" s="4">
        <v>0.14080000000000001</v>
      </c>
      <c r="D52" s="5">
        <v>47.39</v>
      </c>
      <c r="E52">
        <f>VLOOKUP(B52,'CEBAS-DEWOOD code'!A$2:B$302,2,FALSE)</f>
        <v>372</v>
      </c>
      <c r="F52" s="7" t="str">
        <f>VLOOKUP(E52,'Field Table'!A$2:E$661,3,FALSE)</f>
        <v>FS</v>
      </c>
      <c r="G52" s="7" t="str">
        <f>VLOOKUP(E52,'Field Table'!A$2:E$661,4,FALSE)</f>
        <v>1</v>
      </c>
      <c r="H52" s="7" t="str">
        <f>VLOOKUP(E52,'Field Table'!A$2:E$661,5,FALSE)</f>
        <v>10</v>
      </c>
    </row>
    <row r="53" spans="1:8" ht="12" customHeight="1" x14ac:dyDescent="0.25">
      <c r="A53" s="3" t="s">
        <v>53</v>
      </c>
      <c r="B53" s="3" t="str">
        <f>RIGHT(A53, LEN(A53)-21)</f>
        <v>2768-52</v>
      </c>
      <c r="C53" s="4">
        <v>0.20660000000000001</v>
      </c>
      <c r="D53" s="5">
        <v>48.19</v>
      </c>
      <c r="E53">
        <f>VLOOKUP(B53,'CEBAS-DEWOOD code'!A$2:B$302,2,FALSE)</f>
        <v>1032</v>
      </c>
      <c r="F53" s="7" t="str">
        <f>VLOOKUP(E53,'Field Table'!A$2:E$661,3,FALSE)</f>
        <v>AA</v>
      </c>
      <c r="G53" s="7" t="str">
        <f>VLOOKUP(E53,'Field Table'!A$2:E$661,4,FALSE)</f>
        <v>2</v>
      </c>
      <c r="H53" s="7" t="str">
        <f>VLOOKUP(E53,'Field Table'!A$2:E$661,5,FALSE)</f>
        <v>01</v>
      </c>
    </row>
    <row r="54" spans="1:8" ht="12" customHeight="1" x14ac:dyDescent="0.25">
      <c r="A54" s="3" t="s">
        <v>54</v>
      </c>
      <c r="B54" s="3" t="str">
        <f>RIGHT(A54, LEN(A54)-21)</f>
        <v>2768-53</v>
      </c>
      <c r="C54" s="4">
        <v>0.29459999999999997</v>
      </c>
      <c r="D54" s="5">
        <v>50.03</v>
      </c>
      <c r="E54">
        <f>VLOOKUP(B54,'CEBAS-DEWOOD code'!A$2:B$302,2,FALSE)</f>
        <v>1051</v>
      </c>
      <c r="F54" s="7" t="str">
        <f>VLOOKUP(E54,'Field Table'!A$2:E$661,3,FALSE)</f>
        <v>AA</v>
      </c>
      <c r="G54" s="7" t="str">
        <f>VLOOKUP(E54,'Field Table'!A$2:E$661,4,FALSE)</f>
        <v>4</v>
      </c>
      <c r="H54" s="7" t="str">
        <f>VLOOKUP(E54,'Field Table'!A$2:E$661,5,FALSE)</f>
        <v>01</v>
      </c>
    </row>
    <row r="55" spans="1:8" ht="12" customHeight="1" x14ac:dyDescent="0.25">
      <c r="A55" s="3" t="s">
        <v>55</v>
      </c>
      <c r="B55" s="3" t="str">
        <f>RIGHT(A55, LEN(A55)-21)</f>
        <v>2768-54</v>
      </c>
      <c r="C55" s="4">
        <v>0.23980000000000001</v>
      </c>
      <c r="D55" s="5">
        <v>49.56</v>
      </c>
      <c r="E55">
        <f>VLOOKUP(B55,'CEBAS-DEWOOD code'!A$2:B$302,2,FALSE)</f>
        <v>160</v>
      </c>
      <c r="F55" s="7" t="str">
        <f>VLOOKUP(E55,'Field Table'!A$2:E$661,3,FALSE)</f>
        <v>AA</v>
      </c>
      <c r="G55" s="7" t="str">
        <f>VLOOKUP(E55,'Field Table'!A$2:E$661,4,FALSE)</f>
        <v>4</v>
      </c>
      <c r="H55" s="7" t="str">
        <f>VLOOKUP(E55,'Field Table'!A$2:E$661,5,FALSE)</f>
        <v>25</v>
      </c>
    </row>
    <row r="56" spans="1:8" ht="12" customHeight="1" x14ac:dyDescent="0.25">
      <c r="A56" s="3" t="s">
        <v>56</v>
      </c>
      <c r="B56" s="3" t="str">
        <f>RIGHT(A56, LEN(A56)-21)</f>
        <v>2768-55</v>
      </c>
      <c r="C56" s="4">
        <v>0.22700000000000001</v>
      </c>
      <c r="D56" s="5">
        <v>48.21</v>
      </c>
      <c r="E56">
        <f>VLOOKUP(B56,'CEBAS-DEWOOD code'!A$2:B$302,2,FALSE)</f>
        <v>371</v>
      </c>
      <c r="F56" s="7" t="str">
        <f>VLOOKUP(E56,'Field Table'!A$2:E$661,3,FALSE)</f>
        <v>AA</v>
      </c>
      <c r="G56" s="7" t="str">
        <f>VLOOKUP(E56,'Field Table'!A$2:E$661,4,FALSE)</f>
        <v>4</v>
      </c>
      <c r="H56" s="7" t="str">
        <f>VLOOKUP(E56,'Field Table'!A$2:E$661,5,FALSE)</f>
        <v>10</v>
      </c>
    </row>
    <row r="57" spans="1:8" ht="12" customHeight="1" x14ac:dyDescent="0.25">
      <c r="A57" s="3" t="s">
        <v>57</v>
      </c>
      <c r="B57" s="3" t="str">
        <f>RIGHT(A57, LEN(A57)-21)</f>
        <v>2768-56</v>
      </c>
      <c r="C57" s="4">
        <v>0.24440000000000001</v>
      </c>
      <c r="D57" s="5">
        <v>46.98</v>
      </c>
      <c r="E57">
        <f>VLOOKUP(B57,'CEBAS-DEWOOD code'!A$2:B$302,2,FALSE)</f>
        <v>6</v>
      </c>
      <c r="F57" s="7" t="str">
        <f>VLOOKUP(E57,'Field Table'!A$2:E$661,3,FALSE)</f>
        <v>FS</v>
      </c>
      <c r="G57" s="7" t="str">
        <f>VLOOKUP(E57,'Field Table'!A$2:E$661,4,FALSE)</f>
        <v>4</v>
      </c>
      <c r="H57" s="7" t="str">
        <f>VLOOKUP(E57,'Field Table'!A$2:E$661,5,FALSE)</f>
        <v>25</v>
      </c>
    </row>
    <row r="58" spans="1:8" ht="12" customHeight="1" x14ac:dyDescent="0.25">
      <c r="A58" s="3" t="s">
        <v>58</v>
      </c>
      <c r="B58" s="3" t="str">
        <f>RIGHT(A58, LEN(A58)-21)</f>
        <v>2768-57</v>
      </c>
      <c r="C58" s="4">
        <v>0.22725000000000001</v>
      </c>
      <c r="D58" s="5">
        <v>47.25</v>
      </c>
      <c r="E58">
        <f>VLOOKUP(B58,'CEBAS-DEWOOD code'!A$2:B$302,2,FALSE)</f>
        <v>124</v>
      </c>
      <c r="F58" s="7" t="str">
        <f>VLOOKUP(E58,'Field Table'!A$2:E$661,3,FALSE)</f>
        <v>FS</v>
      </c>
      <c r="G58" s="7" t="str">
        <f>VLOOKUP(E58,'Field Table'!A$2:E$661,4,FALSE)</f>
        <v>1</v>
      </c>
      <c r="H58" s="7" t="str">
        <f>VLOOKUP(E58,'Field Table'!A$2:E$661,5,FALSE)</f>
        <v>25</v>
      </c>
    </row>
    <row r="59" spans="1:8" ht="12" customHeight="1" x14ac:dyDescent="0.25">
      <c r="A59" s="3" t="s">
        <v>59</v>
      </c>
      <c r="B59" s="3" t="str">
        <f>RIGHT(A59, LEN(A59)-21)</f>
        <v>2768-58</v>
      </c>
      <c r="C59" s="4">
        <v>0.31219999999999998</v>
      </c>
      <c r="D59" s="5">
        <v>47.43</v>
      </c>
      <c r="E59">
        <f>VLOOKUP(B59,'CEBAS-DEWOOD code'!A$2:B$302,2,FALSE)</f>
        <v>365</v>
      </c>
      <c r="F59" s="7" t="str">
        <f>VLOOKUP(E59,'Field Table'!A$2:E$661,3,FALSE)</f>
        <v>FS</v>
      </c>
      <c r="G59" s="7" t="str">
        <f>VLOOKUP(E59,'Field Table'!A$2:E$661,4,FALSE)</f>
        <v>4</v>
      </c>
      <c r="H59" s="7" t="str">
        <f>VLOOKUP(E59,'Field Table'!A$2:E$661,5,FALSE)</f>
        <v>25</v>
      </c>
    </row>
    <row r="60" spans="1:8" ht="12" customHeight="1" x14ac:dyDescent="0.25">
      <c r="A60" s="3" t="s">
        <v>60</v>
      </c>
      <c r="B60" s="3" t="str">
        <f>RIGHT(A60, LEN(A60)-21)</f>
        <v>2768-59</v>
      </c>
      <c r="C60" s="4">
        <v>0.25740000000000002</v>
      </c>
      <c r="D60" s="5">
        <v>47.41</v>
      </c>
      <c r="E60">
        <f>VLOOKUP(B60,'CEBAS-DEWOOD code'!A$2:B$302,2,FALSE)</f>
        <v>175</v>
      </c>
      <c r="F60" s="7" t="str">
        <f>VLOOKUP(E60,'Field Table'!A$2:E$661,3,FALSE)</f>
        <v>FS</v>
      </c>
      <c r="G60" s="7" t="str">
        <f>VLOOKUP(E60,'Field Table'!A$2:E$661,4,FALSE)</f>
        <v>4</v>
      </c>
      <c r="H60" s="7" t="str">
        <f>VLOOKUP(E60,'Field Table'!A$2:E$661,5,FALSE)</f>
        <v>25</v>
      </c>
    </row>
    <row r="61" spans="1:8" ht="12" customHeight="1" x14ac:dyDescent="0.25">
      <c r="A61" s="3" t="s">
        <v>61</v>
      </c>
      <c r="B61" s="3" t="str">
        <f>RIGHT(A61, LEN(A61)-21)</f>
        <v>2768-60</v>
      </c>
      <c r="C61" s="4">
        <v>0.1135</v>
      </c>
      <c r="D61" s="5">
        <v>48.84</v>
      </c>
      <c r="E61">
        <f>VLOOKUP(B61,'CEBAS-DEWOOD code'!A$2:B$302,2,FALSE)</f>
        <v>116</v>
      </c>
      <c r="F61" s="7" t="str">
        <f>VLOOKUP(E61,'Field Table'!A$2:E$661,3,FALSE)</f>
        <v>AA</v>
      </c>
      <c r="G61" s="7" t="str">
        <f>VLOOKUP(E61,'Field Table'!A$2:E$661,4,FALSE)</f>
        <v>2</v>
      </c>
      <c r="H61" s="7" t="str">
        <f>VLOOKUP(E61,'Field Table'!A$2:E$661,5,FALSE)</f>
        <v>10</v>
      </c>
    </row>
    <row r="62" spans="1:8" ht="12" customHeight="1" x14ac:dyDescent="0.25">
      <c r="A62" s="3" t="s">
        <v>62</v>
      </c>
      <c r="B62" s="3" t="str">
        <f>RIGHT(A62, LEN(A62)-21)</f>
        <v>2768-61</v>
      </c>
      <c r="C62" s="4">
        <v>0.2175</v>
      </c>
      <c r="D62" s="5">
        <v>49.93</v>
      </c>
      <c r="E62">
        <f>VLOOKUP(B62,'CEBAS-DEWOOD code'!A$2:B$302,2,FALSE)</f>
        <v>122</v>
      </c>
      <c r="F62" s="7" t="str">
        <f>VLOOKUP(E62,'Field Table'!A$2:E$661,3,FALSE)</f>
        <v>AA</v>
      </c>
      <c r="G62" s="7" t="str">
        <f>VLOOKUP(E62,'Field Table'!A$2:E$661,4,FALSE)</f>
        <v>2</v>
      </c>
      <c r="H62" s="7" t="str">
        <f>VLOOKUP(E62,'Field Table'!A$2:E$661,5,FALSE)</f>
        <v>25</v>
      </c>
    </row>
    <row r="63" spans="1:8" ht="12" customHeight="1" x14ac:dyDescent="0.25">
      <c r="A63" s="3" t="s">
        <v>63</v>
      </c>
      <c r="B63" s="3" t="str">
        <f>RIGHT(A63, LEN(A63)-21)</f>
        <v>2768-62</v>
      </c>
      <c r="C63" s="4">
        <v>0.19389999999999999</v>
      </c>
      <c r="D63" s="5">
        <v>49.26</v>
      </c>
      <c r="E63">
        <f>VLOOKUP(B63,'CEBAS-DEWOOD code'!A$2:B$302,2,FALSE)</f>
        <v>3</v>
      </c>
      <c r="F63" s="7" t="str">
        <f>VLOOKUP(E63,'Field Table'!A$2:E$661,3,FALSE)</f>
        <v>AA</v>
      </c>
      <c r="G63" s="7" t="str">
        <f>VLOOKUP(E63,'Field Table'!A$2:E$661,4,FALSE)</f>
        <v>4</v>
      </c>
      <c r="H63" s="7" t="str">
        <f>VLOOKUP(E63,'Field Table'!A$2:E$661,5,FALSE)</f>
        <v>25</v>
      </c>
    </row>
    <row r="64" spans="1:8" ht="12" customHeight="1" x14ac:dyDescent="0.25">
      <c r="A64" s="3" t="s">
        <v>64</v>
      </c>
      <c r="B64" s="3" t="str">
        <f>RIGHT(A64, LEN(A64)-21)</f>
        <v>2768-63</v>
      </c>
      <c r="C64" s="4">
        <v>0.35670000000000002</v>
      </c>
      <c r="D64" s="5">
        <v>48.1</v>
      </c>
      <c r="E64">
        <f>VLOOKUP(B64,'CEBAS-DEWOOD code'!A$2:B$302,2,FALSE)</f>
        <v>125</v>
      </c>
      <c r="F64" s="7" t="str">
        <f>VLOOKUP(E64,'Field Table'!A$2:E$661,3,FALSE)</f>
        <v>FS</v>
      </c>
      <c r="G64" s="7" t="str">
        <f>VLOOKUP(E64,'Field Table'!A$2:E$661,4,FALSE)</f>
        <v>2</v>
      </c>
      <c r="H64" s="7" t="str">
        <f>VLOOKUP(E64,'Field Table'!A$2:E$661,5,FALSE)</f>
        <v>25</v>
      </c>
    </row>
    <row r="65" spans="1:8" ht="12" customHeight="1" x14ac:dyDescent="0.25">
      <c r="A65" s="3" t="s">
        <v>65</v>
      </c>
      <c r="B65" s="3" t="str">
        <f>RIGHT(A65, LEN(A65)-21)</f>
        <v>2768-64</v>
      </c>
      <c r="C65" s="4">
        <v>0.20330000000000001</v>
      </c>
      <c r="D65" s="5">
        <v>46.44</v>
      </c>
      <c r="E65">
        <f>VLOOKUP(B65,'CEBAS-DEWOOD code'!A$2:B$302,2,FALSE)</f>
        <v>119</v>
      </c>
      <c r="F65" s="7" t="str">
        <f>VLOOKUP(E65,'Field Table'!A$2:E$661,3,FALSE)</f>
        <v>FS</v>
      </c>
      <c r="G65" s="7" t="str">
        <f>VLOOKUP(E65,'Field Table'!A$2:E$661,4,FALSE)</f>
        <v>2</v>
      </c>
      <c r="H65" s="7" t="str">
        <f>VLOOKUP(E65,'Field Table'!A$2:E$661,5,FALSE)</f>
        <v>10</v>
      </c>
    </row>
    <row r="66" spans="1:8" ht="12" customHeight="1" x14ac:dyDescent="0.25">
      <c r="A66" s="3" t="s">
        <v>66</v>
      </c>
      <c r="B66" s="3" t="str">
        <f>RIGHT(A66, LEN(A66)-21)</f>
        <v>2768-65</v>
      </c>
      <c r="C66" s="4">
        <v>0.16900000000000001</v>
      </c>
      <c r="D66" s="5">
        <v>48.15</v>
      </c>
      <c r="E66">
        <f>VLOOKUP(B66,'CEBAS-DEWOOD code'!A$2:B$302,2,FALSE)</f>
        <v>360</v>
      </c>
      <c r="F66" s="7" t="str">
        <f>VLOOKUP(E66,'Field Table'!A$2:E$661,3,FALSE)</f>
        <v>AA</v>
      </c>
      <c r="G66" s="7" t="str">
        <f>VLOOKUP(E66,'Field Table'!A$2:E$661,4,FALSE)</f>
        <v>1</v>
      </c>
      <c r="H66" s="7" t="str">
        <f>VLOOKUP(E66,'Field Table'!A$2:E$661,5,FALSE)</f>
        <v>25</v>
      </c>
    </row>
    <row r="67" spans="1:8" ht="12" customHeight="1" x14ac:dyDescent="0.25">
      <c r="A67" s="3" t="s">
        <v>67</v>
      </c>
      <c r="B67" s="3" t="str">
        <f>RIGHT(A67, LEN(A67)-21)</f>
        <v>2768-66</v>
      </c>
      <c r="C67" s="4">
        <v>0.32090000000000002</v>
      </c>
      <c r="D67" s="5">
        <v>47.29</v>
      </c>
      <c r="E67">
        <f>VLOOKUP(B67,'CEBAS-DEWOOD code'!A$2:B$302,2,FALSE)</f>
        <v>1052</v>
      </c>
      <c r="F67" s="7" t="str">
        <f>VLOOKUP(E67,'Field Table'!A$2:E$661,3,FALSE)</f>
        <v>FS</v>
      </c>
      <c r="G67" s="7" t="str">
        <f>VLOOKUP(E67,'Field Table'!A$2:E$661,4,FALSE)</f>
        <v>1</v>
      </c>
      <c r="H67" s="7" t="str">
        <f>VLOOKUP(E67,'Field Table'!A$2:E$661,5,FALSE)</f>
        <v>01</v>
      </c>
    </row>
    <row r="68" spans="1:8" ht="12" customHeight="1" x14ac:dyDescent="0.25">
      <c r="A68" s="3" t="s">
        <v>68</v>
      </c>
      <c r="B68" s="3" t="str">
        <f>RIGHT(A68, LEN(A68)-21)</f>
        <v>2768-67</v>
      </c>
      <c r="C68" s="4">
        <v>0.19750000000000001</v>
      </c>
      <c r="D68" s="5">
        <v>46.22</v>
      </c>
      <c r="E68">
        <f>VLOOKUP(B68,'CEBAS-DEWOOD code'!A$2:B$302,2,FALSE)</f>
        <v>338</v>
      </c>
      <c r="F68" s="7" t="str">
        <f>VLOOKUP(E68,'Field Table'!A$2:E$661,3,FALSE)</f>
        <v>FS</v>
      </c>
      <c r="G68" s="7" t="str">
        <f>VLOOKUP(E68,'Field Table'!A$2:E$661,4,FALSE)</f>
        <v>2</v>
      </c>
      <c r="H68" s="7" t="str">
        <f>VLOOKUP(E68,'Field Table'!A$2:E$661,5,FALSE)</f>
        <v>10</v>
      </c>
    </row>
    <row r="69" spans="1:8" ht="12" customHeight="1" x14ac:dyDescent="0.25">
      <c r="A69" s="3" t="s">
        <v>69</v>
      </c>
      <c r="B69" s="3" t="str">
        <f>RIGHT(A69, LEN(A69)-21)</f>
        <v>2768-68</v>
      </c>
      <c r="C69" s="4">
        <v>0.51519999999999999</v>
      </c>
      <c r="D69" s="5">
        <v>47.4</v>
      </c>
      <c r="E69">
        <f>VLOOKUP(B69,'CEBAS-DEWOOD code'!A$2:B$302,2,FALSE)</f>
        <v>347</v>
      </c>
      <c r="F69" s="7" t="str">
        <f>VLOOKUP(E69,'Field Table'!A$2:E$661,3,FALSE)</f>
        <v>FS</v>
      </c>
      <c r="G69" s="7" t="str">
        <f>VLOOKUP(E69,'Field Table'!A$2:E$661,4,FALSE)</f>
        <v>4</v>
      </c>
      <c r="H69" s="7" t="str">
        <f>VLOOKUP(E69,'Field Table'!A$2:E$661,5,FALSE)</f>
        <v>25</v>
      </c>
    </row>
    <row r="70" spans="1:8" ht="12" customHeight="1" x14ac:dyDescent="0.25">
      <c r="A70" s="3" t="s">
        <v>70</v>
      </c>
      <c r="B70" s="3" t="str">
        <f>RIGHT(A70, LEN(A70)-21)</f>
        <v>2768-69</v>
      </c>
      <c r="C70" s="4">
        <v>0.21390000000000001</v>
      </c>
      <c r="D70" s="5">
        <v>49.05</v>
      </c>
      <c r="E70">
        <f>VLOOKUP(B70,'CEBAS-DEWOOD code'!A$2:B$302,2,FALSE)</f>
        <v>182</v>
      </c>
      <c r="F70" s="7" t="str">
        <f>VLOOKUP(E70,'Field Table'!A$2:E$661,3,FALSE)</f>
        <v>AA</v>
      </c>
      <c r="G70" s="7" t="str">
        <f>VLOOKUP(E70,'Field Table'!A$2:E$661,4,FALSE)</f>
        <v>1</v>
      </c>
      <c r="H70" s="7" t="str">
        <f>VLOOKUP(E70,'Field Table'!A$2:E$661,5,FALSE)</f>
        <v>25</v>
      </c>
    </row>
    <row r="71" spans="1:8" ht="12" customHeight="1" x14ac:dyDescent="0.25">
      <c r="A71" s="3" t="s">
        <v>71</v>
      </c>
      <c r="B71" s="3" t="str">
        <f>RIGHT(A71, LEN(A71)-21)</f>
        <v>2768-71</v>
      </c>
      <c r="C71" s="4">
        <v>0.16850000000000001</v>
      </c>
      <c r="D71" s="5">
        <v>48.03</v>
      </c>
      <c r="E71">
        <f>VLOOKUP(B71,'CEBAS-DEWOOD code'!A$2:B$302,2,FALSE)</f>
        <v>142</v>
      </c>
      <c r="F71" s="7" t="str">
        <f>VLOOKUP(E71,'Field Table'!A$2:E$661,3,FALSE)</f>
        <v>AA</v>
      </c>
      <c r="G71" s="7" t="str">
        <f>VLOOKUP(E71,'Field Table'!A$2:E$661,4,FALSE)</f>
        <v>4</v>
      </c>
      <c r="H71" s="7" t="str">
        <f>VLOOKUP(E71,'Field Table'!A$2:E$661,5,FALSE)</f>
        <v>10</v>
      </c>
    </row>
    <row r="72" spans="1:8" ht="12" customHeight="1" x14ac:dyDescent="0.25">
      <c r="A72" s="3" t="s">
        <v>72</v>
      </c>
      <c r="B72" s="3" t="str">
        <f>RIGHT(A72, LEN(A72)-21)</f>
        <v>2768-72</v>
      </c>
      <c r="C72" s="4">
        <v>0.29559999999999997</v>
      </c>
      <c r="D72" s="5">
        <v>47.7</v>
      </c>
      <c r="E72">
        <f>VLOOKUP(B72,'CEBAS-DEWOOD code'!A$2:B$302,2,FALSE)</f>
        <v>1028</v>
      </c>
      <c r="F72" s="7" t="str">
        <f>VLOOKUP(E72,'Field Table'!A$2:E$661,3,FALSE)</f>
        <v>FS</v>
      </c>
      <c r="G72" s="7" t="str">
        <f>VLOOKUP(E72,'Field Table'!A$2:E$661,4,FALSE)</f>
        <v>1</v>
      </c>
      <c r="H72" s="7" t="str">
        <f>VLOOKUP(E72,'Field Table'!A$2:E$661,5,FALSE)</f>
        <v>01</v>
      </c>
    </row>
    <row r="73" spans="1:8" ht="12" customHeight="1" x14ac:dyDescent="0.25">
      <c r="A73" s="3" t="s">
        <v>73</v>
      </c>
      <c r="B73" s="3" t="str">
        <f>RIGHT(A73, LEN(A73)-21)</f>
        <v>2768-73</v>
      </c>
      <c r="C73" s="4">
        <v>0.19040000000000001</v>
      </c>
      <c r="D73" s="5">
        <v>47.08</v>
      </c>
      <c r="E73">
        <f>VLOOKUP(B73,'CEBAS-DEWOOD code'!A$2:B$302,2,FALSE)</f>
        <v>341</v>
      </c>
      <c r="F73" s="7" t="str">
        <f>VLOOKUP(E73,'Field Table'!A$2:E$661,3,FALSE)</f>
        <v>FS</v>
      </c>
      <c r="G73" s="7" t="str">
        <f>VLOOKUP(E73,'Field Table'!A$2:E$661,4,FALSE)</f>
        <v>4</v>
      </c>
      <c r="H73" s="7" t="str">
        <f>VLOOKUP(E73,'Field Table'!A$2:E$661,5,FALSE)</f>
        <v>10</v>
      </c>
    </row>
    <row r="74" spans="1:8" ht="12" customHeight="1" x14ac:dyDescent="0.25">
      <c r="A74" s="3" t="s">
        <v>74</v>
      </c>
      <c r="B74" s="3" t="str">
        <f>RIGHT(A74, LEN(A74)-21)</f>
        <v>2768-74</v>
      </c>
      <c r="C74" s="4">
        <v>3.9899999999999998E-2</v>
      </c>
      <c r="D74" s="5">
        <v>48.06</v>
      </c>
      <c r="E74">
        <f>VLOOKUP(B74,'CEBAS-DEWOOD code'!A$2:B$302,2,FALSE)</f>
        <v>121</v>
      </c>
      <c r="F74" s="7" t="str">
        <f>VLOOKUP(E74,'Field Table'!A$2:E$661,3,FALSE)</f>
        <v>AA</v>
      </c>
      <c r="G74" s="7" t="str">
        <f>VLOOKUP(E74,'Field Table'!A$2:E$661,4,FALSE)</f>
        <v>1</v>
      </c>
      <c r="H74" s="7" t="str">
        <f>VLOOKUP(E74,'Field Table'!A$2:E$661,5,FALSE)</f>
        <v>25</v>
      </c>
    </row>
    <row r="75" spans="1:8" ht="12" customHeight="1" x14ac:dyDescent="0.25">
      <c r="A75" s="3" t="s">
        <v>75</v>
      </c>
      <c r="B75" s="3" t="str">
        <f>RIGHT(A75, LEN(A75)-21)</f>
        <v>2768-75</v>
      </c>
      <c r="C75" s="4">
        <v>0.14630000000000001</v>
      </c>
      <c r="D75" s="5">
        <v>46.24</v>
      </c>
      <c r="E75">
        <f>VLOOKUP(B75,'CEBAS-DEWOOD code'!A$2:B$302,2,FALSE)</f>
        <v>354</v>
      </c>
      <c r="F75" s="7" t="str">
        <f>VLOOKUP(E75,'Field Table'!A$2:E$661,3,FALSE)</f>
        <v>FS</v>
      </c>
      <c r="G75" s="7" t="str">
        <f>VLOOKUP(E75,'Field Table'!A$2:E$661,4,FALSE)</f>
        <v>1</v>
      </c>
      <c r="H75" s="7" t="str">
        <f>VLOOKUP(E75,'Field Table'!A$2:E$661,5,FALSE)</f>
        <v>10</v>
      </c>
    </row>
    <row r="76" spans="1:8" ht="12" customHeight="1" x14ac:dyDescent="0.25">
      <c r="A76" s="3" t="s">
        <v>76</v>
      </c>
      <c r="B76" s="3" t="str">
        <f>RIGHT(A76, LEN(A76)-21)</f>
        <v>2768-76</v>
      </c>
      <c r="C76" s="4">
        <v>0.35036499999999998</v>
      </c>
      <c r="D76" s="5">
        <v>49.685000000000002</v>
      </c>
      <c r="E76">
        <f>VLOOKUP(B76,'CEBAS-DEWOOD code'!A$2:B$302,2,FALSE)</f>
        <v>1039</v>
      </c>
      <c r="F76" s="7" t="str">
        <f>VLOOKUP(E76,'Field Table'!A$2:E$661,3,FALSE)</f>
        <v>AA</v>
      </c>
      <c r="G76" s="7" t="str">
        <f>VLOOKUP(E76,'Field Table'!A$2:E$661,4,FALSE)</f>
        <v>4</v>
      </c>
      <c r="H76" s="7" t="str">
        <f>VLOOKUP(E76,'Field Table'!A$2:E$661,5,FALSE)</f>
        <v>01</v>
      </c>
    </row>
    <row r="77" spans="1:8" ht="12" customHeight="1" x14ac:dyDescent="0.25">
      <c r="A77" s="3" t="s">
        <v>77</v>
      </c>
      <c r="B77" s="3" t="str">
        <f>RIGHT(A77, LEN(A77)-21)</f>
        <v>2768-77</v>
      </c>
      <c r="C77" s="4">
        <v>0.16439999999999999</v>
      </c>
      <c r="D77" s="5">
        <v>48.19</v>
      </c>
      <c r="E77">
        <f>VLOOKUP(B77,'CEBAS-DEWOOD code'!A$2:B$302,2,FALSE)</f>
        <v>1056</v>
      </c>
      <c r="F77" s="7" t="str">
        <f>VLOOKUP(E77,'Field Table'!A$2:E$661,3,FALSE)</f>
        <v>AA</v>
      </c>
      <c r="G77" s="7" t="str">
        <f>VLOOKUP(E77,'Field Table'!A$2:E$661,4,FALSE)</f>
        <v>2</v>
      </c>
      <c r="H77" s="7" t="str">
        <f>VLOOKUP(E77,'Field Table'!A$2:E$661,5,FALSE)</f>
        <v>01</v>
      </c>
    </row>
    <row r="78" spans="1:8" ht="12" customHeight="1" x14ac:dyDescent="0.25">
      <c r="A78" s="3" t="s">
        <v>78</v>
      </c>
      <c r="B78" s="3" t="str">
        <f>RIGHT(A78, LEN(A78)-21)</f>
        <v>2768-78</v>
      </c>
      <c r="C78" s="4">
        <v>0.1565</v>
      </c>
      <c r="D78" s="5">
        <v>46.66</v>
      </c>
      <c r="E78">
        <f>VLOOKUP(B78,'CEBAS-DEWOOD code'!A$2:B$302,2,FALSE)</f>
        <v>118</v>
      </c>
      <c r="F78" s="7" t="str">
        <f>VLOOKUP(E78,'Field Table'!A$2:E$661,3,FALSE)</f>
        <v>FS</v>
      </c>
      <c r="G78" s="7" t="str">
        <f>VLOOKUP(E78,'Field Table'!A$2:E$661,4,FALSE)</f>
        <v>1</v>
      </c>
      <c r="H78" s="7" t="str">
        <f>VLOOKUP(E78,'Field Table'!A$2:E$661,5,FALSE)</f>
        <v>10</v>
      </c>
    </row>
    <row r="79" spans="1:8" ht="12" customHeight="1" x14ac:dyDescent="0.25">
      <c r="A79" s="3" t="s">
        <v>79</v>
      </c>
      <c r="B79" s="3" t="str">
        <f>RIGHT(A79, LEN(A79)-21)</f>
        <v>2768-79</v>
      </c>
      <c r="C79" s="4">
        <v>0.13420000000000001</v>
      </c>
      <c r="D79" s="5">
        <v>48.17</v>
      </c>
      <c r="E79">
        <f>VLOOKUP(B79,'CEBAS-DEWOOD code'!A$2:B$302,2,FALSE)</f>
        <v>1002</v>
      </c>
      <c r="F79" s="7" t="str">
        <f>VLOOKUP(E79,'Field Table'!A$2:E$661,3,FALSE)</f>
        <v>AA</v>
      </c>
      <c r="G79" s="7" t="str">
        <f>VLOOKUP(E79,'Field Table'!A$2:E$661,4,FALSE)</f>
        <v>2</v>
      </c>
      <c r="H79" s="7" t="str">
        <f>VLOOKUP(E79,'Field Table'!A$2:E$661,5,FALSE)</f>
        <v>01</v>
      </c>
    </row>
    <row r="80" spans="1:8" ht="12" customHeight="1" x14ac:dyDescent="0.25">
      <c r="A80" s="3" t="s">
        <v>80</v>
      </c>
      <c r="B80" s="3" t="str">
        <f>RIGHT(A80, LEN(A80)-21)</f>
        <v>2768-80</v>
      </c>
      <c r="C80" s="4">
        <v>0.22315000000000002</v>
      </c>
      <c r="D80" s="5">
        <v>50.814999999999998</v>
      </c>
      <c r="E80">
        <f>VLOOKUP(B80,'CEBAS-DEWOOD code'!A$2:B$302,2,FALSE)</f>
        <v>398</v>
      </c>
      <c r="F80" s="7" t="str">
        <f>VLOOKUP(E80,'Field Table'!A$2:E$661,3,FALSE)</f>
        <v>AA</v>
      </c>
      <c r="G80" s="7" t="str">
        <f>VLOOKUP(E80,'Field Table'!A$2:E$661,4,FALSE)</f>
        <v>4</v>
      </c>
      <c r="H80" s="7" t="str">
        <f>VLOOKUP(E80,'Field Table'!A$2:E$661,5,FALSE)</f>
        <v>25</v>
      </c>
    </row>
    <row r="81" spans="1:8" ht="12" customHeight="1" x14ac:dyDescent="0.25">
      <c r="A81" s="3" t="s">
        <v>81</v>
      </c>
      <c r="B81" s="3" t="str">
        <f>RIGHT(A81, LEN(A81)-21)</f>
        <v>2768-81</v>
      </c>
      <c r="C81" s="4">
        <v>8.7999999999999995E-2</v>
      </c>
      <c r="D81" s="5">
        <v>48.45</v>
      </c>
      <c r="E81">
        <f>VLOOKUP(B81,'CEBAS-DEWOOD code'!A$2:B$302,2,FALSE)</f>
        <v>34</v>
      </c>
      <c r="F81" s="7" t="str">
        <f>VLOOKUP(E81,'Field Table'!A$2:E$661,3,FALSE)</f>
        <v>AA</v>
      </c>
      <c r="G81" s="7" t="str">
        <f>VLOOKUP(E81,'Field Table'!A$2:E$661,4,FALSE)</f>
        <v>4</v>
      </c>
      <c r="H81" s="7" t="str">
        <f>VLOOKUP(E81,'Field Table'!A$2:E$661,5,FALSE)</f>
        <v>01</v>
      </c>
    </row>
    <row r="82" spans="1:8" ht="12" customHeight="1" x14ac:dyDescent="0.25">
      <c r="A82" s="3" t="s">
        <v>82</v>
      </c>
      <c r="B82" s="3" t="str">
        <f>RIGHT(A82, LEN(A82)-21)</f>
        <v>2768-82</v>
      </c>
      <c r="C82" s="4">
        <v>0.24729999999999999</v>
      </c>
      <c r="D82" s="5">
        <v>47.05</v>
      </c>
      <c r="E82">
        <f>VLOOKUP(B82,'CEBAS-DEWOOD code'!A$2:B$302,2,FALSE)</f>
        <v>358</v>
      </c>
      <c r="F82" s="7" t="str">
        <f>VLOOKUP(E82,'Field Table'!A$2:E$661,3,FALSE)</f>
        <v>FS</v>
      </c>
      <c r="G82" s="7" t="str">
        <f>VLOOKUP(E82,'Field Table'!A$2:E$661,4,FALSE)</f>
        <v>4</v>
      </c>
      <c r="H82" s="7" t="str">
        <f>VLOOKUP(E82,'Field Table'!A$2:E$661,5,FALSE)</f>
        <v>10</v>
      </c>
    </row>
    <row r="83" spans="1:8" ht="12" customHeight="1" x14ac:dyDescent="0.25">
      <c r="A83" s="3" t="s">
        <v>83</v>
      </c>
      <c r="B83" s="3" t="str">
        <f>RIGHT(A83, LEN(A83)-21)</f>
        <v>2768-83</v>
      </c>
      <c r="C83" s="4">
        <v>9.9199999999999997E-2</v>
      </c>
      <c r="D83" s="5">
        <v>48.15</v>
      </c>
      <c r="E83">
        <f>VLOOKUP(B83,'CEBAS-DEWOOD code'!A$2:B$302,2,FALSE)</f>
        <v>708</v>
      </c>
      <c r="F83" s="7" t="e">
        <f>VLOOKUP(E83,'Field Table'!A$2:E$661,3,FALSE)</f>
        <v>#N/A</v>
      </c>
      <c r="G83" s="7" t="e">
        <f>VLOOKUP(E83,'Field Table'!A$2:E$661,4,FALSE)</f>
        <v>#N/A</v>
      </c>
      <c r="H83" s="7" t="e">
        <f>VLOOKUP(E83,'Field Table'!A$2:E$661,5,FALSE)</f>
        <v>#N/A</v>
      </c>
    </row>
    <row r="84" spans="1:8" ht="12" customHeight="1" x14ac:dyDescent="0.25">
      <c r="A84" s="3" t="s">
        <v>84</v>
      </c>
      <c r="B84" s="3" t="str">
        <f>RIGHT(A84, LEN(A84)-21)</f>
        <v>2768-84</v>
      </c>
      <c r="C84" s="4">
        <v>0.26769999999999999</v>
      </c>
      <c r="D84" s="5">
        <v>46.87</v>
      </c>
      <c r="E84">
        <f>VLOOKUP(B84,'CEBAS-DEWOOD code'!A$2:B$302,2,FALSE)</f>
        <v>1060</v>
      </c>
      <c r="F84" s="7" t="str">
        <f>VLOOKUP(E84,'Field Table'!A$2:E$661,3,FALSE)</f>
        <v>FS</v>
      </c>
      <c r="G84" s="7" t="str">
        <f>VLOOKUP(E84,'Field Table'!A$2:E$661,4,FALSE)</f>
        <v>4</v>
      </c>
      <c r="H84" s="7" t="str">
        <f>VLOOKUP(E84,'Field Table'!A$2:E$661,5,FALSE)</f>
        <v>01</v>
      </c>
    </row>
    <row r="85" spans="1:8" ht="12" customHeight="1" x14ac:dyDescent="0.25">
      <c r="A85" s="3" t="s">
        <v>85</v>
      </c>
      <c r="B85" s="3" t="str">
        <f>RIGHT(A85, LEN(A85)-21)</f>
        <v>2768-85</v>
      </c>
      <c r="C85" s="4">
        <v>0.37209999999999999</v>
      </c>
      <c r="D85" s="5">
        <v>47.58</v>
      </c>
      <c r="E85">
        <f>VLOOKUP(B85,'CEBAS-DEWOOD code'!A$2:B$302,2,FALSE)</f>
        <v>1022</v>
      </c>
      <c r="F85" s="7" t="str">
        <f>VLOOKUP(E85,'Field Table'!A$2:E$661,3,FALSE)</f>
        <v>FS</v>
      </c>
      <c r="G85" s="7" t="str">
        <f>VLOOKUP(E85,'Field Table'!A$2:E$661,4,FALSE)</f>
        <v>1</v>
      </c>
      <c r="H85" s="7" t="str">
        <f>VLOOKUP(E85,'Field Table'!A$2:E$661,5,FALSE)</f>
        <v>01</v>
      </c>
    </row>
    <row r="86" spans="1:8" ht="12" customHeight="1" x14ac:dyDescent="0.25">
      <c r="A86" s="3" t="s">
        <v>86</v>
      </c>
      <c r="B86" s="3" t="str">
        <f>RIGHT(A86, LEN(A86)-21)</f>
        <v>2768-86</v>
      </c>
      <c r="C86" s="4">
        <v>0.14807500000000001</v>
      </c>
      <c r="D86" s="5">
        <v>47.685500000000005</v>
      </c>
      <c r="E86">
        <f>VLOOKUP(B86,'CEBAS-DEWOOD code'!A$2:B$302,2,FALSE)</f>
        <v>73</v>
      </c>
      <c r="F86" s="7" t="str">
        <f>VLOOKUP(E86,'Field Table'!A$2:E$661,3,FALSE)</f>
        <v>AA</v>
      </c>
      <c r="G86" s="7" t="str">
        <f>VLOOKUP(E86,'Field Table'!A$2:E$661,4,FALSE)</f>
        <v>1</v>
      </c>
      <c r="H86" s="7" t="str">
        <f>VLOOKUP(E86,'Field Table'!A$2:E$661,5,FALSE)</f>
        <v>25</v>
      </c>
    </row>
    <row r="87" spans="1:8" ht="12" customHeight="1" x14ac:dyDescent="0.25">
      <c r="A87" s="3" t="s">
        <v>87</v>
      </c>
      <c r="B87" s="3" t="str">
        <f>RIGHT(A87, LEN(A87)-21)</f>
        <v>2768-87</v>
      </c>
      <c r="C87" s="4">
        <v>0.14399999999999999</v>
      </c>
      <c r="D87" s="5">
        <v>48.12</v>
      </c>
      <c r="E87">
        <f>VLOOKUP(B87,'CEBAS-DEWOOD code'!A$2:B$302,2,FALSE)</f>
        <v>46</v>
      </c>
      <c r="F87" s="7" t="str">
        <f>VLOOKUP(E87,'Field Table'!A$2:E$661,3,FALSE)</f>
        <v>FS</v>
      </c>
      <c r="G87" s="7" t="str">
        <f>VLOOKUP(E87,'Field Table'!A$2:E$661,4,FALSE)</f>
        <v>1</v>
      </c>
      <c r="H87" s="7" t="str">
        <f>VLOOKUP(E87,'Field Table'!A$2:E$661,5,FALSE)</f>
        <v>10</v>
      </c>
    </row>
    <row r="88" spans="1:8" ht="12" customHeight="1" x14ac:dyDescent="0.25">
      <c r="A88" s="3" t="s">
        <v>88</v>
      </c>
      <c r="B88" s="3" t="str">
        <f>RIGHT(A88, LEN(A88)-21)</f>
        <v>2768-88</v>
      </c>
      <c r="C88" s="4">
        <v>0.3619</v>
      </c>
      <c r="D88" s="5">
        <v>49.23</v>
      </c>
      <c r="E88">
        <f>VLOOKUP(B88,'CEBAS-DEWOOD code'!A$2:B$302,2,FALSE)</f>
        <v>1077</v>
      </c>
      <c r="F88" s="7" t="str">
        <f>VLOOKUP(E88,'Field Table'!A$2:E$661,3,FALSE)</f>
        <v>FS</v>
      </c>
      <c r="G88" s="7" t="str">
        <f>VLOOKUP(E88,'Field Table'!A$2:E$661,4,FALSE)</f>
        <v>2</v>
      </c>
      <c r="H88" s="7" t="str">
        <f>VLOOKUP(E88,'Field Table'!A$2:E$661,5,FALSE)</f>
        <v>01</v>
      </c>
    </row>
    <row r="89" spans="1:8" ht="12" customHeight="1" x14ac:dyDescent="0.25">
      <c r="A89" s="3" t="s">
        <v>89</v>
      </c>
      <c r="B89" s="3" t="str">
        <f>RIGHT(A89, LEN(A89)-21)</f>
        <v>2768-89</v>
      </c>
      <c r="C89" s="4">
        <v>9.8100000000000007E-2</v>
      </c>
      <c r="D89" s="5">
        <v>50.23</v>
      </c>
      <c r="E89">
        <f>VLOOKUP(B89,'CEBAS-DEWOOD code'!A$2:B$302,2,FALSE)</f>
        <v>148</v>
      </c>
      <c r="F89" s="7" t="str">
        <f>VLOOKUP(E89,'Field Table'!A$2:E$661,3,FALSE)</f>
        <v>AA</v>
      </c>
      <c r="G89" s="7" t="str">
        <f>VLOOKUP(E89,'Field Table'!A$2:E$661,4,FALSE)</f>
        <v>4</v>
      </c>
      <c r="H89" s="7" t="str">
        <f>VLOOKUP(E89,'Field Table'!A$2:E$661,5,FALSE)</f>
        <v>25</v>
      </c>
    </row>
    <row r="90" spans="1:8" ht="12" customHeight="1" x14ac:dyDescent="0.25">
      <c r="A90" s="3" t="s">
        <v>90</v>
      </c>
      <c r="B90" s="3" t="str">
        <f>RIGHT(A90, LEN(A90)-21)</f>
        <v>2768-90</v>
      </c>
      <c r="C90" s="4">
        <v>8.2799999999999999E-2</v>
      </c>
      <c r="D90" s="5">
        <v>49.49</v>
      </c>
      <c r="E90">
        <f>VLOOKUP(B90,'CEBAS-DEWOOD code'!A$2:B$302,2,FALSE)</f>
        <v>396</v>
      </c>
      <c r="F90" s="7" t="str">
        <f>VLOOKUP(E90,'Field Table'!A$2:E$661,3,FALSE)</f>
        <v>AA</v>
      </c>
      <c r="G90" s="7" t="str">
        <f>VLOOKUP(E90,'Field Table'!A$2:E$661,4,FALSE)</f>
        <v>1</v>
      </c>
      <c r="H90" s="7" t="str">
        <f>VLOOKUP(E90,'Field Table'!A$2:E$661,5,FALSE)</f>
        <v>25</v>
      </c>
    </row>
    <row r="91" spans="1:8" ht="12" customHeight="1" x14ac:dyDescent="0.25">
      <c r="A91" s="3" t="s">
        <v>91</v>
      </c>
      <c r="B91" s="3" t="str">
        <f>RIGHT(A91, LEN(A91)-21)</f>
        <v>2768-91</v>
      </c>
      <c r="C91" s="4">
        <v>0.1401</v>
      </c>
      <c r="D91" s="5">
        <v>47.01</v>
      </c>
      <c r="E91">
        <f>VLOOKUP(B91,'CEBAS-DEWOOD code'!A$2:B$302,2,FALSE)</f>
        <v>167</v>
      </c>
      <c r="F91" s="7" t="str">
        <f>VLOOKUP(E91,'Field Table'!A$2:E$661,3,FALSE)</f>
        <v>FS</v>
      </c>
      <c r="G91" s="7" t="str">
        <f>VLOOKUP(E91,'Field Table'!A$2:E$661,4,FALSE)</f>
        <v>1</v>
      </c>
      <c r="H91" s="7" t="str">
        <f>VLOOKUP(E91,'Field Table'!A$2:E$661,5,FALSE)</f>
        <v>10</v>
      </c>
    </row>
    <row r="92" spans="1:8" ht="12" customHeight="1" x14ac:dyDescent="0.25">
      <c r="A92" s="3" t="s">
        <v>92</v>
      </c>
      <c r="B92" s="3" t="str">
        <f>RIGHT(A92, LEN(A92)-21)</f>
        <v>2768-92</v>
      </c>
      <c r="C92" s="4">
        <v>0.224</v>
      </c>
      <c r="D92" s="5">
        <v>48.66</v>
      </c>
      <c r="E92">
        <f>VLOOKUP(B92,'CEBAS-DEWOOD code'!A$2:B$302,2,FALSE)</f>
        <v>1069</v>
      </c>
      <c r="F92" s="7" t="str">
        <f>VLOOKUP(E92,'Field Table'!A$2:E$661,3,FALSE)</f>
        <v>AA</v>
      </c>
      <c r="G92" s="7" t="str">
        <f>VLOOKUP(E92,'Field Table'!A$2:E$661,4,FALSE)</f>
        <v>4</v>
      </c>
      <c r="H92" s="7" t="str">
        <f>VLOOKUP(E92,'Field Table'!A$2:E$661,5,FALSE)</f>
        <v>01</v>
      </c>
    </row>
    <row r="93" spans="1:8" ht="12" customHeight="1" x14ac:dyDescent="0.25">
      <c r="A93" s="3" t="s">
        <v>93</v>
      </c>
      <c r="B93" s="3" t="str">
        <f>RIGHT(A93, LEN(A93)-21)</f>
        <v>2768-93</v>
      </c>
      <c r="C93" s="4">
        <v>0.26600000000000001</v>
      </c>
      <c r="D93" s="5">
        <v>48.39</v>
      </c>
      <c r="E93" t="e">
        <f>VLOOKUP(B93,'CEBAS-DEWOOD code'!A$2:B$302,2,FALSE)</f>
        <v>#N/A</v>
      </c>
      <c r="F93" s="7" t="e">
        <f>VLOOKUP(E93,'Field Table'!A$2:E$661,3,FALSE)</f>
        <v>#N/A</v>
      </c>
      <c r="G93" s="7" t="e">
        <f>VLOOKUP(E93,'Field Table'!A$2:E$661,4,FALSE)</f>
        <v>#N/A</v>
      </c>
      <c r="H93" s="7" t="e">
        <f>VLOOKUP(E93,'Field Table'!A$2:E$661,5,FALSE)</f>
        <v>#N/A</v>
      </c>
    </row>
    <row r="94" spans="1:8" ht="12" customHeight="1" x14ac:dyDescent="0.25">
      <c r="A94" s="3" t="s">
        <v>94</v>
      </c>
      <c r="B94" s="3" t="str">
        <f>RIGHT(A94, LEN(A94)-21)</f>
        <v>2768-94</v>
      </c>
      <c r="C94" s="4">
        <v>0.17799999999999999</v>
      </c>
      <c r="D94" s="5">
        <v>46.5</v>
      </c>
      <c r="E94">
        <f>VLOOKUP(B94,'CEBAS-DEWOOD code'!A$2:B$302,2,FALSE)</f>
        <v>47</v>
      </c>
      <c r="F94" s="7" t="str">
        <f>VLOOKUP(E94,'Field Table'!A$2:E$661,3,FALSE)</f>
        <v>FS</v>
      </c>
      <c r="G94" s="7" t="str">
        <f>VLOOKUP(E94,'Field Table'!A$2:E$661,4,FALSE)</f>
        <v>2</v>
      </c>
      <c r="H94" s="7" t="str">
        <f>VLOOKUP(E94,'Field Table'!A$2:E$661,5,FALSE)</f>
        <v>10</v>
      </c>
    </row>
    <row r="95" spans="1:8" ht="12" customHeight="1" x14ac:dyDescent="0.25">
      <c r="A95" s="3" t="s">
        <v>95</v>
      </c>
      <c r="B95" s="3" t="str">
        <f>RIGHT(A95, LEN(A95)-21)</f>
        <v>2768-95</v>
      </c>
      <c r="C95" s="4">
        <v>0.12180000000000001</v>
      </c>
      <c r="D95" s="5">
        <v>46.7</v>
      </c>
      <c r="E95">
        <f>VLOOKUP(B95,'CEBAS-DEWOOD code'!A$2:B$302,2,FALSE)</f>
        <v>145</v>
      </c>
      <c r="F95" s="7" t="str">
        <f>VLOOKUP(E95,'Field Table'!A$2:E$661,3,FALSE)</f>
        <v>FS</v>
      </c>
      <c r="G95" s="7" t="str">
        <f>VLOOKUP(E95,'Field Table'!A$2:E$661,4,FALSE)</f>
        <v>4</v>
      </c>
      <c r="H95" s="7" t="str">
        <f>VLOOKUP(E95,'Field Table'!A$2:E$661,5,FALSE)</f>
        <v>10</v>
      </c>
    </row>
    <row r="96" spans="1:8" ht="12" customHeight="1" x14ac:dyDescent="0.25">
      <c r="A96" s="3" t="s">
        <v>96</v>
      </c>
      <c r="B96" s="3" t="str">
        <f>RIGHT(A96, LEN(A96)-21)</f>
        <v>2768-96</v>
      </c>
      <c r="C96" s="4">
        <v>5.21E-2</v>
      </c>
      <c r="D96" s="5">
        <v>48.71</v>
      </c>
      <c r="E96">
        <f>VLOOKUP(B96,'CEBAS-DEWOOD code'!A$2:B$302,2,FALSE)</f>
        <v>146</v>
      </c>
      <c r="F96" s="7" t="str">
        <f>VLOOKUP(E96,'Field Table'!A$2:E$661,3,FALSE)</f>
        <v>AA</v>
      </c>
      <c r="G96" s="7" t="str">
        <f>VLOOKUP(E96,'Field Table'!A$2:E$661,4,FALSE)</f>
        <v>1</v>
      </c>
      <c r="H96" s="7" t="str">
        <f>VLOOKUP(E96,'Field Table'!A$2:E$661,5,FALSE)</f>
        <v>25</v>
      </c>
    </row>
    <row r="97" spans="1:8" ht="12" customHeight="1" x14ac:dyDescent="0.25">
      <c r="A97" s="3" t="s">
        <v>97</v>
      </c>
      <c r="B97" s="3" t="str">
        <f>RIGHT(A97, LEN(A97)-21)</f>
        <v>2768-97</v>
      </c>
      <c r="C97" s="4">
        <v>0.1071</v>
      </c>
      <c r="D97" s="5">
        <v>46.46</v>
      </c>
      <c r="E97">
        <f>VLOOKUP(B97,'CEBAS-DEWOOD code'!A$2:B$302,2,FALSE)</f>
        <v>174</v>
      </c>
      <c r="F97" s="7" t="str">
        <f>VLOOKUP(E97,'Field Table'!A$2:E$661,3,FALSE)</f>
        <v>FS</v>
      </c>
      <c r="G97" s="7" t="str">
        <f>VLOOKUP(E97,'Field Table'!A$2:E$661,4,FALSE)</f>
        <v>2</v>
      </c>
      <c r="H97" s="7" t="str">
        <f>VLOOKUP(E97,'Field Table'!A$2:E$661,5,FALSE)</f>
        <v>25</v>
      </c>
    </row>
    <row r="98" spans="1:8" ht="12" customHeight="1" x14ac:dyDescent="0.25">
      <c r="A98" s="3" t="s">
        <v>98</v>
      </c>
      <c r="B98" s="3" t="str">
        <f>RIGHT(A98, LEN(A98)-21)</f>
        <v>2768-98</v>
      </c>
      <c r="C98" s="4">
        <v>0.42780000000000001</v>
      </c>
      <c r="D98" s="5">
        <v>47.27</v>
      </c>
      <c r="E98">
        <f>VLOOKUP(B98,'CEBAS-DEWOOD code'!A$2:B$302,2,FALSE)</f>
        <v>1054</v>
      </c>
      <c r="F98" s="7" t="str">
        <f>VLOOKUP(E98,'Field Table'!A$2:E$661,3,FALSE)</f>
        <v>FS</v>
      </c>
      <c r="G98" s="7" t="str">
        <f>VLOOKUP(E98,'Field Table'!A$2:E$661,4,FALSE)</f>
        <v>4</v>
      </c>
      <c r="H98" s="7" t="str">
        <f>VLOOKUP(E98,'Field Table'!A$2:E$661,5,FALSE)</f>
        <v>01</v>
      </c>
    </row>
    <row r="99" spans="1:8" ht="12" customHeight="1" x14ac:dyDescent="0.25">
      <c r="A99" s="3" t="s">
        <v>99</v>
      </c>
      <c r="B99" s="3" t="str">
        <f>RIGHT(A99, LEN(A99)-21)</f>
        <v>2768-99</v>
      </c>
      <c r="C99" s="4">
        <v>0.2112</v>
      </c>
      <c r="D99" s="5">
        <v>48.46</v>
      </c>
      <c r="E99">
        <f>VLOOKUP(B99,'CEBAS-DEWOOD code'!A$2:B$302,2,FALSE)</f>
        <v>1079</v>
      </c>
      <c r="F99" s="7" t="str">
        <f>VLOOKUP(E99,'Field Table'!A$2:E$661,3,FALSE)</f>
        <v>AA</v>
      </c>
      <c r="G99" s="7" t="str">
        <f>VLOOKUP(E99,'Field Table'!A$2:E$661,4,FALSE)</f>
        <v>1</v>
      </c>
      <c r="H99" s="7" t="str">
        <f>VLOOKUP(E99,'Field Table'!A$2:E$661,5,FALSE)</f>
        <v>01</v>
      </c>
    </row>
    <row r="100" spans="1:8" ht="12" customHeight="1" x14ac:dyDescent="0.25">
      <c r="A100" s="3" t="s">
        <v>100</v>
      </c>
      <c r="B100" s="3" t="str">
        <f>RIGHT(A100, LEN(A100)-21)</f>
        <v>2768-100</v>
      </c>
      <c r="C100" s="4">
        <v>0.10595</v>
      </c>
      <c r="D100" s="5">
        <v>48.92</v>
      </c>
      <c r="E100">
        <f>VLOOKUP(B100,'CEBAS-DEWOOD code'!A$2:B$302,2,FALSE)</f>
        <v>407</v>
      </c>
      <c r="F100" s="7" t="str">
        <f>VLOOKUP(E100,'Field Table'!A$2:E$661,3,FALSE)</f>
        <v>AA</v>
      </c>
      <c r="G100" s="7" t="str">
        <f>VLOOKUP(E100,'Field Table'!A$2:E$661,4,FALSE)</f>
        <v>4</v>
      </c>
      <c r="H100" s="7" t="str">
        <f>VLOOKUP(E100,'Field Table'!A$2:E$661,5,FALSE)</f>
        <v>10</v>
      </c>
    </row>
    <row r="101" spans="1:8" ht="12" customHeight="1" x14ac:dyDescent="0.25">
      <c r="A101" s="3" t="s">
        <v>101</v>
      </c>
      <c r="B101" s="3" t="str">
        <f>RIGHT(A101, LEN(A101)-21)</f>
        <v>2768-101</v>
      </c>
      <c r="C101" s="4">
        <v>0.126</v>
      </c>
      <c r="D101" s="5">
        <v>47.91</v>
      </c>
      <c r="E101">
        <f>VLOOKUP(B101,'CEBAS-DEWOOD code'!A$2:B$302,2,FALSE)</f>
        <v>387</v>
      </c>
      <c r="F101" s="7" t="str">
        <f>VLOOKUP(E101,'Field Table'!A$2:E$661,3,FALSE)</f>
        <v>AA</v>
      </c>
      <c r="G101" s="7" t="str">
        <f>VLOOKUP(E101,'Field Table'!A$2:E$661,4,FALSE)</f>
        <v>2</v>
      </c>
      <c r="H101" s="7" t="str">
        <f>VLOOKUP(E101,'Field Table'!A$2:E$661,5,FALSE)</f>
        <v>10</v>
      </c>
    </row>
    <row r="102" spans="1:8" ht="12" customHeight="1" x14ac:dyDescent="0.25">
      <c r="A102" s="3" t="s">
        <v>102</v>
      </c>
      <c r="B102" s="3" t="str">
        <f>RIGHT(A102, LEN(A102)-21)</f>
        <v>2768-102</v>
      </c>
      <c r="C102" s="4">
        <v>0.13650000000000001</v>
      </c>
      <c r="D102" s="5">
        <v>47.72</v>
      </c>
      <c r="E102">
        <f>VLOOKUP(B102,'CEBAS-DEWOOD code'!A$2:B$302,2,FALSE)</f>
        <v>404</v>
      </c>
      <c r="F102" s="7" t="str">
        <f>VLOOKUP(E102,'Field Table'!A$2:E$661,3,FALSE)</f>
        <v>AA</v>
      </c>
      <c r="G102" s="7" t="str">
        <f>VLOOKUP(E102,'Field Table'!A$2:E$661,4,FALSE)</f>
        <v>2</v>
      </c>
      <c r="H102" s="7" t="str">
        <f>VLOOKUP(E102,'Field Table'!A$2:E$661,5,FALSE)</f>
        <v>10</v>
      </c>
    </row>
    <row r="103" spans="1:8" ht="12" customHeight="1" x14ac:dyDescent="0.25">
      <c r="A103" s="3" t="s">
        <v>103</v>
      </c>
      <c r="B103" s="3" t="str">
        <f>RIGHT(A103, LEN(A103)-21)</f>
        <v>2768-103</v>
      </c>
      <c r="C103" s="4">
        <v>0.20660000000000001</v>
      </c>
      <c r="D103" s="5">
        <v>46.09</v>
      </c>
      <c r="E103">
        <f>VLOOKUP(B103,'CEBAS-DEWOOD code'!A$2:B$302,2,FALSE)</f>
        <v>375</v>
      </c>
      <c r="F103" s="7" t="str">
        <f>VLOOKUP(E103,'Field Table'!A$2:E$661,3,FALSE)</f>
        <v>FS</v>
      </c>
      <c r="G103" s="7" t="str">
        <f>VLOOKUP(E103,'Field Table'!A$2:E$661,4,FALSE)</f>
        <v>2</v>
      </c>
      <c r="H103" s="7" t="str">
        <f>VLOOKUP(E103,'Field Table'!A$2:E$661,5,FALSE)</f>
        <v>10</v>
      </c>
    </row>
    <row r="104" spans="1:8" ht="12" customHeight="1" x14ac:dyDescent="0.25">
      <c r="A104" s="3" t="s">
        <v>104</v>
      </c>
      <c r="B104" s="3" t="str">
        <f>RIGHT(A104, LEN(A104)-21)</f>
        <v>2768-104</v>
      </c>
      <c r="C104" s="4">
        <v>0.43169999999999997</v>
      </c>
      <c r="D104" s="5">
        <v>47.86</v>
      </c>
      <c r="E104">
        <f>VLOOKUP(B104,'CEBAS-DEWOOD code'!A$2:B$302,2,FALSE)</f>
        <v>1053</v>
      </c>
      <c r="F104" s="7" t="str">
        <f>VLOOKUP(E104,'Field Table'!A$2:E$661,3,FALSE)</f>
        <v>FS</v>
      </c>
      <c r="G104" s="7" t="str">
        <f>VLOOKUP(E104,'Field Table'!A$2:E$661,4,FALSE)</f>
        <v>2</v>
      </c>
      <c r="H104" s="7" t="str">
        <f>VLOOKUP(E104,'Field Table'!A$2:E$661,5,FALSE)</f>
        <v>01</v>
      </c>
    </row>
    <row r="105" spans="1:8" ht="12" customHeight="1" x14ac:dyDescent="0.25">
      <c r="A105" s="3" t="s">
        <v>105</v>
      </c>
      <c r="B105" s="3" t="str">
        <f>RIGHT(A105, LEN(A105)-21)</f>
        <v>2768-105</v>
      </c>
      <c r="C105" s="4">
        <v>0.13700000000000001</v>
      </c>
      <c r="D105" s="5">
        <v>49.8</v>
      </c>
      <c r="E105">
        <f>VLOOKUP(B105,'CEBAS-DEWOOD code'!A$2:B$302,2,FALSE)</f>
        <v>405</v>
      </c>
      <c r="F105" s="7" t="str">
        <f>VLOOKUP(E105,'Field Table'!A$2:E$661,3,FALSE)</f>
        <v>AA</v>
      </c>
      <c r="G105" s="7" t="str">
        <f>VLOOKUP(E105,'Field Table'!A$2:E$661,4,FALSE)</f>
        <v>2</v>
      </c>
      <c r="H105" s="7" t="str">
        <f>VLOOKUP(E105,'Field Table'!A$2:E$661,5,FALSE)</f>
        <v>10</v>
      </c>
    </row>
    <row r="106" spans="1:8" ht="12" customHeight="1" x14ac:dyDescent="0.25">
      <c r="A106" s="3" t="s">
        <v>106</v>
      </c>
      <c r="B106" s="3" t="str">
        <f>RIGHT(A106, LEN(A106)-21)</f>
        <v>2768-106</v>
      </c>
      <c r="C106" s="4">
        <v>0.1474</v>
      </c>
      <c r="D106" s="5">
        <v>47.75</v>
      </c>
      <c r="E106">
        <f>VLOOKUP(B106,'CEBAS-DEWOOD code'!A$2:B$302,2,FALSE)</f>
        <v>351</v>
      </c>
      <c r="F106" s="7" t="str">
        <f>VLOOKUP(E106,'Field Table'!A$2:E$661,3,FALSE)</f>
        <v>AA</v>
      </c>
      <c r="G106" s="7" t="str">
        <f>VLOOKUP(E106,'Field Table'!A$2:E$661,4,FALSE)</f>
        <v>2</v>
      </c>
      <c r="H106" s="7" t="str">
        <f>VLOOKUP(E106,'Field Table'!A$2:E$661,5,FALSE)</f>
        <v>10</v>
      </c>
    </row>
    <row r="107" spans="1:8" ht="12" customHeight="1" x14ac:dyDescent="0.25">
      <c r="A107" s="3" t="s">
        <v>107</v>
      </c>
      <c r="B107" s="3" t="str">
        <f>RIGHT(A107, LEN(A107)-21)</f>
        <v>2768-107</v>
      </c>
      <c r="C107" s="4">
        <v>0.2555</v>
      </c>
      <c r="D107" s="5">
        <v>45.78</v>
      </c>
      <c r="E107">
        <f>VLOOKUP(B107,'CEBAS-DEWOOD code'!A$2:B$302,2,FALSE)</f>
        <v>383</v>
      </c>
      <c r="F107" s="7" t="str">
        <f>VLOOKUP(E107,'Field Table'!A$2:E$661,3,FALSE)</f>
        <v>FS</v>
      </c>
      <c r="G107" s="7" t="str">
        <f>VLOOKUP(E107,'Field Table'!A$2:E$661,4,FALSE)</f>
        <v>4</v>
      </c>
      <c r="H107" s="7" t="str">
        <f>VLOOKUP(E107,'Field Table'!A$2:E$661,5,FALSE)</f>
        <v>25</v>
      </c>
    </row>
    <row r="108" spans="1:8" ht="12" customHeight="1" x14ac:dyDescent="0.25">
      <c r="A108" s="3" t="s">
        <v>108</v>
      </c>
      <c r="B108" s="3" t="str">
        <f>RIGHT(A108, LEN(A108)-21)</f>
        <v>2768-108</v>
      </c>
      <c r="C108" s="4">
        <v>0.29959999999999998</v>
      </c>
      <c r="D108" s="5">
        <v>48.74</v>
      </c>
      <c r="E108">
        <f>VLOOKUP(B108,'CEBAS-DEWOOD code'!A$2:B$302,2,FALSE)</f>
        <v>1087</v>
      </c>
      <c r="F108" s="7" t="str">
        <f>VLOOKUP(E108,'Field Table'!A$2:E$661,3,FALSE)</f>
        <v>AA</v>
      </c>
      <c r="G108" s="7" t="str">
        <f>VLOOKUP(E108,'Field Table'!A$2:E$661,4,FALSE)</f>
        <v>4</v>
      </c>
      <c r="H108" s="7" t="str">
        <f>VLOOKUP(E108,'Field Table'!A$2:E$661,5,FALSE)</f>
        <v>01</v>
      </c>
    </row>
    <row r="109" spans="1:8" ht="12" customHeight="1" x14ac:dyDescent="0.25">
      <c r="A109" s="3" t="s">
        <v>109</v>
      </c>
      <c r="B109" s="3" t="str">
        <f>RIGHT(A109, LEN(A109)-21)</f>
        <v>2768-109</v>
      </c>
      <c r="C109" s="4">
        <v>0.2883</v>
      </c>
      <c r="D109" s="5">
        <v>47.31</v>
      </c>
      <c r="E109">
        <f>VLOOKUP(B109,'CEBAS-DEWOOD code'!A$2:B$302,2,FALSE)</f>
        <v>413</v>
      </c>
      <c r="F109" s="7" t="str">
        <f>VLOOKUP(E109,'Field Table'!A$2:E$661,3,FALSE)</f>
        <v>FS</v>
      </c>
      <c r="G109" s="7" t="str">
        <f>VLOOKUP(E109,'Field Table'!A$2:E$661,4,FALSE)</f>
        <v>4</v>
      </c>
      <c r="H109" s="7" t="str">
        <f>VLOOKUP(E109,'Field Table'!A$2:E$661,5,FALSE)</f>
        <v>10</v>
      </c>
    </row>
    <row r="110" spans="1:8" ht="12" customHeight="1" x14ac:dyDescent="0.25">
      <c r="A110" s="3" t="s">
        <v>110</v>
      </c>
      <c r="B110" s="3" t="str">
        <f>RIGHT(A110, LEN(A110)-21)</f>
        <v>2768-110</v>
      </c>
      <c r="C110" s="4">
        <v>0.16669999999999999</v>
      </c>
      <c r="D110" s="5">
        <v>48.61</v>
      </c>
      <c r="E110">
        <f>VLOOKUP(B110,'CEBAS-DEWOOD code'!A$2:B$302,2,FALSE)</f>
        <v>123</v>
      </c>
      <c r="F110" s="7" t="str">
        <f>VLOOKUP(E110,'Field Table'!A$2:E$661,3,FALSE)</f>
        <v>AA</v>
      </c>
      <c r="G110" s="7" t="str">
        <f>VLOOKUP(E110,'Field Table'!A$2:E$661,4,FALSE)</f>
        <v>4</v>
      </c>
      <c r="H110" s="7" t="str">
        <f>VLOOKUP(E110,'Field Table'!A$2:E$661,5,FALSE)</f>
        <v>25</v>
      </c>
    </row>
    <row r="111" spans="1:8" ht="12" customHeight="1" x14ac:dyDescent="0.25">
      <c r="A111" s="3" t="s">
        <v>111</v>
      </c>
      <c r="B111" s="3" t="str">
        <f>RIGHT(A111, LEN(A111)-21)</f>
        <v>2768-111</v>
      </c>
      <c r="C111" s="4">
        <v>9.7199999999999995E-2</v>
      </c>
      <c r="D111" s="5">
        <v>48</v>
      </c>
      <c r="E111">
        <f>VLOOKUP(B111,'CEBAS-DEWOOD code'!A$2:B$302,2,FALSE)</f>
        <v>324</v>
      </c>
      <c r="F111" s="7" t="str">
        <f>VLOOKUP(E111,'Field Table'!A$2:E$661,3,FALSE)</f>
        <v>AA</v>
      </c>
      <c r="G111" s="7" t="str">
        <f>VLOOKUP(E111,'Field Table'!A$2:E$661,4,FALSE)</f>
        <v>1</v>
      </c>
      <c r="H111" s="7" t="str">
        <f>VLOOKUP(E111,'Field Table'!A$2:E$661,5,FALSE)</f>
        <v>25</v>
      </c>
    </row>
    <row r="112" spans="1:8" ht="12" customHeight="1" x14ac:dyDescent="0.25">
      <c r="A112" s="3" t="s">
        <v>112</v>
      </c>
      <c r="B112" s="3" t="str">
        <f>RIGHT(A112, LEN(A112)-21)</f>
        <v>2768-112</v>
      </c>
      <c r="C112" s="4">
        <v>0.26819999999999999</v>
      </c>
      <c r="D112" s="5">
        <v>45.12</v>
      </c>
      <c r="E112">
        <f>VLOOKUP(B112,'CEBAS-DEWOOD code'!A$2:B$302,2,FALSE)</f>
        <v>162</v>
      </c>
      <c r="F112" s="7" t="str">
        <f>VLOOKUP(E112,'Field Table'!A$2:E$661,3,FALSE)</f>
        <v>FS</v>
      </c>
      <c r="G112" s="7" t="str">
        <f>VLOOKUP(E112,'Field Table'!A$2:E$661,4,FALSE)</f>
        <v>2</v>
      </c>
      <c r="H112" s="7" t="str">
        <f>VLOOKUP(E112,'Field Table'!A$2:E$661,5,FALSE)</f>
        <v>25</v>
      </c>
    </row>
    <row r="113" spans="1:8" ht="12" customHeight="1" x14ac:dyDescent="0.25">
      <c r="A113" s="3" t="s">
        <v>113</v>
      </c>
      <c r="B113" s="3" t="str">
        <f>RIGHT(A113, LEN(A113)-21)</f>
        <v>2768-113</v>
      </c>
      <c r="C113" s="4">
        <v>0.1454</v>
      </c>
      <c r="D113" s="5">
        <v>47.91</v>
      </c>
      <c r="E113">
        <f>VLOOKUP(B113,'CEBAS-DEWOOD code'!A$2:B$302,2,FALSE)</f>
        <v>333</v>
      </c>
      <c r="F113" s="7" t="str">
        <f>VLOOKUP(E113,'Field Table'!A$2:E$661,3,FALSE)</f>
        <v>AA</v>
      </c>
      <c r="G113" s="7" t="str">
        <f>VLOOKUP(E113,'Field Table'!A$2:E$661,4,FALSE)</f>
        <v>2</v>
      </c>
      <c r="H113" s="7" t="str">
        <f>VLOOKUP(E113,'Field Table'!A$2:E$661,5,FALSE)</f>
        <v>10</v>
      </c>
    </row>
    <row r="114" spans="1:8" ht="12" customHeight="1" x14ac:dyDescent="0.25">
      <c r="A114" s="3" t="s">
        <v>114</v>
      </c>
      <c r="B114" s="3" t="str">
        <f>RIGHT(A114, LEN(A114)-21)</f>
        <v>2768-114</v>
      </c>
      <c r="C114" s="4">
        <v>0.12989999999999999</v>
      </c>
      <c r="D114" s="5">
        <v>47.93</v>
      </c>
      <c r="E114">
        <f>VLOOKUP(B114,'CEBAS-DEWOOD code'!A$2:B$302,2,FALSE)</f>
        <v>386</v>
      </c>
      <c r="F114" s="7" t="str">
        <f>VLOOKUP(E114,'Field Table'!A$2:E$661,3,FALSE)</f>
        <v>AA</v>
      </c>
      <c r="G114" s="7" t="str">
        <f>VLOOKUP(E114,'Field Table'!A$2:E$661,4,FALSE)</f>
        <v>2</v>
      </c>
      <c r="H114" s="7" t="str">
        <f>VLOOKUP(E114,'Field Table'!A$2:E$661,5,FALSE)</f>
        <v>10</v>
      </c>
    </row>
    <row r="115" spans="1:8" ht="12" customHeight="1" x14ac:dyDescent="0.25">
      <c r="A115" s="3" t="s">
        <v>115</v>
      </c>
      <c r="B115" s="3" t="str">
        <f>RIGHT(A115, LEN(A115)-21)</f>
        <v>2768-115</v>
      </c>
      <c r="C115" s="4">
        <v>0.14530000000000001</v>
      </c>
      <c r="D115" s="5">
        <v>45.46</v>
      </c>
      <c r="E115">
        <f>VLOOKUP(B115,'CEBAS-DEWOOD code'!A$2:B$302,2,FALSE)</f>
        <v>139</v>
      </c>
      <c r="F115" s="7" t="str">
        <f>VLOOKUP(E115,'Field Table'!A$2:E$661,3,FALSE)</f>
        <v>FS</v>
      </c>
      <c r="G115" s="7" t="str">
        <f>VLOOKUP(E115,'Field Table'!A$2:E$661,4,FALSE)</f>
        <v>4</v>
      </c>
      <c r="H115" s="7" t="str">
        <f>VLOOKUP(E115,'Field Table'!A$2:E$661,5,FALSE)</f>
        <v>25</v>
      </c>
    </row>
    <row r="116" spans="1:8" ht="12" customHeight="1" x14ac:dyDescent="0.25">
      <c r="A116" s="3" t="s">
        <v>116</v>
      </c>
      <c r="B116" s="3" t="str">
        <f>RIGHT(A116, LEN(A116)-21)</f>
        <v>2768-116</v>
      </c>
      <c r="C116" s="4">
        <v>0.317305</v>
      </c>
      <c r="D116" s="5">
        <v>48.488</v>
      </c>
      <c r="E116">
        <f>VLOOKUP(B116,'CEBAS-DEWOOD code'!A$2:B$302,2,FALSE)</f>
        <v>1020</v>
      </c>
      <c r="F116" s="7" t="str">
        <f>VLOOKUP(E116,'Field Table'!A$2:E$661,3,FALSE)</f>
        <v>AA</v>
      </c>
      <c r="G116" s="7" t="str">
        <f>VLOOKUP(E116,'Field Table'!A$2:E$661,4,FALSE)</f>
        <v>2</v>
      </c>
      <c r="H116" s="7" t="str">
        <f>VLOOKUP(E116,'Field Table'!A$2:E$661,5,FALSE)</f>
        <v>01</v>
      </c>
    </row>
    <row r="117" spans="1:8" ht="12" customHeight="1" x14ac:dyDescent="0.25">
      <c r="A117" s="3" t="s">
        <v>117</v>
      </c>
      <c r="B117" s="3" t="str">
        <f>RIGHT(A117, LEN(A117)-21)</f>
        <v>2768-117</v>
      </c>
      <c r="C117" s="4">
        <v>0.46021000000000001</v>
      </c>
      <c r="D117" s="5">
        <v>49.234000000000002</v>
      </c>
      <c r="E117">
        <f>VLOOKUP(B117,'CEBAS-DEWOOD code'!A$2:B$302,2,FALSE)</f>
        <v>1064</v>
      </c>
      <c r="F117" s="7" t="str">
        <f>VLOOKUP(E117,'Field Table'!A$2:E$661,3,FALSE)</f>
        <v>FS</v>
      </c>
      <c r="G117" s="7" t="str">
        <f>VLOOKUP(E117,'Field Table'!A$2:E$661,4,FALSE)</f>
        <v>1</v>
      </c>
      <c r="H117" s="7" t="str">
        <f>VLOOKUP(E117,'Field Table'!A$2:E$661,5,FALSE)</f>
        <v>01</v>
      </c>
    </row>
    <row r="118" spans="1:8" ht="12" customHeight="1" x14ac:dyDescent="0.25">
      <c r="A118" s="3" t="s">
        <v>118</v>
      </c>
      <c r="B118" s="3" t="str">
        <f>RIGHT(A118, LEN(A118)-21)</f>
        <v>2768-118</v>
      </c>
      <c r="C118" s="4">
        <v>0.26580000000000004</v>
      </c>
      <c r="D118" s="5">
        <v>45.405000000000001</v>
      </c>
      <c r="E118">
        <f>VLOOKUP(B118,'CEBAS-DEWOOD code'!A$2:B$302,2,FALSE)</f>
        <v>163</v>
      </c>
      <c r="F118" s="7" t="str">
        <f>VLOOKUP(E118,'Field Table'!A$2:E$661,3,FALSE)</f>
        <v>FS</v>
      </c>
      <c r="G118" s="7" t="str">
        <f>VLOOKUP(E118,'Field Table'!A$2:E$661,4,FALSE)</f>
        <v>4</v>
      </c>
      <c r="H118" s="7" t="str">
        <f>VLOOKUP(E118,'Field Table'!A$2:E$661,5,FALSE)</f>
        <v>25</v>
      </c>
    </row>
    <row r="119" spans="1:8" ht="12" customHeight="1" x14ac:dyDescent="0.25">
      <c r="A119" s="3" t="s">
        <v>119</v>
      </c>
      <c r="B119" s="3" t="str">
        <f>RIGHT(A119, LEN(A119)-21)</f>
        <v>2768-119</v>
      </c>
      <c r="C119" s="4">
        <v>0.16889999999999999</v>
      </c>
      <c r="D119" s="5">
        <v>47.08</v>
      </c>
      <c r="E119">
        <f>VLOOKUP(B119,'CEBAS-DEWOOD code'!A$2:B$302,2,FALSE)</f>
        <v>161</v>
      </c>
      <c r="F119" s="7" t="str">
        <f>VLOOKUP(E119,'Field Table'!A$2:E$661,3,FALSE)</f>
        <v>FS</v>
      </c>
      <c r="G119" s="7" t="str">
        <f>VLOOKUP(E119,'Field Table'!A$2:E$661,4,FALSE)</f>
        <v>1</v>
      </c>
      <c r="H119" s="7" t="str">
        <f>VLOOKUP(E119,'Field Table'!A$2:E$661,5,FALSE)</f>
        <v>25</v>
      </c>
    </row>
    <row r="120" spans="1:8" ht="12" customHeight="1" x14ac:dyDescent="0.25">
      <c r="A120" s="3" t="s">
        <v>120</v>
      </c>
      <c r="B120" s="3" t="str">
        <f>RIGHT(A120, LEN(A120)-21)</f>
        <v>2768-120</v>
      </c>
      <c r="C120" s="4">
        <v>9.9000000000000005E-2</v>
      </c>
      <c r="D120" s="5">
        <v>48.35</v>
      </c>
      <c r="E120">
        <f>VLOOKUP(B120,'CEBAS-DEWOOD code'!A$2:B$302,2,FALSE)</f>
        <v>330</v>
      </c>
      <c r="F120" s="7" t="str">
        <f>VLOOKUP(E120,'Field Table'!A$2:E$661,3,FALSE)</f>
        <v>AA</v>
      </c>
      <c r="G120" s="7" t="str">
        <f>VLOOKUP(E120,'Field Table'!A$2:E$661,4,FALSE)</f>
        <v>1</v>
      </c>
      <c r="H120" s="7" t="str">
        <f>VLOOKUP(E120,'Field Table'!A$2:E$661,5,FALSE)</f>
        <v>10</v>
      </c>
    </row>
    <row r="121" spans="1:8" ht="12" customHeight="1" x14ac:dyDescent="0.25">
      <c r="A121" s="3" t="s">
        <v>121</v>
      </c>
      <c r="B121" s="3" t="str">
        <f>RIGHT(A121, LEN(A121)-21)</f>
        <v>2768-121</v>
      </c>
      <c r="C121" s="4">
        <v>0.15210000000000001</v>
      </c>
      <c r="D121" s="5">
        <v>48.47</v>
      </c>
      <c r="E121">
        <f>VLOOKUP(B121,'CEBAS-DEWOOD code'!A$2:B$302,2,FALSE)</f>
        <v>147</v>
      </c>
      <c r="F121" s="7" t="str">
        <f>VLOOKUP(E121,'Field Table'!A$2:E$661,3,FALSE)</f>
        <v>AA</v>
      </c>
      <c r="G121" s="7" t="str">
        <f>VLOOKUP(E121,'Field Table'!A$2:E$661,4,FALSE)</f>
        <v>2</v>
      </c>
      <c r="H121" s="7" t="str">
        <f>VLOOKUP(E121,'Field Table'!A$2:E$661,5,FALSE)</f>
        <v>25</v>
      </c>
    </row>
    <row r="122" spans="1:8" ht="12" customHeight="1" x14ac:dyDescent="0.25">
      <c r="A122" s="3" t="s">
        <v>122</v>
      </c>
      <c r="B122" s="3" t="str">
        <f>RIGHT(A122, LEN(A122)-21)</f>
        <v>2768-122</v>
      </c>
      <c r="C122" s="4">
        <v>0.22189999999999999</v>
      </c>
      <c r="D122" s="5">
        <v>47.27</v>
      </c>
      <c r="E122">
        <f>VLOOKUP(B122,'CEBAS-DEWOOD code'!A$2:B$302,2,FALSE)</f>
        <v>354</v>
      </c>
      <c r="F122" s="7" t="str">
        <f>VLOOKUP(E122,'Field Table'!A$2:E$661,3,FALSE)</f>
        <v>FS</v>
      </c>
      <c r="G122" s="7" t="str">
        <f>VLOOKUP(E122,'Field Table'!A$2:E$661,4,FALSE)</f>
        <v>1</v>
      </c>
      <c r="H122" s="7" t="str">
        <f>VLOOKUP(E122,'Field Table'!A$2:E$661,5,FALSE)</f>
        <v>10</v>
      </c>
    </row>
    <row r="123" spans="1:8" ht="12" customHeight="1" x14ac:dyDescent="0.25">
      <c r="A123" s="3" t="s">
        <v>123</v>
      </c>
      <c r="B123" s="3" t="str">
        <f>RIGHT(A123, LEN(A123)-21)</f>
        <v>2768-123</v>
      </c>
      <c r="C123" s="4">
        <v>9.6000000000000002E-2</v>
      </c>
      <c r="D123" s="5">
        <v>47.65</v>
      </c>
      <c r="E123">
        <f>VLOOKUP(B123,'CEBAS-DEWOOD code'!A$2:B$302,2,FALSE)</f>
        <v>332</v>
      </c>
      <c r="F123" s="7" t="str">
        <f>VLOOKUP(E123,'Field Table'!A$2:E$661,3,FALSE)</f>
        <v>AA</v>
      </c>
      <c r="G123" s="7" t="str">
        <f>VLOOKUP(E123,'Field Table'!A$2:E$661,4,FALSE)</f>
        <v>2</v>
      </c>
      <c r="H123" s="7" t="str">
        <f>VLOOKUP(E123,'Field Table'!A$2:E$661,5,FALSE)</f>
        <v>10</v>
      </c>
    </row>
    <row r="124" spans="1:8" ht="12" customHeight="1" x14ac:dyDescent="0.25">
      <c r="A124" s="3" t="s">
        <v>124</v>
      </c>
      <c r="B124" s="3" t="str">
        <f>RIGHT(A124, LEN(A124)-21)</f>
        <v>2768-124</v>
      </c>
      <c r="C124" s="4">
        <v>0.25840000000000002</v>
      </c>
      <c r="D124" s="5">
        <v>48.62</v>
      </c>
      <c r="E124">
        <f>VLOOKUP(B124,'CEBAS-DEWOOD code'!A$2:B$302,2,FALSE)</f>
        <v>1075</v>
      </c>
      <c r="F124" s="7" t="str">
        <f>VLOOKUP(E124,'Field Table'!A$2:E$661,3,FALSE)</f>
        <v>AA</v>
      </c>
      <c r="G124" s="7" t="str">
        <f>VLOOKUP(E124,'Field Table'!A$2:E$661,4,FALSE)</f>
        <v>4</v>
      </c>
      <c r="H124" s="7" t="str">
        <f>VLOOKUP(E124,'Field Table'!A$2:E$661,5,FALSE)</f>
        <v>01</v>
      </c>
    </row>
    <row r="125" spans="1:8" ht="12" customHeight="1" x14ac:dyDescent="0.25">
      <c r="A125" s="3" t="s">
        <v>125</v>
      </c>
      <c r="B125" s="3" t="str">
        <f>RIGHT(A125, LEN(A125)-21)</f>
        <v>2768-125</v>
      </c>
      <c r="C125" s="4">
        <v>0.27339999999999998</v>
      </c>
      <c r="D125" s="5">
        <v>46.79</v>
      </c>
      <c r="E125">
        <f>VLOOKUP(B125,'CEBAS-DEWOOD code'!A$2:B$302,2,FALSE)</f>
        <v>377</v>
      </c>
      <c r="F125" s="7" t="str">
        <f>VLOOKUP(E125,'Field Table'!A$2:E$661,3,FALSE)</f>
        <v>FS</v>
      </c>
      <c r="G125" s="7" t="str">
        <f>VLOOKUP(E125,'Field Table'!A$2:E$661,4,FALSE)</f>
        <v>4</v>
      </c>
      <c r="H125" s="7" t="str">
        <f>VLOOKUP(E125,'Field Table'!A$2:E$661,5,FALSE)</f>
        <v>10</v>
      </c>
    </row>
    <row r="126" spans="1:8" ht="12" customHeight="1" x14ac:dyDescent="0.25">
      <c r="A126" s="3" t="s">
        <v>126</v>
      </c>
      <c r="B126" s="3" t="str">
        <f>RIGHT(A126, LEN(A126)-21)</f>
        <v>2768-126</v>
      </c>
      <c r="C126" s="4">
        <v>0.2097</v>
      </c>
      <c r="D126" s="5">
        <v>46.35</v>
      </c>
      <c r="E126">
        <f>VLOOKUP(B126,'CEBAS-DEWOOD code'!A$2:B$302,2,FALSE)</f>
        <v>131</v>
      </c>
      <c r="F126" s="7" t="str">
        <f>VLOOKUP(E126,'Field Table'!A$2:E$661,3,FALSE)</f>
        <v>FS</v>
      </c>
      <c r="G126" s="7" t="str">
        <f>VLOOKUP(E126,'Field Table'!A$2:E$661,4,FALSE)</f>
        <v>2</v>
      </c>
      <c r="H126" s="7" t="str">
        <f>VLOOKUP(E126,'Field Table'!A$2:E$661,5,FALSE)</f>
        <v>10</v>
      </c>
    </row>
    <row r="127" spans="1:8" ht="12" customHeight="1" x14ac:dyDescent="0.25">
      <c r="A127" s="3" t="s">
        <v>127</v>
      </c>
      <c r="B127" s="3" t="str">
        <f>RIGHT(A127, LEN(A127)-21)</f>
        <v>2768-127</v>
      </c>
      <c r="C127" s="4">
        <v>0.4214</v>
      </c>
      <c r="D127" s="5">
        <v>47.32</v>
      </c>
      <c r="E127">
        <f>VLOOKUP(B127,'CEBAS-DEWOOD code'!A$2:B$302,2,FALSE)</f>
        <v>1047</v>
      </c>
      <c r="F127" s="7" t="str">
        <f>VLOOKUP(E127,'Field Table'!A$2:E$661,3,FALSE)</f>
        <v>FS</v>
      </c>
      <c r="G127" s="7" t="str">
        <f>VLOOKUP(E127,'Field Table'!A$2:E$661,4,FALSE)</f>
        <v>2</v>
      </c>
      <c r="H127" s="7" t="str">
        <f>VLOOKUP(E127,'Field Table'!A$2:E$661,5,FALSE)</f>
        <v>01</v>
      </c>
    </row>
    <row r="128" spans="1:8" ht="12" customHeight="1" x14ac:dyDescent="0.25">
      <c r="A128" s="3" t="s">
        <v>128</v>
      </c>
      <c r="B128" s="3" t="str">
        <f>RIGHT(A128, LEN(A128)-21)</f>
        <v>2768-128</v>
      </c>
      <c r="C128" s="4">
        <v>0.25330000000000003</v>
      </c>
      <c r="D128" s="5">
        <v>45.81</v>
      </c>
      <c r="E128">
        <f>VLOOKUP(B128,'CEBAS-DEWOOD code'!A$2:B$302,2,FALSE)</f>
        <v>181</v>
      </c>
      <c r="F128" s="7" t="str">
        <f>VLOOKUP(E128,'Field Table'!A$2:E$661,3,FALSE)</f>
        <v>FS</v>
      </c>
      <c r="G128" s="7" t="str">
        <f>VLOOKUP(E128,'Field Table'!A$2:E$661,4,FALSE)</f>
        <v>4</v>
      </c>
      <c r="H128" s="7" t="str">
        <f>VLOOKUP(E128,'Field Table'!A$2:E$661,5,FALSE)</f>
        <v>10</v>
      </c>
    </row>
    <row r="129" spans="1:8" ht="12" customHeight="1" x14ac:dyDescent="0.25">
      <c r="A129" s="3" t="s">
        <v>129</v>
      </c>
      <c r="B129" s="3" t="str">
        <f>RIGHT(A129, LEN(A129)-21)</f>
        <v>2768-129</v>
      </c>
      <c r="C129" s="4">
        <v>0.22850000000000001</v>
      </c>
      <c r="D129" s="5">
        <v>48.75</v>
      </c>
      <c r="E129">
        <f>VLOOKUP(B129,'CEBAS-DEWOOD code'!A$2:B$302,2,FALSE)</f>
        <v>1031</v>
      </c>
      <c r="F129" s="7" t="str">
        <f>VLOOKUP(E129,'Field Table'!A$2:E$661,3,FALSE)</f>
        <v>AA</v>
      </c>
      <c r="G129" s="7" t="str">
        <f>VLOOKUP(E129,'Field Table'!A$2:E$661,4,FALSE)</f>
        <v>1</v>
      </c>
      <c r="H129" s="7" t="str">
        <f>VLOOKUP(E129,'Field Table'!A$2:E$661,5,FALSE)</f>
        <v>01</v>
      </c>
    </row>
    <row r="130" spans="1:8" ht="12" customHeight="1" x14ac:dyDescent="0.25">
      <c r="A130" s="3" t="s">
        <v>130</v>
      </c>
      <c r="B130" s="3" t="str">
        <f>RIGHT(A130, LEN(A130)-21)</f>
        <v>2768-130</v>
      </c>
      <c r="C130" s="4">
        <v>0.23150000000000001</v>
      </c>
      <c r="D130" s="5">
        <v>46.53</v>
      </c>
      <c r="E130">
        <f>VLOOKUP(B130,'CEBAS-DEWOOD code'!A$2:B$302,2,FALSE)</f>
        <v>132</v>
      </c>
      <c r="F130" s="7" t="str">
        <f>VLOOKUP(E130,'Field Table'!A$2:E$661,3,FALSE)</f>
        <v>FS</v>
      </c>
      <c r="G130" s="7" t="str">
        <f>VLOOKUP(E130,'Field Table'!A$2:E$661,4,FALSE)</f>
        <v>4</v>
      </c>
      <c r="H130" s="7" t="str">
        <f>VLOOKUP(E130,'Field Table'!A$2:E$661,5,FALSE)</f>
        <v>10</v>
      </c>
    </row>
    <row r="131" spans="1:8" ht="12" customHeight="1" x14ac:dyDescent="0.25">
      <c r="A131" s="3" t="s">
        <v>131</v>
      </c>
      <c r="B131" s="3" t="str">
        <f>RIGHT(A131, LEN(A131)-21)</f>
        <v>2768-131</v>
      </c>
      <c r="C131" s="4">
        <v>0.44400000000000001</v>
      </c>
      <c r="D131" s="5">
        <v>46.94</v>
      </c>
      <c r="E131">
        <f>VLOOKUP(B131,'CEBAS-DEWOOD code'!A$2:B$302,2,FALSE)</f>
        <v>1071</v>
      </c>
      <c r="F131" s="7" t="str">
        <f>VLOOKUP(E131,'Field Table'!A$2:E$661,3,FALSE)</f>
        <v>FS</v>
      </c>
      <c r="G131" s="7" t="str">
        <f>VLOOKUP(E131,'Field Table'!A$2:E$661,4,FALSE)</f>
        <v>2</v>
      </c>
      <c r="H131" s="7" t="str">
        <f>VLOOKUP(E131,'Field Table'!A$2:E$661,5,FALSE)</f>
        <v>01</v>
      </c>
    </row>
    <row r="132" spans="1:8" ht="12" customHeight="1" x14ac:dyDescent="0.25">
      <c r="A132" s="3" t="s">
        <v>132</v>
      </c>
      <c r="B132" s="3" t="str">
        <f>RIGHT(A132, LEN(A132)-21)</f>
        <v>2768-132</v>
      </c>
      <c r="C132" s="4">
        <v>0.3115</v>
      </c>
      <c r="D132" s="5">
        <v>45.56</v>
      </c>
      <c r="E132">
        <f>VLOOKUP(B132,'CEBAS-DEWOOD code'!A$2:B$302,2,FALSE)</f>
        <v>379</v>
      </c>
      <c r="F132" s="7" t="str">
        <f>VLOOKUP(E132,'Field Table'!A$2:E$661,3,FALSE)</f>
        <v>AA</v>
      </c>
      <c r="G132" s="7" t="str">
        <f>VLOOKUP(E132,'Field Table'!A$2:E$661,4,FALSE)</f>
        <v>2</v>
      </c>
      <c r="H132" s="7" t="str">
        <f>VLOOKUP(E132,'Field Table'!A$2:E$661,5,FALSE)</f>
        <v>25</v>
      </c>
    </row>
    <row r="133" spans="1:8" ht="12" customHeight="1" x14ac:dyDescent="0.25">
      <c r="A133" s="3" t="s">
        <v>133</v>
      </c>
      <c r="B133" s="3" t="str">
        <f>RIGHT(A133, LEN(A133)-21)</f>
        <v>2768-133</v>
      </c>
      <c r="C133" s="4">
        <v>0.37109999999999999</v>
      </c>
      <c r="D133" s="5">
        <v>45.2</v>
      </c>
      <c r="E133">
        <f>VLOOKUP(B133,'CEBAS-DEWOOD code'!A$2:B$302,2,FALSE)</f>
        <v>193</v>
      </c>
      <c r="F133" s="7" t="str">
        <f>VLOOKUP(E133,'Field Table'!A$2:E$661,3,FALSE)</f>
        <v>FS</v>
      </c>
      <c r="G133" s="7" t="str">
        <f>VLOOKUP(E133,'Field Table'!A$2:E$661,4,FALSE)</f>
        <v>4</v>
      </c>
      <c r="H133" s="7" t="str">
        <f>VLOOKUP(E133,'Field Table'!A$2:E$661,5,FALSE)</f>
        <v>10</v>
      </c>
    </row>
    <row r="134" spans="1:8" ht="12" customHeight="1" x14ac:dyDescent="0.25">
      <c r="A134" s="3" t="s">
        <v>134</v>
      </c>
      <c r="B134" s="3" t="str">
        <f>RIGHT(A134, LEN(A134)-21)</f>
        <v>2768-134</v>
      </c>
      <c r="C134" s="4">
        <v>0.20830000000000001</v>
      </c>
      <c r="D134" s="5">
        <v>45.91</v>
      </c>
      <c r="E134">
        <f>VLOOKUP(B134,'CEBAS-DEWOOD code'!A$2:B$302,2,FALSE)</f>
        <v>151</v>
      </c>
      <c r="F134" s="7" t="str">
        <f>VLOOKUP(E134,'Field Table'!A$2:E$661,3,FALSE)</f>
        <v>FS</v>
      </c>
      <c r="G134" s="7" t="str">
        <f>VLOOKUP(E134,'Field Table'!A$2:E$661,4,FALSE)</f>
        <v>4</v>
      </c>
      <c r="H134" s="7" t="str">
        <f>VLOOKUP(E134,'Field Table'!A$2:E$661,5,FALSE)</f>
        <v>25</v>
      </c>
    </row>
    <row r="135" spans="1:8" ht="12" customHeight="1" x14ac:dyDescent="0.25">
      <c r="A135" s="3" t="s">
        <v>135</v>
      </c>
      <c r="B135" s="3" t="str">
        <f>RIGHT(A135, LEN(A135)-21)</f>
        <v>2768-135</v>
      </c>
      <c r="C135" s="4">
        <v>0.25190000000000001</v>
      </c>
      <c r="D135" s="5">
        <v>46.05</v>
      </c>
      <c r="E135">
        <f>VLOOKUP(B135,'CEBAS-DEWOOD code'!A$2:B$302,2,FALSE)</f>
        <v>120</v>
      </c>
      <c r="F135" s="7" t="str">
        <f>VLOOKUP(E135,'Field Table'!A$2:E$661,3,FALSE)</f>
        <v>FS</v>
      </c>
      <c r="G135" s="7" t="str">
        <f>VLOOKUP(E135,'Field Table'!A$2:E$661,4,FALSE)</f>
        <v>4</v>
      </c>
      <c r="H135" s="7" t="str">
        <f>VLOOKUP(E135,'Field Table'!A$2:E$661,5,FALSE)</f>
        <v>10</v>
      </c>
    </row>
    <row r="136" spans="1:8" ht="12" customHeight="1" x14ac:dyDescent="0.25">
      <c r="A136" s="3" t="s">
        <v>136</v>
      </c>
      <c r="B136" s="3" t="str">
        <f>RIGHT(A136, LEN(A136)-21)</f>
        <v>2768-136</v>
      </c>
      <c r="C136" s="4">
        <v>0.25919999999999999</v>
      </c>
      <c r="D136" s="5">
        <v>47.98</v>
      </c>
      <c r="E136">
        <f>VLOOKUP(B136,'CEBAS-DEWOOD code'!A$2:B$302,2,FALSE)</f>
        <v>184</v>
      </c>
      <c r="F136" s="7" t="str">
        <f>VLOOKUP(E136,'Field Table'!A$2:E$661,3,FALSE)</f>
        <v>AA</v>
      </c>
      <c r="G136" s="7" t="str">
        <f>VLOOKUP(E136,'Field Table'!A$2:E$661,4,FALSE)</f>
        <v>4</v>
      </c>
      <c r="H136" s="7" t="str">
        <f>VLOOKUP(E136,'Field Table'!A$2:E$661,5,FALSE)</f>
        <v>25</v>
      </c>
    </row>
    <row r="137" spans="1:8" ht="12" customHeight="1" x14ac:dyDescent="0.25">
      <c r="A137" s="3" t="s">
        <v>137</v>
      </c>
      <c r="B137" s="3" t="str">
        <f>RIGHT(A137, LEN(A137)-21)</f>
        <v>2768-137</v>
      </c>
      <c r="C137" s="4">
        <v>0.14960000000000001</v>
      </c>
      <c r="D137" s="5">
        <v>50.17</v>
      </c>
      <c r="E137">
        <f>VLOOKUP(B137,'CEBAS-DEWOOD code'!A$2:B$302,2,FALSE)</f>
        <v>135</v>
      </c>
      <c r="F137" s="7" t="str">
        <f>VLOOKUP(E137,'Field Table'!A$2:E$661,3,FALSE)</f>
        <v>AA</v>
      </c>
      <c r="G137" s="7" t="str">
        <f>VLOOKUP(E137,'Field Table'!A$2:E$661,4,FALSE)</f>
        <v>2</v>
      </c>
      <c r="H137" s="7" t="str">
        <f>VLOOKUP(E137,'Field Table'!A$2:E$661,5,FALSE)</f>
        <v>25</v>
      </c>
    </row>
    <row r="138" spans="1:8" ht="12" customHeight="1" x14ac:dyDescent="0.25">
      <c r="A138" s="3" t="s">
        <v>138</v>
      </c>
      <c r="B138" s="3" t="str">
        <f>RIGHT(A138, LEN(A138)-21)</f>
        <v>2768-138</v>
      </c>
      <c r="C138" s="4">
        <v>0.18909999999999999</v>
      </c>
      <c r="D138" s="5">
        <v>47.7</v>
      </c>
      <c r="E138">
        <f>VLOOKUP(B138,'CEBAS-DEWOOD code'!A$2:B$302,2,FALSE)</f>
        <v>79</v>
      </c>
      <c r="F138" s="7" t="str">
        <f>VLOOKUP(E138,'Field Table'!A$2:E$661,3,FALSE)</f>
        <v>AA</v>
      </c>
      <c r="G138" s="7" t="str">
        <f>VLOOKUP(E138,'Field Table'!A$2:E$661,4,FALSE)</f>
        <v>1</v>
      </c>
      <c r="H138" s="7" t="str">
        <f>VLOOKUP(E138,'Field Table'!A$2:E$661,5,FALSE)</f>
        <v>10</v>
      </c>
    </row>
    <row r="139" spans="1:8" ht="12" customHeight="1" x14ac:dyDescent="0.25">
      <c r="A139" s="3" t="s">
        <v>139</v>
      </c>
      <c r="B139" s="3" t="str">
        <f>RIGHT(A139, LEN(A139)-21)</f>
        <v>2768-139</v>
      </c>
      <c r="C139" s="4">
        <v>0.158</v>
      </c>
      <c r="D139" s="5">
        <v>47.39</v>
      </c>
      <c r="E139">
        <f>VLOOKUP(B139,'CEBAS-DEWOOD code'!A$2:B$302,2,FALSE)</f>
        <v>325</v>
      </c>
      <c r="F139" s="7" t="str">
        <f>VLOOKUP(E139,'Field Table'!A$2:E$661,3,FALSE)</f>
        <v>AA</v>
      </c>
      <c r="G139" s="7" t="str">
        <f>VLOOKUP(E139,'Field Table'!A$2:E$661,4,FALSE)</f>
        <v>2</v>
      </c>
      <c r="H139" s="7" t="str">
        <f>VLOOKUP(E139,'Field Table'!A$2:E$661,5,FALSE)</f>
        <v>25</v>
      </c>
    </row>
    <row r="140" spans="1:8" ht="12" customHeight="1" x14ac:dyDescent="0.25">
      <c r="A140" s="3" t="s">
        <v>140</v>
      </c>
      <c r="B140" s="3" t="str">
        <f>RIGHT(A140, LEN(A140)-21)</f>
        <v>2768-140</v>
      </c>
      <c r="C140" s="4">
        <v>0.22869999999999999</v>
      </c>
      <c r="D140" s="5">
        <v>45.79</v>
      </c>
      <c r="E140">
        <f>VLOOKUP(B140,'CEBAS-DEWOOD code'!A$2:B$302,2,FALSE)</f>
        <v>339</v>
      </c>
      <c r="F140" s="7" t="str">
        <f>VLOOKUP(E140,'Field Table'!A$2:E$661,3,FALSE)</f>
        <v>FS</v>
      </c>
      <c r="G140" s="7" t="str">
        <f>VLOOKUP(E140,'Field Table'!A$2:E$661,4,FALSE)</f>
        <v>2</v>
      </c>
      <c r="H140" s="7" t="str">
        <f>VLOOKUP(E140,'Field Table'!A$2:E$661,5,FALSE)</f>
        <v>10</v>
      </c>
    </row>
    <row r="141" spans="1:8" ht="12" customHeight="1" x14ac:dyDescent="0.25">
      <c r="A141" s="3" t="s">
        <v>141</v>
      </c>
      <c r="B141" s="3" t="str">
        <f>RIGHT(A141, LEN(A141)-21)</f>
        <v>2768-141</v>
      </c>
      <c r="C141" s="4">
        <v>0.35570000000000002</v>
      </c>
      <c r="D141" s="5">
        <v>46.18</v>
      </c>
      <c r="E141">
        <f>VLOOKUP(B141,'CEBAS-DEWOOD code'!A$2:B$302,2,FALSE)</f>
        <v>1042</v>
      </c>
      <c r="F141" s="7" t="str">
        <f>VLOOKUP(E141,'Field Table'!A$2:E$661,3,FALSE)</f>
        <v>FS</v>
      </c>
      <c r="G141" s="7" t="str">
        <f>VLOOKUP(E141,'Field Table'!A$2:E$661,4,FALSE)</f>
        <v>4</v>
      </c>
      <c r="H141" s="7" t="str">
        <f>VLOOKUP(E141,'Field Table'!A$2:E$661,5,FALSE)</f>
        <v>01</v>
      </c>
    </row>
    <row r="142" spans="1:8" ht="12" customHeight="1" x14ac:dyDescent="0.25">
      <c r="A142" s="3" t="s">
        <v>142</v>
      </c>
      <c r="B142" s="3" t="str">
        <f>RIGHT(A142, LEN(A142)-21)</f>
        <v>2768-142</v>
      </c>
      <c r="C142" s="4">
        <v>0.17050000000000001</v>
      </c>
      <c r="D142" s="5">
        <v>47.7</v>
      </c>
      <c r="E142">
        <f>VLOOKUP(B142,'CEBAS-DEWOOD code'!A$2:B$302,2,FALSE)</f>
        <v>1050</v>
      </c>
      <c r="F142" s="7" t="str">
        <f>VLOOKUP(E142,'Field Table'!A$2:E$661,3,FALSE)</f>
        <v>AA</v>
      </c>
      <c r="G142" s="7" t="str">
        <f>VLOOKUP(E142,'Field Table'!A$2:E$661,4,FALSE)</f>
        <v>2</v>
      </c>
      <c r="H142" s="7" t="str">
        <f>VLOOKUP(E142,'Field Table'!A$2:E$661,5,FALSE)</f>
        <v>01</v>
      </c>
    </row>
    <row r="143" spans="1:8" ht="12" customHeight="1" x14ac:dyDescent="0.25">
      <c r="A143" s="3" t="s">
        <v>143</v>
      </c>
      <c r="B143" s="3" t="str">
        <f>RIGHT(A143, LEN(A143)-21)</f>
        <v>2768-143</v>
      </c>
      <c r="C143" s="4">
        <v>0.38919999999999999</v>
      </c>
      <c r="D143" s="5">
        <v>43.7</v>
      </c>
      <c r="E143">
        <f>VLOOKUP(B143,'CEBAS-DEWOOD code'!A$2:B$302,2,FALSE)</f>
        <v>1016</v>
      </c>
      <c r="F143" s="7" t="str">
        <f>VLOOKUP(E143,'Field Table'!A$2:E$661,3,FALSE)</f>
        <v>FS</v>
      </c>
      <c r="G143" s="7" t="str">
        <f>VLOOKUP(E143,'Field Table'!A$2:E$661,4,FALSE)</f>
        <v>1</v>
      </c>
      <c r="H143" s="7" t="str">
        <f>VLOOKUP(E143,'Field Table'!A$2:E$661,5,FALSE)</f>
        <v>01</v>
      </c>
    </row>
    <row r="144" spans="1:8" ht="12" customHeight="1" x14ac:dyDescent="0.25">
      <c r="A144" s="3" t="s">
        <v>144</v>
      </c>
      <c r="B144" s="3" t="str">
        <f>RIGHT(A144, LEN(A144)-21)</f>
        <v>2768-144</v>
      </c>
      <c r="C144" s="4">
        <v>0.11700000000000001</v>
      </c>
      <c r="D144" s="5">
        <v>47.79</v>
      </c>
      <c r="E144">
        <f>VLOOKUP(B144,'CEBAS-DEWOOD code'!A$2:B$302,2,FALSE)</f>
        <v>159</v>
      </c>
      <c r="F144" s="7" t="str">
        <f>VLOOKUP(E144,'Field Table'!A$2:E$661,3,FALSE)</f>
        <v>AA</v>
      </c>
      <c r="G144" s="7" t="str">
        <f>VLOOKUP(E144,'Field Table'!A$2:E$661,4,FALSE)</f>
        <v>2</v>
      </c>
      <c r="H144" s="7" t="str">
        <f>VLOOKUP(E144,'Field Table'!A$2:E$661,5,FALSE)</f>
        <v>25</v>
      </c>
    </row>
    <row r="145" spans="1:8" ht="12" customHeight="1" x14ac:dyDescent="0.25">
      <c r="A145" s="3" t="s">
        <v>145</v>
      </c>
      <c r="B145" s="3" t="str">
        <f>RIGHT(A145, LEN(A145)-21)</f>
        <v>2768-145</v>
      </c>
      <c r="C145" s="4">
        <v>0.22689999999999999</v>
      </c>
      <c r="D145" s="5">
        <v>46.33</v>
      </c>
      <c r="E145">
        <f>VLOOKUP(B145,'CEBAS-DEWOOD code'!A$2:B$302,2,FALSE)</f>
        <v>346</v>
      </c>
      <c r="F145" s="7" t="str">
        <f>VLOOKUP(E145,'Field Table'!A$2:E$661,3,FALSE)</f>
        <v>FS</v>
      </c>
      <c r="G145" s="7" t="str">
        <f>VLOOKUP(E145,'Field Table'!A$2:E$661,4,FALSE)</f>
        <v>2</v>
      </c>
      <c r="H145" s="7" t="str">
        <f>VLOOKUP(E145,'Field Table'!A$2:E$661,5,FALSE)</f>
        <v>25</v>
      </c>
    </row>
    <row r="146" spans="1:8" ht="12" customHeight="1" x14ac:dyDescent="0.25">
      <c r="A146" s="3" t="s">
        <v>146</v>
      </c>
      <c r="B146" s="3" t="str">
        <f>RIGHT(A146, LEN(A146)-21)</f>
        <v>2768-146</v>
      </c>
      <c r="C146" s="4">
        <v>0.246</v>
      </c>
      <c r="D146" s="5">
        <v>46.34</v>
      </c>
      <c r="E146">
        <f>VLOOKUP(B146,'CEBAS-DEWOOD code'!A$2:B$302,2,FALSE)</f>
        <v>180</v>
      </c>
      <c r="F146" s="7" t="str">
        <f>VLOOKUP(E146,'Field Table'!A$2:E$661,3,FALSE)</f>
        <v>FS</v>
      </c>
      <c r="G146" s="7" t="str">
        <f>VLOOKUP(E146,'Field Table'!A$2:E$661,4,FALSE)</f>
        <v>2</v>
      </c>
      <c r="H146" s="7" t="str">
        <f>VLOOKUP(E146,'Field Table'!A$2:E$661,5,FALSE)</f>
        <v>10</v>
      </c>
    </row>
    <row r="147" spans="1:8" ht="12" customHeight="1" x14ac:dyDescent="0.25">
      <c r="A147" s="3" t="s">
        <v>147</v>
      </c>
      <c r="B147" s="3" t="str">
        <f>RIGHT(A147, LEN(A147)-21)</f>
        <v>2768-147</v>
      </c>
      <c r="C147" s="4">
        <v>0.42820000000000003</v>
      </c>
      <c r="D147" s="5">
        <v>46.83</v>
      </c>
      <c r="E147">
        <f>VLOOKUP(B147,'CEBAS-DEWOOD code'!A$2:B$302,2,FALSE)</f>
        <v>1083</v>
      </c>
      <c r="F147" s="7" t="str">
        <f>VLOOKUP(E147,'Field Table'!A$2:E$661,3,FALSE)</f>
        <v>FS</v>
      </c>
      <c r="G147" s="7" t="str">
        <f>VLOOKUP(E147,'Field Table'!A$2:E$661,4,FALSE)</f>
        <v>2</v>
      </c>
      <c r="H147" s="7" t="str">
        <f>VLOOKUP(E147,'Field Table'!A$2:E$661,5,FALSE)</f>
        <v>01</v>
      </c>
    </row>
    <row r="148" spans="1:8" ht="12" customHeight="1" x14ac:dyDescent="0.25">
      <c r="A148" s="3" t="s">
        <v>148</v>
      </c>
      <c r="B148" s="3" t="str">
        <f>RIGHT(A148, LEN(A148)-21)</f>
        <v>2768-148</v>
      </c>
      <c r="C148" s="4">
        <v>0.22950000000000001</v>
      </c>
      <c r="D148" s="5">
        <v>46.74</v>
      </c>
      <c r="E148">
        <f>VLOOKUP(B148,'CEBAS-DEWOOD code'!A$2:B$302,2,FALSE)</f>
        <v>328</v>
      </c>
      <c r="F148" s="7" t="str">
        <f>VLOOKUP(E148,'Field Table'!A$2:E$661,3,FALSE)</f>
        <v>FS</v>
      </c>
      <c r="G148" s="7" t="str">
        <f>VLOOKUP(E148,'Field Table'!A$2:E$661,4,FALSE)</f>
        <v>2</v>
      </c>
      <c r="H148" s="7" t="str">
        <f>VLOOKUP(E148,'Field Table'!A$2:E$661,5,FALSE)</f>
        <v>25</v>
      </c>
    </row>
    <row r="149" spans="1:8" ht="12" customHeight="1" x14ac:dyDescent="0.25">
      <c r="A149" s="3" t="s">
        <v>149</v>
      </c>
      <c r="B149" s="3" t="str">
        <f>RIGHT(A149, LEN(A149)-21)</f>
        <v>2768-149</v>
      </c>
      <c r="C149" s="4">
        <v>0.2049</v>
      </c>
      <c r="D149" s="5">
        <v>49.09</v>
      </c>
      <c r="E149">
        <f>VLOOKUP(B149,'CEBAS-DEWOOD code'!A$2:B$302,2,FALSE)</f>
        <v>362</v>
      </c>
      <c r="F149" s="7" t="str">
        <f>VLOOKUP(E149,'Field Table'!A$2:E$661,3,FALSE)</f>
        <v>AA</v>
      </c>
      <c r="G149" s="7" t="str">
        <f>VLOOKUP(E149,'Field Table'!A$2:E$661,4,FALSE)</f>
        <v>4</v>
      </c>
      <c r="H149" s="7" t="str">
        <f>VLOOKUP(E149,'Field Table'!A$2:E$661,5,FALSE)</f>
        <v>25</v>
      </c>
    </row>
    <row r="150" spans="1:8" ht="12" customHeight="1" x14ac:dyDescent="0.25">
      <c r="A150" s="3" t="s">
        <v>150</v>
      </c>
      <c r="B150" s="3" t="str">
        <f>RIGHT(A150, LEN(A150)-21)</f>
        <v>2768-150</v>
      </c>
      <c r="C150" s="4">
        <v>0.30020000000000002</v>
      </c>
      <c r="D150" s="5">
        <v>47.6</v>
      </c>
      <c r="E150">
        <f>VLOOKUP(B150,'CEBAS-DEWOOD code'!A$2:B$302,2,FALSE)</f>
        <v>1012</v>
      </c>
      <c r="F150" s="7" t="str">
        <f>VLOOKUP(E150,'Field Table'!A$2:E$661,3,FALSE)</f>
        <v>FS</v>
      </c>
      <c r="G150" s="7" t="str">
        <f>VLOOKUP(E150,'Field Table'!A$2:E$661,4,FALSE)</f>
        <v>4</v>
      </c>
      <c r="H150" s="7" t="str">
        <f>VLOOKUP(E150,'Field Table'!A$2:E$661,5,FALSE)</f>
        <v>01</v>
      </c>
    </row>
    <row r="151" spans="1:8" ht="12" customHeight="1" x14ac:dyDescent="0.25">
      <c r="A151" s="3" t="s">
        <v>151</v>
      </c>
      <c r="B151" s="3" t="str">
        <f>RIGHT(A151, LEN(A151)-21)</f>
        <v>2768-151</v>
      </c>
      <c r="C151" s="4">
        <v>8.9200000000000002E-2</v>
      </c>
      <c r="D151" s="5">
        <v>47.39</v>
      </c>
      <c r="E151">
        <f>VLOOKUP(B151,'CEBAS-DEWOOD code'!A$2:B$302,2,FALSE)</f>
        <v>128</v>
      </c>
      <c r="F151" s="7" t="str">
        <f>VLOOKUP(E151,'Field Table'!A$2:E$661,3,FALSE)</f>
        <v>AA</v>
      </c>
      <c r="G151" s="7" t="str">
        <f>VLOOKUP(E151,'Field Table'!A$2:E$661,4,FALSE)</f>
        <v>2</v>
      </c>
      <c r="H151" s="7" t="str">
        <f>VLOOKUP(E151,'Field Table'!A$2:E$661,5,FALSE)</f>
        <v>10</v>
      </c>
    </row>
    <row r="152" spans="1:8" ht="12" customHeight="1" x14ac:dyDescent="0.25">
      <c r="A152" s="3" t="s">
        <v>152</v>
      </c>
      <c r="B152" s="3" t="str">
        <f>RIGHT(A152, LEN(A152)-21)</f>
        <v>2768-152</v>
      </c>
      <c r="C152" s="4">
        <v>0.14699999999999999</v>
      </c>
      <c r="D152" s="5">
        <v>47.54</v>
      </c>
      <c r="E152">
        <f>VLOOKUP(B152,'CEBAS-DEWOOD code'!A$2:B$302,2,FALSE)</f>
        <v>389</v>
      </c>
      <c r="F152" s="7" t="str">
        <f>VLOOKUP(E152,'Field Table'!A$2:E$661,3,FALSE)</f>
        <v>AA</v>
      </c>
      <c r="G152" s="7" t="str">
        <f>VLOOKUP(E152,'Field Table'!A$2:E$661,4,FALSE)</f>
        <v>4</v>
      </c>
      <c r="H152" s="7" t="str">
        <f>VLOOKUP(E152,'Field Table'!A$2:E$661,5,FALSE)</f>
        <v>10</v>
      </c>
    </row>
    <row r="153" spans="1:8" ht="12" customHeight="1" x14ac:dyDescent="0.25">
      <c r="A153" s="3" t="s">
        <v>153</v>
      </c>
      <c r="B153" s="3" t="str">
        <f>RIGHT(A153, LEN(A153)-21)</f>
        <v>2768-153</v>
      </c>
      <c r="C153" s="4">
        <v>0.15679999999999999</v>
      </c>
      <c r="D153" s="5">
        <v>46.8</v>
      </c>
      <c r="E153">
        <f>VLOOKUP(B153,'CEBAS-DEWOOD code'!A$2:B$302,2,FALSE)</f>
        <v>327</v>
      </c>
      <c r="F153" s="7" t="str">
        <f>VLOOKUP(E153,'Field Table'!A$2:E$661,3,FALSE)</f>
        <v>FS</v>
      </c>
      <c r="G153" s="7" t="str">
        <f>VLOOKUP(E153,'Field Table'!A$2:E$661,4,FALSE)</f>
        <v>1</v>
      </c>
      <c r="H153" s="7" t="str">
        <f>VLOOKUP(E153,'Field Table'!A$2:E$661,5,FALSE)</f>
        <v>25</v>
      </c>
    </row>
    <row r="154" spans="1:8" ht="12" customHeight="1" x14ac:dyDescent="0.25">
      <c r="A154" s="3" t="s">
        <v>154</v>
      </c>
      <c r="B154" s="3" t="str">
        <f>RIGHT(A154, LEN(A154)-21)</f>
        <v>2768-154</v>
      </c>
      <c r="C154" s="4">
        <v>0.18729999999999999</v>
      </c>
      <c r="D154" s="5">
        <v>51.84</v>
      </c>
      <c r="E154">
        <f>VLOOKUP(B154,'CEBAS-DEWOOD code'!A$2:B$302,2,FALSE)</f>
        <v>344</v>
      </c>
      <c r="F154" s="7" t="str">
        <f>VLOOKUP(E154,'Field Table'!A$2:E$661,3,FALSE)</f>
        <v>AA</v>
      </c>
      <c r="G154" s="7" t="str">
        <f>VLOOKUP(E154,'Field Table'!A$2:E$661,4,FALSE)</f>
        <v>4</v>
      </c>
      <c r="H154" s="7" t="str">
        <f>VLOOKUP(E154,'Field Table'!A$2:E$661,5,FALSE)</f>
        <v>25</v>
      </c>
    </row>
    <row r="155" spans="1:8" ht="12" customHeight="1" x14ac:dyDescent="0.25">
      <c r="A155" s="3" t="s">
        <v>155</v>
      </c>
      <c r="B155" s="3" t="str">
        <f>RIGHT(A155, LEN(A155)-21)</f>
        <v>2768-155</v>
      </c>
      <c r="C155" s="4">
        <v>0.1207</v>
      </c>
      <c r="D155" s="5">
        <v>46.91</v>
      </c>
      <c r="E155">
        <f>VLOOKUP(B155,'CEBAS-DEWOOD code'!A$2:B$302,2,FALSE)</f>
        <v>158</v>
      </c>
      <c r="F155" s="7" t="str">
        <f>VLOOKUP(E155,'Field Table'!A$2:E$661,3,FALSE)</f>
        <v>AA</v>
      </c>
      <c r="G155" s="7" t="str">
        <f>VLOOKUP(E155,'Field Table'!A$2:E$661,4,FALSE)</f>
        <v>1</v>
      </c>
      <c r="H155" s="7" t="str">
        <f>VLOOKUP(E155,'Field Table'!A$2:E$661,5,FALSE)</f>
        <v>25</v>
      </c>
    </row>
    <row r="156" spans="1:8" ht="12" customHeight="1" x14ac:dyDescent="0.25">
      <c r="A156" s="3" t="s">
        <v>156</v>
      </c>
      <c r="B156" s="3" t="str">
        <f>RIGHT(A156, LEN(A156)-21)</f>
        <v>2768-156</v>
      </c>
      <c r="C156" s="4">
        <v>0.13270000000000001</v>
      </c>
      <c r="D156" s="5">
        <v>51.32</v>
      </c>
      <c r="E156">
        <f>VLOOKUP(B156,'CEBAS-DEWOOD code'!A$2:B$302,2,FALSE)</f>
        <v>136</v>
      </c>
      <c r="F156" s="7" t="str">
        <f>VLOOKUP(E156,'Field Table'!A$2:E$661,3,FALSE)</f>
        <v>AA</v>
      </c>
      <c r="G156" s="7" t="str">
        <f>VLOOKUP(E156,'Field Table'!A$2:E$661,4,FALSE)</f>
        <v>4</v>
      </c>
      <c r="H156" s="7" t="str">
        <f>VLOOKUP(E156,'Field Table'!A$2:E$661,5,FALSE)</f>
        <v>25</v>
      </c>
    </row>
    <row r="157" spans="1:8" ht="12" customHeight="1" x14ac:dyDescent="0.25">
      <c r="A157" s="3" t="s">
        <v>157</v>
      </c>
      <c r="B157" s="3" t="str">
        <f>RIGHT(A157, LEN(A157)-21)</f>
        <v>2768-157</v>
      </c>
      <c r="C157" s="4">
        <v>0.13189999999999999</v>
      </c>
      <c r="D157" s="5">
        <v>46.92</v>
      </c>
      <c r="E157">
        <f>VLOOKUP(B157,'CEBAS-DEWOOD code'!A$2:B$302,2,FALSE)</f>
        <v>185</v>
      </c>
      <c r="F157" s="7" t="str">
        <f>VLOOKUP(E157,'Field Table'!A$2:E$661,3,FALSE)</f>
        <v>FS</v>
      </c>
      <c r="G157" s="7" t="str">
        <f>VLOOKUP(E157,'Field Table'!A$2:E$661,4,FALSE)</f>
        <v>1</v>
      </c>
      <c r="H157" s="7" t="str">
        <f>VLOOKUP(E157,'Field Table'!A$2:E$661,5,FALSE)</f>
        <v>25</v>
      </c>
    </row>
    <row r="158" spans="1:8" ht="12" customHeight="1" x14ac:dyDescent="0.25">
      <c r="A158" s="3" t="s">
        <v>158</v>
      </c>
      <c r="B158" s="3" t="str">
        <f>RIGHT(A158, LEN(A158)-21)</f>
        <v>2768-158</v>
      </c>
      <c r="C158" s="4">
        <v>0.13519999999999999</v>
      </c>
      <c r="D158" s="5">
        <v>47.15</v>
      </c>
      <c r="E158">
        <f>VLOOKUP(B158,'CEBAS-DEWOOD code'!A$2:B$302,2,FALSE)</f>
        <v>345</v>
      </c>
      <c r="F158" s="7" t="str">
        <f>VLOOKUP(E158,'Field Table'!A$2:E$661,3,FALSE)</f>
        <v>FS</v>
      </c>
      <c r="G158" s="7" t="str">
        <f>VLOOKUP(E158,'Field Table'!A$2:E$661,4,FALSE)</f>
        <v>1</v>
      </c>
      <c r="H158" s="7" t="str">
        <f>VLOOKUP(E158,'Field Table'!A$2:E$661,5,FALSE)</f>
        <v>25</v>
      </c>
    </row>
    <row r="159" spans="1:8" ht="12" customHeight="1" x14ac:dyDescent="0.25">
      <c r="A159" s="3" t="s">
        <v>159</v>
      </c>
      <c r="B159" s="3" t="str">
        <f>RIGHT(A159, LEN(A159)-21)</f>
        <v>2768-159</v>
      </c>
      <c r="C159" s="4">
        <v>0.18099999999999999</v>
      </c>
      <c r="D159" s="5">
        <v>47.35</v>
      </c>
      <c r="E159">
        <f>VLOOKUP(B159,'CEBAS-DEWOOD code'!A$2:B$302,2,FALSE)</f>
        <v>78</v>
      </c>
      <c r="F159" s="7" t="str">
        <f>VLOOKUP(E159,'Field Table'!A$2:E$661,3,FALSE)</f>
        <v>FS</v>
      </c>
      <c r="G159" s="7" t="str">
        <f>VLOOKUP(E159,'Field Table'!A$2:E$661,4,FALSE)</f>
        <v>4</v>
      </c>
      <c r="H159" s="7" t="str">
        <f>VLOOKUP(E159,'Field Table'!A$2:E$661,5,FALSE)</f>
        <v>25</v>
      </c>
    </row>
    <row r="160" spans="1:8" ht="12" customHeight="1" x14ac:dyDescent="0.25">
      <c r="A160" s="3" t="s">
        <v>160</v>
      </c>
      <c r="B160" s="3" t="str">
        <f>RIGHT(A160, LEN(A160)-21)</f>
        <v>2768-160</v>
      </c>
      <c r="C160" s="4">
        <v>0.14199999999999999</v>
      </c>
      <c r="D160" s="5">
        <v>48.28</v>
      </c>
      <c r="E160">
        <f>VLOOKUP(B160,'CEBAS-DEWOOD code'!A$2:B$302,2,FALSE)</f>
        <v>379</v>
      </c>
      <c r="F160" s="7" t="str">
        <f>VLOOKUP(E160,'Field Table'!A$2:E$661,3,FALSE)</f>
        <v>AA</v>
      </c>
      <c r="G160" s="7" t="str">
        <f>VLOOKUP(E160,'Field Table'!A$2:E$661,4,FALSE)</f>
        <v>2</v>
      </c>
      <c r="H160" s="7" t="str">
        <f>VLOOKUP(E160,'Field Table'!A$2:E$661,5,FALSE)</f>
        <v>25</v>
      </c>
    </row>
    <row r="161" spans="1:8" ht="12" customHeight="1" x14ac:dyDescent="0.25">
      <c r="A161" s="3" t="s">
        <v>161</v>
      </c>
      <c r="B161" s="3" t="str">
        <f>RIGHT(A161, LEN(A161)-21)</f>
        <v>2768-161</v>
      </c>
      <c r="C161" s="4">
        <v>0.19450000000000001</v>
      </c>
      <c r="D161" s="5">
        <v>47.73</v>
      </c>
      <c r="E161">
        <f>VLOOKUP(B161,'CEBAS-DEWOOD code'!A$2:B$302,2,FALSE)</f>
        <v>1026</v>
      </c>
      <c r="F161" s="7" t="str">
        <f>VLOOKUP(E161,'Field Table'!A$2:E$661,3,FALSE)</f>
        <v>AA</v>
      </c>
      <c r="G161" s="7" t="str">
        <f>VLOOKUP(E161,'Field Table'!A$2:E$661,4,FALSE)</f>
        <v>2</v>
      </c>
      <c r="H161" s="7" t="str">
        <f>VLOOKUP(E161,'Field Table'!A$2:E$661,5,FALSE)</f>
        <v>01</v>
      </c>
    </row>
    <row r="162" spans="1:8" ht="12" customHeight="1" x14ac:dyDescent="0.25">
      <c r="A162" s="3" t="s">
        <v>162</v>
      </c>
      <c r="B162" s="3" t="str">
        <f>RIGHT(A162, LEN(A162)-21)</f>
        <v>2768-162</v>
      </c>
      <c r="C162" s="4">
        <v>0.1042</v>
      </c>
      <c r="D162" s="5">
        <v>47.99</v>
      </c>
      <c r="E162">
        <f>VLOOKUP(B162,'CEBAS-DEWOOD code'!A$2:B$302,2,FALSE)</f>
        <v>188</v>
      </c>
      <c r="F162" s="7" t="str">
        <f>VLOOKUP(E162,'Field Table'!A$2:E$661,3,FALSE)</f>
        <v>AA</v>
      </c>
      <c r="G162" s="7" t="str">
        <f>VLOOKUP(E162,'Field Table'!A$2:E$661,4,FALSE)</f>
        <v>1</v>
      </c>
      <c r="H162" s="7" t="str">
        <f>VLOOKUP(E162,'Field Table'!A$2:E$661,5,FALSE)</f>
        <v>10</v>
      </c>
    </row>
    <row r="163" spans="1:8" ht="12" customHeight="1" x14ac:dyDescent="0.25">
      <c r="A163" s="3" t="s">
        <v>163</v>
      </c>
      <c r="B163" s="3" t="str">
        <f>RIGHT(A163, LEN(A163)-21)</f>
        <v>2768-163</v>
      </c>
      <c r="C163" s="4">
        <v>0.1167</v>
      </c>
      <c r="D163" s="5">
        <v>47.98</v>
      </c>
      <c r="E163">
        <f>VLOOKUP(B163,'CEBAS-DEWOOD code'!A$2:B$302,2,FALSE)</f>
        <v>367</v>
      </c>
      <c r="F163" s="7" t="str">
        <f>VLOOKUP(E163,'Field Table'!A$2:E$661,3,FALSE)</f>
        <v>AA</v>
      </c>
      <c r="G163" s="7" t="str">
        <f>VLOOKUP(E163,'Field Table'!A$2:E$661,4,FALSE)</f>
        <v>1</v>
      </c>
      <c r="H163" s="7" t="str">
        <f>VLOOKUP(E163,'Field Table'!A$2:E$661,5,FALSE)</f>
        <v>10</v>
      </c>
    </row>
    <row r="164" spans="1:8" ht="12" customHeight="1" x14ac:dyDescent="0.25">
      <c r="A164" s="3" t="s">
        <v>164</v>
      </c>
      <c r="B164" s="3" t="str">
        <f>RIGHT(A164, LEN(A164)-21)</f>
        <v>2768-164</v>
      </c>
      <c r="C164" s="4">
        <v>0.29380000000000001</v>
      </c>
      <c r="D164" s="5">
        <v>47</v>
      </c>
      <c r="E164">
        <f>VLOOKUP(B164,'CEBAS-DEWOOD code'!A$2:B$302,2,FALSE)</f>
        <v>149</v>
      </c>
      <c r="F164" s="7" t="str">
        <f>VLOOKUP(E164,'Field Table'!A$2:E$661,3,FALSE)</f>
        <v>FS</v>
      </c>
      <c r="G164" s="7" t="str">
        <f>VLOOKUP(E164,'Field Table'!A$2:E$661,4,FALSE)</f>
        <v>1</v>
      </c>
      <c r="H164" s="7" t="str">
        <f>VLOOKUP(E164,'Field Table'!A$2:E$661,5,FALSE)</f>
        <v>25</v>
      </c>
    </row>
    <row r="165" spans="1:8" ht="12" customHeight="1" x14ac:dyDescent="0.25">
      <c r="A165" s="3" t="s">
        <v>165</v>
      </c>
      <c r="B165" s="3" t="str">
        <f>RIGHT(A165, LEN(A165)-21)</f>
        <v>2768-165</v>
      </c>
      <c r="C165" s="4">
        <v>0.32423000000000002</v>
      </c>
      <c r="D165" s="5">
        <v>46.84</v>
      </c>
      <c r="E165">
        <f>VLOOKUP(B165,'CEBAS-DEWOOD code'!A$2:B$302,2,FALSE)</f>
        <v>1048</v>
      </c>
      <c r="F165" s="7" t="str">
        <f>VLOOKUP(E165,'Field Table'!A$2:E$661,3,FALSE)</f>
        <v>FS</v>
      </c>
      <c r="G165" s="7" t="str">
        <f>VLOOKUP(E165,'Field Table'!A$2:E$661,4,FALSE)</f>
        <v>4</v>
      </c>
      <c r="H165" s="7" t="str">
        <f>VLOOKUP(E165,'Field Table'!A$2:E$661,5,FALSE)</f>
        <v>01</v>
      </c>
    </row>
    <row r="166" spans="1:8" ht="12" customHeight="1" x14ac:dyDescent="0.25">
      <c r="A166" s="3" t="s">
        <v>166</v>
      </c>
      <c r="B166" s="3" t="str">
        <f>RIGHT(A166, LEN(A166)-21)</f>
        <v>2768-166</v>
      </c>
      <c r="C166" s="4">
        <v>0.28628999999999999</v>
      </c>
      <c r="D166" s="5">
        <v>46.991</v>
      </c>
      <c r="E166">
        <f>VLOOKUP(B166,'CEBAS-DEWOOD code'!A$2:B$302,2,FALSE)</f>
        <v>1006</v>
      </c>
      <c r="F166" s="7" t="str">
        <f>VLOOKUP(E166,'Field Table'!A$2:E$661,3,FALSE)</f>
        <v>FS</v>
      </c>
      <c r="G166" s="7" t="str">
        <f>VLOOKUP(E166,'Field Table'!A$2:E$661,4,FALSE)</f>
        <v>4</v>
      </c>
      <c r="H166" s="7" t="str">
        <f>VLOOKUP(E166,'Field Table'!A$2:E$661,5,FALSE)</f>
        <v>01</v>
      </c>
    </row>
    <row r="167" spans="1:8" ht="12" customHeight="1" x14ac:dyDescent="0.25">
      <c r="A167" s="3" t="s">
        <v>167</v>
      </c>
      <c r="B167" s="3" t="str">
        <f>RIGHT(A167, LEN(A167)-21)</f>
        <v>2768-167</v>
      </c>
      <c r="C167" s="4">
        <v>0.11391</v>
      </c>
      <c r="D167" s="5">
        <v>47.73</v>
      </c>
      <c r="E167">
        <f>VLOOKUP(B167,'CEBAS-DEWOOD code'!A$2:B$302,2,FALSE)</f>
        <v>9</v>
      </c>
      <c r="F167" s="7" t="str">
        <f>VLOOKUP(E167,'Field Table'!A$2:E$661,3,FALSE)</f>
        <v>AA</v>
      </c>
      <c r="G167" s="7" t="str">
        <f>VLOOKUP(E167,'Field Table'!A$2:E$661,4,FALSE)</f>
        <v>4</v>
      </c>
      <c r="H167" s="7" t="str">
        <f>VLOOKUP(E167,'Field Table'!A$2:E$661,5,FALSE)</f>
        <v>10</v>
      </c>
    </row>
    <row r="168" spans="1:8" ht="12" customHeight="1" x14ac:dyDescent="0.25">
      <c r="A168" s="3" t="s">
        <v>168</v>
      </c>
      <c r="B168" s="3" t="str">
        <f>RIGHT(A168, LEN(A168)-21)</f>
        <v>2768-168</v>
      </c>
      <c r="C168" s="4">
        <v>0.37335000000000002</v>
      </c>
      <c r="D168" s="5">
        <v>49.533999999999999</v>
      </c>
      <c r="E168">
        <f>VLOOKUP(B168,'CEBAS-DEWOOD code'!A$2:B$302,2,FALSE)</f>
        <v>1045</v>
      </c>
      <c r="F168" s="7" t="str">
        <f>VLOOKUP(E168,'Field Table'!A$2:E$661,3,FALSE)</f>
        <v>AA</v>
      </c>
      <c r="G168" s="7" t="str">
        <f>VLOOKUP(E168,'Field Table'!A$2:E$661,4,FALSE)</f>
        <v>4</v>
      </c>
      <c r="H168" s="7" t="str">
        <f>VLOOKUP(E168,'Field Table'!A$2:E$661,5,FALSE)</f>
        <v>01</v>
      </c>
    </row>
    <row r="169" spans="1:8" ht="12" customHeight="1" x14ac:dyDescent="0.25">
      <c r="A169" s="3" t="s">
        <v>169</v>
      </c>
      <c r="B169" s="3" t="str">
        <f>RIGHT(A169, LEN(A169)-21)</f>
        <v>2768-169</v>
      </c>
      <c r="C169" s="4">
        <v>0.19112999999999999</v>
      </c>
      <c r="D169" s="5">
        <v>51.862000000000002</v>
      </c>
      <c r="E169">
        <f>VLOOKUP(B169,'CEBAS-DEWOOD code'!A$2:B$302,2,FALSE)</f>
        <v>334</v>
      </c>
      <c r="F169" s="7" t="str">
        <f>VLOOKUP(E169,'Field Table'!A$2:E$661,3,FALSE)</f>
        <v>AA</v>
      </c>
      <c r="G169" s="7" t="str">
        <f>VLOOKUP(E169,'Field Table'!A$2:E$661,4,FALSE)</f>
        <v>4</v>
      </c>
      <c r="H169" s="7" t="str">
        <f>VLOOKUP(E169,'Field Table'!A$2:E$661,5,FALSE)</f>
        <v>10</v>
      </c>
    </row>
    <row r="170" spans="1:8" ht="12" customHeight="1" x14ac:dyDescent="0.25">
      <c r="A170" s="3" t="s">
        <v>170</v>
      </c>
      <c r="B170" s="3" t="str">
        <f>RIGHT(A170, LEN(A170)-21)</f>
        <v>2768-170</v>
      </c>
      <c r="C170" s="4">
        <v>0.19911000000000001</v>
      </c>
      <c r="D170" s="5">
        <v>46.098999999999997</v>
      </c>
      <c r="E170">
        <f>VLOOKUP(B170,'CEBAS-DEWOOD code'!A$2:B$302,2,FALSE)</f>
        <v>391</v>
      </c>
      <c r="F170" s="7" t="str">
        <f>VLOOKUP(E170,'Field Table'!A$2:E$661,3,FALSE)</f>
        <v>FS</v>
      </c>
      <c r="G170" s="7" t="str">
        <f>VLOOKUP(E170,'Field Table'!A$2:E$661,4,FALSE)</f>
        <v>1</v>
      </c>
      <c r="H170" s="7" t="str">
        <f>VLOOKUP(E170,'Field Table'!A$2:E$661,5,FALSE)</f>
        <v>10</v>
      </c>
    </row>
    <row r="171" spans="1:8" ht="12" customHeight="1" x14ac:dyDescent="0.25">
      <c r="A171" s="3" t="s">
        <v>171</v>
      </c>
      <c r="B171" s="3" t="str">
        <f>RIGHT(A171, LEN(A171)-21)</f>
        <v>2768-171</v>
      </c>
      <c r="C171" s="4">
        <v>0.13225999999999999</v>
      </c>
      <c r="D171" s="5">
        <v>47.820999999999998</v>
      </c>
      <c r="E171">
        <f>VLOOKUP(B171,'CEBAS-DEWOOD code'!A$2:B$302,2,FALSE)</f>
        <v>153</v>
      </c>
      <c r="F171" s="7" t="str">
        <f>VLOOKUP(E171,'Field Table'!A$2:E$661,3,FALSE)</f>
        <v>AA</v>
      </c>
      <c r="G171" s="7" t="str">
        <f>VLOOKUP(E171,'Field Table'!A$2:E$661,4,FALSE)</f>
        <v>2</v>
      </c>
      <c r="H171" s="7" t="str">
        <f>VLOOKUP(E171,'Field Table'!A$2:E$661,5,FALSE)</f>
        <v>10</v>
      </c>
    </row>
    <row r="172" spans="1:8" ht="12" customHeight="1" x14ac:dyDescent="0.25">
      <c r="A172" s="3" t="s">
        <v>172</v>
      </c>
      <c r="B172" s="3" t="str">
        <f>RIGHT(A172, LEN(A172)-21)</f>
        <v>2768-172</v>
      </c>
      <c r="C172" s="4">
        <v>0.12057</v>
      </c>
      <c r="D172" s="5">
        <v>47.405000000000001</v>
      </c>
      <c r="E172">
        <f>VLOOKUP(B172,'CEBAS-DEWOOD code'!A$2:B$302,2,FALSE)</f>
        <v>384</v>
      </c>
      <c r="F172" s="7" t="str">
        <f>VLOOKUP(E172,'Field Table'!A$2:E$661,3,FALSE)</f>
        <v>AA</v>
      </c>
      <c r="G172" s="7" t="str">
        <f>VLOOKUP(E172,'Field Table'!A$2:E$661,4,FALSE)</f>
        <v>1</v>
      </c>
      <c r="H172" s="7" t="str">
        <f>VLOOKUP(E172,'Field Table'!A$2:E$661,5,FALSE)</f>
        <v>10</v>
      </c>
    </row>
    <row r="173" spans="1:8" ht="12" customHeight="1" x14ac:dyDescent="0.25">
      <c r="A173" s="3" t="s">
        <v>173</v>
      </c>
      <c r="B173" s="3" t="str">
        <f>RIGHT(A173, LEN(A173)-21)</f>
        <v>2768-173</v>
      </c>
      <c r="C173" s="4">
        <v>0.27054</v>
      </c>
      <c r="D173" s="5">
        <v>45.79</v>
      </c>
      <c r="E173">
        <f>VLOOKUP(B173,'CEBAS-DEWOOD code'!A$2:B$302,2,FALSE)</f>
        <v>412</v>
      </c>
      <c r="F173" s="7" t="str">
        <f>VLOOKUP(E173,'Field Table'!A$2:E$661,3,FALSE)</f>
        <v>FS</v>
      </c>
      <c r="G173" s="7" t="str">
        <f>VLOOKUP(E173,'Field Table'!A$2:E$661,4,FALSE)</f>
        <v>4</v>
      </c>
      <c r="H173" s="7" t="str">
        <f>VLOOKUP(E173,'Field Table'!A$2:E$661,5,FALSE)</f>
        <v>10</v>
      </c>
    </row>
    <row r="174" spans="1:8" ht="12" customHeight="1" x14ac:dyDescent="0.25">
      <c r="A174" s="3" t="s">
        <v>174</v>
      </c>
      <c r="B174" s="3" t="str">
        <f>RIGHT(A174, LEN(A174)-21)</f>
        <v>2768-174</v>
      </c>
      <c r="C174" s="4">
        <v>0.21995999999999999</v>
      </c>
      <c r="D174" s="5">
        <v>48.551000000000002</v>
      </c>
      <c r="E174">
        <f>VLOOKUP(B174,'CEBAS-DEWOOD code'!A$2:B$302,2,FALSE)</f>
        <v>1067</v>
      </c>
      <c r="F174" s="7" t="str">
        <f>VLOOKUP(E174,'Field Table'!A$2:E$661,3,FALSE)</f>
        <v>AA</v>
      </c>
      <c r="G174" s="7" t="str">
        <f>VLOOKUP(E174,'Field Table'!A$2:E$661,4,FALSE)</f>
        <v>1</v>
      </c>
      <c r="H174" s="7" t="str">
        <f>VLOOKUP(E174,'Field Table'!A$2:E$661,5,FALSE)</f>
        <v>01</v>
      </c>
    </row>
    <row r="175" spans="1:8" ht="12" customHeight="1" x14ac:dyDescent="0.25">
      <c r="A175" s="3" t="s">
        <v>175</v>
      </c>
      <c r="B175" s="3" t="str">
        <f>RIGHT(A175, LEN(A175)-21)</f>
        <v>2768-175</v>
      </c>
      <c r="C175" s="4">
        <v>0.18268000000000001</v>
      </c>
      <c r="D175" s="5">
        <v>45.536999999999999</v>
      </c>
      <c r="E175">
        <f>VLOOKUP(B175,'CEBAS-DEWOOD code'!A$2:B$302,2,FALSE)</f>
        <v>179</v>
      </c>
      <c r="F175" s="7" t="str">
        <f>VLOOKUP(E175,'Field Table'!A$2:E$661,3,FALSE)</f>
        <v>FS</v>
      </c>
      <c r="G175" s="7" t="str">
        <f>VLOOKUP(E175,'Field Table'!A$2:E$661,4,FALSE)</f>
        <v>1</v>
      </c>
      <c r="H175" s="7" t="str">
        <f>VLOOKUP(E175,'Field Table'!A$2:E$661,5,FALSE)</f>
        <v>10</v>
      </c>
    </row>
    <row r="176" spans="1:8" ht="12" customHeight="1" x14ac:dyDescent="0.25">
      <c r="A176" s="3" t="s">
        <v>176</v>
      </c>
      <c r="B176" s="3" t="str">
        <f>RIGHT(A176, LEN(A176)-21)</f>
        <v>2768-176</v>
      </c>
      <c r="C176" s="4">
        <v>0.17869000000000002</v>
      </c>
      <c r="D176" s="5">
        <v>47.042999999999999</v>
      </c>
      <c r="E176">
        <f>VLOOKUP(B176,'CEBAS-DEWOOD code'!A$2:B$302,2,FALSE)</f>
        <v>363</v>
      </c>
      <c r="F176" s="7" t="str">
        <f>VLOOKUP(E176,'Field Table'!A$2:E$661,3,FALSE)</f>
        <v>FS</v>
      </c>
      <c r="G176" s="7" t="str">
        <f>VLOOKUP(E176,'Field Table'!A$2:E$661,4,FALSE)</f>
        <v>1</v>
      </c>
      <c r="H176" s="7" t="str">
        <f>VLOOKUP(E176,'Field Table'!A$2:E$661,5,FALSE)</f>
        <v>25</v>
      </c>
    </row>
    <row r="177" spans="1:8" ht="12" customHeight="1" x14ac:dyDescent="0.25">
      <c r="A177" s="3" t="s">
        <v>177</v>
      </c>
      <c r="B177" s="3" t="str">
        <f>RIGHT(A177, LEN(A177)-21)</f>
        <v>2768-177</v>
      </c>
      <c r="C177" s="4">
        <v>0.36348000000000003</v>
      </c>
      <c r="D177" s="5">
        <v>47.889000000000003</v>
      </c>
      <c r="E177">
        <f>VLOOKUP(B177,'CEBAS-DEWOOD code'!A$2:B$302,2,FALSE)</f>
        <v>1046</v>
      </c>
      <c r="F177" s="7" t="str">
        <f>VLOOKUP(E177,'Field Table'!A$2:E$661,3,FALSE)</f>
        <v>FS</v>
      </c>
      <c r="G177" s="7" t="str">
        <f>VLOOKUP(E177,'Field Table'!A$2:E$661,4,FALSE)</f>
        <v>1</v>
      </c>
      <c r="H177" s="7" t="str">
        <f>VLOOKUP(E177,'Field Table'!A$2:E$661,5,FALSE)</f>
        <v>01</v>
      </c>
    </row>
    <row r="178" spans="1:8" ht="12" customHeight="1" x14ac:dyDescent="0.25">
      <c r="A178" s="3" t="s">
        <v>178</v>
      </c>
      <c r="B178" s="3" t="str">
        <f>RIGHT(A178, LEN(A178)-21)</f>
        <v>2768-178</v>
      </c>
      <c r="C178" s="4">
        <v>0.18057999999999999</v>
      </c>
      <c r="D178" s="5">
        <v>47.991999999999997</v>
      </c>
      <c r="E178">
        <f>VLOOKUP(B178,'CEBAS-DEWOOD code'!A$2:B$302,2,FALSE)</f>
        <v>385</v>
      </c>
      <c r="F178" s="7" t="str">
        <f>VLOOKUP(E178,'Field Table'!A$2:E$661,3,FALSE)</f>
        <v>AA</v>
      </c>
      <c r="G178" s="7" t="str">
        <f>VLOOKUP(E178,'Field Table'!A$2:E$661,4,FALSE)</f>
        <v>1</v>
      </c>
      <c r="H178" s="7" t="str">
        <f>VLOOKUP(E178,'Field Table'!A$2:E$661,5,FALSE)</f>
        <v>10</v>
      </c>
    </row>
    <row r="179" spans="1:8" ht="12" customHeight="1" x14ac:dyDescent="0.25">
      <c r="A179" s="3" t="s">
        <v>179</v>
      </c>
      <c r="B179" s="3" t="str">
        <f>RIGHT(A179, LEN(A179)-21)</f>
        <v>2768-179</v>
      </c>
      <c r="C179" s="4">
        <v>0.25147000000000003</v>
      </c>
      <c r="D179" s="5">
        <v>46.616</v>
      </c>
      <c r="E179">
        <f>VLOOKUP(B179,'CEBAS-DEWOOD code'!A$2:B$302,2,FALSE)</f>
        <v>138</v>
      </c>
      <c r="F179" s="7" t="str">
        <f>VLOOKUP(E179,'Field Table'!A$2:E$661,3,FALSE)</f>
        <v>FS</v>
      </c>
      <c r="G179" s="7" t="str">
        <f>VLOOKUP(E179,'Field Table'!A$2:E$661,4,FALSE)</f>
        <v>2</v>
      </c>
      <c r="H179" s="7" t="str">
        <f>VLOOKUP(E179,'Field Table'!A$2:E$661,5,FALSE)</f>
        <v>25</v>
      </c>
    </row>
    <row r="180" spans="1:8" ht="12" customHeight="1" x14ac:dyDescent="0.25">
      <c r="A180" s="3" t="s">
        <v>180</v>
      </c>
      <c r="B180" s="3" t="str">
        <f>RIGHT(A180, LEN(A180)-21)</f>
        <v>2768-180</v>
      </c>
      <c r="C180" s="4">
        <v>0.24410999999999999</v>
      </c>
      <c r="D180" s="5">
        <v>49.03</v>
      </c>
      <c r="E180" t="e">
        <f>VLOOKUP(B180,'CEBAS-DEWOOD code'!A$2:B$302,2,FALSE)</f>
        <v>#N/A</v>
      </c>
      <c r="F180" s="7" t="e">
        <f>VLOOKUP(E180,'Field Table'!A$2:E$661,3,FALSE)</f>
        <v>#N/A</v>
      </c>
      <c r="G180" s="7" t="e">
        <f>VLOOKUP(E180,'Field Table'!A$2:E$661,4,FALSE)</f>
        <v>#N/A</v>
      </c>
      <c r="H180" s="7" t="e">
        <f>VLOOKUP(E180,'Field Table'!A$2:E$661,5,FALSE)</f>
        <v>#N/A</v>
      </c>
    </row>
    <row r="181" spans="1:8" ht="12" customHeight="1" x14ac:dyDescent="0.25">
      <c r="A181" s="3" t="s">
        <v>181</v>
      </c>
      <c r="B181" s="3" t="str">
        <f>RIGHT(A181, LEN(A181)-21)</f>
        <v>2768-181</v>
      </c>
      <c r="C181" s="4">
        <v>0.23116</v>
      </c>
      <c r="D181" s="5">
        <v>46.707999999999998</v>
      </c>
      <c r="E181">
        <f>VLOOKUP(B181,'CEBAS-DEWOOD code'!A$2:B$302,2,FALSE)</f>
        <v>117</v>
      </c>
      <c r="F181" s="7" t="str">
        <f>VLOOKUP(E181,'Field Table'!A$2:E$661,3,FALSE)</f>
        <v>AA</v>
      </c>
      <c r="G181" s="7" t="str">
        <f>VLOOKUP(E181,'Field Table'!A$2:E$661,4,FALSE)</f>
        <v>4</v>
      </c>
      <c r="H181" s="7" t="str">
        <f>VLOOKUP(E181,'Field Table'!A$2:E$661,5,FALSE)</f>
        <v>10</v>
      </c>
    </row>
    <row r="182" spans="1:8" ht="12" customHeight="1" x14ac:dyDescent="0.25">
      <c r="A182" s="3" t="s">
        <v>182</v>
      </c>
      <c r="B182" s="3" t="str">
        <f>RIGHT(A182, LEN(A182)-21)</f>
        <v>2768-182</v>
      </c>
      <c r="C182" s="4">
        <v>0.40450999999999998</v>
      </c>
      <c r="D182" s="5">
        <v>47.603999999999999</v>
      </c>
      <c r="E182">
        <f>VLOOKUP(B182,'CEBAS-DEWOOD code'!A$2:B$302,2,FALSE)</f>
        <v>1076</v>
      </c>
      <c r="F182" s="7" t="str">
        <f>VLOOKUP(E182,'Field Table'!A$2:E$661,3,FALSE)</f>
        <v>FS</v>
      </c>
      <c r="G182" s="7" t="str">
        <f>VLOOKUP(E182,'Field Table'!A$2:E$661,4,FALSE)</f>
        <v>1</v>
      </c>
      <c r="H182" s="7" t="str">
        <f>VLOOKUP(E182,'Field Table'!A$2:E$661,5,FALSE)</f>
        <v>01</v>
      </c>
    </row>
    <row r="183" spans="1:8" ht="12" customHeight="1" x14ac:dyDescent="0.25">
      <c r="A183" s="3" t="s">
        <v>183</v>
      </c>
      <c r="B183" s="3" t="str">
        <f>RIGHT(A183, LEN(A183)-21)</f>
        <v>2768-183</v>
      </c>
      <c r="C183" s="4">
        <v>0.21073</v>
      </c>
      <c r="D183" s="5">
        <v>47.408000000000001</v>
      </c>
      <c r="E183">
        <f>VLOOKUP(B183,'CEBAS-DEWOOD code'!A$2:B$302,2,FALSE)</f>
        <v>45</v>
      </c>
      <c r="F183" s="7" t="str">
        <f>VLOOKUP(E183,'Field Table'!A$2:E$661,3,FALSE)</f>
        <v>AA</v>
      </c>
      <c r="G183" s="7" t="str">
        <f>VLOOKUP(E183,'Field Table'!A$2:E$661,4,FALSE)</f>
        <v>4</v>
      </c>
      <c r="H183" s="7" t="str">
        <f>VLOOKUP(E183,'Field Table'!A$2:E$661,5,FALSE)</f>
        <v>10</v>
      </c>
    </row>
    <row r="184" spans="1:8" ht="12" customHeight="1" x14ac:dyDescent="0.25">
      <c r="A184" s="3" t="s">
        <v>184</v>
      </c>
      <c r="B184" s="3" t="str">
        <f>RIGHT(A184, LEN(A184)-21)</f>
        <v>2768-184</v>
      </c>
      <c r="C184" s="4">
        <v>0.24207999999999999</v>
      </c>
      <c r="D184" s="5">
        <v>46.996000000000002</v>
      </c>
      <c r="E184">
        <f>VLOOKUP(B184,'CEBAS-DEWOOD code'!A$2:B$302,2,FALSE)</f>
        <v>178</v>
      </c>
      <c r="F184" s="7" t="str">
        <f>VLOOKUP(E184,'Field Table'!A$2:E$661,3,FALSE)</f>
        <v>AA</v>
      </c>
      <c r="G184" s="7" t="str">
        <f>VLOOKUP(E184,'Field Table'!A$2:E$661,4,FALSE)</f>
        <v>4</v>
      </c>
      <c r="H184" s="7" t="str">
        <f>VLOOKUP(E184,'Field Table'!A$2:E$661,5,FALSE)</f>
        <v>10</v>
      </c>
    </row>
    <row r="185" spans="1:8" ht="12" customHeight="1" x14ac:dyDescent="0.25">
      <c r="A185" s="3" t="s">
        <v>185</v>
      </c>
      <c r="B185" s="3" t="str">
        <f>RIGHT(A185, LEN(A185)-21)</f>
        <v>2768-185</v>
      </c>
      <c r="C185" s="4">
        <v>0.22275</v>
      </c>
      <c r="D185" s="5">
        <v>44.401000000000003</v>
      </c>
      <c r="E185">
        <f>VLOOKUP(B185,'CEBAS-DEWOOD code'!A$2:B$302,2,FALSE)</f>
        <v>343</v>
      </c>
      <c r="F185" s="7" t="str">
        <f>VLOOKUP(E185,'Field Table'!A$2:E$661,3,FALSE)</f>
        <v>AA</v>
      </c>
      <c r="G185" s="7" t="str">
        <f>VLOOKUP(E185,'Field Table'!A$2:E$661,4,FALSE)</f>
        <v>2</v>
      </c>
      <c r="H185" s="7" t="str">
        <f>VLOOKUP(E185,'Field Table'!A$2:E$661,5,FALSE)</f>
        <v>25</v>
      </c>
    </row>
    <row r="186" spans="1:8" ht="12" customHeight="1" x14ac:dyDescent="0.25">
      <c r="A186" s="3" t="s">
        <v>186</v>
      </c>
      <c r="B186" s="3" t="str">
        <f>RIGHT(A186, LEN(A186)-21)</f>
        <v>2768-186</v>
      </c>
      <c r="C186" s="4">
        <v>0.24529000000000001</v>
      </c>
      <c r="D186" s="5">
        <v>46.548999999999999</v>
      </c>
      <c r="E186">
        <f>VLOOKUP(B186,'CEBAS-DEWOOD code'!A$2:B$302,2,FALSE)</f>
        <v>373</v>
      </c>
      <c r="F186" s="7" t="str">
        <f>VLOOKUP(E186,'Field Table'!A$2:E$661,3,FALSE)</f>
        <v>FS</v>
      </c>
      <c r="G186" s="7" t="str">
        <f>VLOOKUP(E186,'Field Table'!A$2:E$661,4,FALSE)</f>
        <v>1</v>
      </c>
      <c r="H186" s="7" t="str">
        <f>VLOOKUP(E186,'Field Table'!A$2:E$661,5,FALSE)</f>
        <v>10</v>
      </c>
    </row>
    <row r="187" spans="1:8" ht="12" customHeight="1" x14ac:dyDescent="0.25">
      <c r="A187" s="3" t="s">
        <v>187</v>
      </c>
      <c r="B187" s="3" t="str">
        <f>RIGHT(A187, LEN(A187)-21)</f>
        <v>2768-187</v>
      </c>
      <c r="C187" s="4">
        <v>0.29004000000000002</v>
      </c>
      <c r="D187" s="5">
        <v>47.34</v>
      </c>
      <c r="E187">
        <f>VLOOKUP(B187,'CEBAS-DEWOOD code'!A$2:B$302,2,FALSE)</f>
        <v>353</v>
      </c>
      <c r="F187" s="7" t="str">
        <f>VLOOKUP(E187,'Field Table'!A$2:E$661,3,FALSE)</f>
        <v>AA</v>
      </c>
      <c r="G187" s="7" t="str">
        <f>VLOOKUP(E187,'Field Table'!A$2:E$661,4,FALSE)</f>
        <v>4</v>
      </c>
      <c r="H187" s="7" t="str">
        <f>VLOOKUP(E187,'Field Table'!A$2:E$661,5,FALSE)</f>
        <v>10</v>
      </c>
    </row>
    <row r="188" spans="1:8" ht="12" customHeight="1" x14ac:dyDescent="0.25">
      <c r="A188" s="3" t="s">
        <v>188</v>
      </c>
      <c r="B188" s="3" t="str">
        <f>RIGHT(A188, LEN(A188)-21)</f>
        <v>2768-188</v>
      </c>
      <c r="C188" s="4">
        <v>0.22097</v>
      </c>
      <c r="D188" s="5">
        <v>47.344999999999999</v>
      </c>
      <c r="E188">
        <f>VLOOKUP(B188,'CEBAS-DEWOOD code'!A$2:B$302,2,FALSE)</f>
        <v>5</v>
      </c>
      <c r="F188" s="7" t="str">
        <f>VLOOKUP(E188,'Field Table'!A$2:E$661,3,FALSE)</f>
        <v>FS</v>
      </c>
      <c r="G188" s="7" t="str">
        <f>VLOOKUP(E188,'Field Table'!A$2:E$661,4,FALSE)</f>
        <v>2</v>
      </c>
      <c r="H188" s="7" t="str">
        <f>VLOOKUP(E188,'Field Table'!A$2:E$661,5,FALSE)</f>
        <v>25</v>
      </c>
    </row>
    <row r="189" spans="1:8" ht="12" customHeight="1" x14ac:dyDescent="0.25">
      <c r="A189" s="3" t="s">
        <v>189</v>
      </c>
      <c r="B189" s="3" t="str">
        <f>RIGHT(A189, LEN(A189)-21)</f>
        <v>2768-189</v>
      </c>
      <c r="C189" s="4">
        <v>0.21395</v>
      </c>
      <c r="D189" s="5">
        <v>46.793999999999997</v>
      </c>
      <c r="E189">
        <f>VLOOKUP(B189,'CEBAS-DEWOOD code'!A$2:B$302,2,FALSE)</f>
        <v>11</v>
      </c>
      <c r="F189" s="7" t="str">
        <f>VLOOKUP(E189,'Field Table'!A$2:E$661,3,FALSE)</f>
        <v>FS</v>
      </c>
      <c r="G189" s="7" t="str">
        <f>VLOOKUP(E189,'Field Table'!A$2:E$661,4,FALSE)</f>
        <v>2</v>
      </c>
      <c r="H189" s="7" t="str">
        <f>VLOOKUP(E189,'Field Table'!A$2:E$661,5,FALSE)</f>
        <v>10</v>
      </c>
    </row>
    <row r="190" spans="1:8" ht="12" customHeight="1" x14ac:dyDescent="0.25">
      <c r="A190" s="3" t="s">
        <v>190</v>
      </c>
      <c r="B190" s="3" t="str">
        <f>RIGHT(A190, LEN(A190)-21)</f>
        <v>2768-190</v>
      </c>
      <c r="C190" s="4">
        <v>0.22862499999999999</v>
      </c>
      <c r="D190" s="5">
        <v>38.752499999999998</v>
      </c>
      <c r="E190">
        <f>VLOOKUP(B190,'CEBAS-DEWOOD code'!A$2:B$302,2,FALSE)</f>
        <v>1002</v>
      </c>
      <c r="F190" s="7" t="str">
        <f>VLOOKUP(E190,'Field Table'!A$2:E$661,3,FALSE)</f>
        <v>AA</v>
      </c>
      <c r="G190" s="7" t="str">
        <f>VLOOKUP(E190,'Field Table'!A$2:E$661,4,FALSE)</f>
        <v>2</v>
      </c>
      <c r="H190" s="7" t="str">
        <f>VLOOKUP(E190,'Field Table'!A$2:E$661,5,FALSE)</f>
        <v>01</v>
      </c>
    </row>
    <row r="191" spans="1:8" ht="12" customHeight="1" x14ac:dyDescent="0.25">
      <c r="A191" s="3" t="s">
        <v>191</v>
      </c>
      <c r="B191" s="3" t="str">
        <f>RIGHT(A191, LEN(A191)-21)</f>
        <v>2768-191</v>
      </c>
      <c r="C191" s="4">
        <v>0.19450000000000001</v>
      </c>
      <c r="D191" s="5">
        <v>47.17</v>
      </c>
      <c r="E191">
        <f>VLOOKUP(B191,'CEBAS-DEWOOD code'!A$2:B$302,2,FALSE)</f>
        <v>335</v>
      </c>
      <c r="F191" s="7" t="str">
        <f>VLOOKUP(E191,'Field Table'!A$2:E$661,3,FALSE)</f>
        <v>AA</v>
      </c>
      <c r="G191" s="7" t="str">
        <f>VLOOKUP(E191,'Field Table'!A$2:E$661,4,FALSE)</f>
        <v>4</v>
      </c>
      <c r="H191" s="7" t="str">
        <f>VLOOKUP(E191,'Field Table'!A$2:E$661,5,FALSE)</f>
        <v>10</v>
      </c>
    </row>
    <row r="192" spans="1:8" ht="12" customHeight="1" x14ac:dyDescent="0.25">
      <c r="A192" s="3" t="s">
        <v>192</v>
      </c>
      <c r="B192" s="3" t="str">
        <f>RIGHT(A192, LEN(A192)-21)</f>
        <v>2768-192</v>
      </c>
      <c r="C192" s="4">
        <v>0.35539999999999999</v>
      </c>
      <c r="D192" s="5">
        <v>47.73</v>
      </c>
      <c r="E192">
        <f>VLOOKUP(B192,'CEBAS-DEWOOD code'!A$2:B$302,2,FALSE)</f>
        <v>1041</v>
      </c>
      <c r="F192" s="7" t="str">
        <f>VLOOKUP(E192,'Field Table'!A$2:E$661,3,FALSE)</f>
        <v>FS</v>
      </c>
      <c r="G192" s="7" t="str">
        <f>VLOOKUP(E192,'Field Table'!A$2:E$661,4,FALSE)</f>
        <v>2</v>
      </c>
      <c r="H192" s="7" t="str">
        <f>VLOOKUP(E192,'Field Table'!A$2:E$661,5,FALSE)</f>
        <v>01</v>
      </c>
    </row>
    <row r="193" spans="1:8" ht="12" customHeight="1" x14ac:dyDescent="0.25">
      <c r="A193" s="3" t="s">
        <v>193</v>
      </c>
      <c r="B193" s="3" t="str">
        <f>RIGHT(A193, LEN(A193)-21)</f>
        <v>2768-193</v>
      </c>
      <c r="C193" s="4">
        <v>0.15790000000000001</v>
      </c>
      <c r="D193" s="5">
        <v>47.39</v>
      </c>
      <c r="E193">
        <f>VLOOKUP(B193,'CEBAS-DEWOOD code'!A$2:B$302,2,FALSE)</f>
        <v>165</v>
      </c>
      <c r="F193" s="7" t="str">
        <f>VLOOKUP(E193,'Field Table'!A$2:E$661,3,FALSE)</f>
        <v>AA</v>
      </c>
      <c r="G193" s="7" t="str">
        <f>VLOOKUP(E193,'Field Table'!A$2:E$661,4,FALSE)</f>
        <v>2</v>
      </c>
      <c r="H193" s="7" t="str">
        <f>VLOOKUP(E193,'Field Table'!A$2:E$661,5,FALSE)</f>
        <v>10</v>
      </c>
    </row>
    <row r="194" spans="1:8" ht="12" customHeight="1" x14ac:dyDescent="0.25">
      <c r="A194" s="3" t="s">
        <v>194</v>
      </c>
      <c r="B194" s="3" t="str">
        <f>RIGHT(A194, LEN(A194)-21)</f>
        <v>2768-194</v>
      </c>
      <c r="C194" s="4">
        <v>0.18870000000000001</v>
      </c>
      <c r="D194" s="5">
        <v>50.77</v>
      </c>
      <c r="E194">
        <f>VLOOKUP(B194,'CEBAS-DEWOOD code'!A$2:B$302,2,FALSE)</f>
        <v>140</v>
      </c>
      <c r="F194" s="7" t="str">
        <f>VLOOKUP(E194,'Field Table'!A$2:E$661,3,FALSE)</f>
        <v>AA</v>
      </c>
      <c r="G194" s="7" t="str">
        <f>VLOOKUP(E194,'Field Table'!A$2:E$661,4,FALSE)</f>
        <v>1</v>
      </c>
      <c r="H194" s="7" t="str">
        <f>VLOOKUP(E194,'Field Table'!A$2:E$661,5,FALSE)</f>
        <v>10</v>
      </c>
    </row>
    <row r="195" spans="1:8" ht="12" customHeight="1" x14ac:dyDescent="0.25">
      <c r="A195" s="3" t="s">
        <v>195</v>
      </c>
      <c r="B195" s="3" t="str">
        <f>RIGHT(A195, LEN(A195)-21)</f>
        <v>2768-195</v>
      </c>
      <c r="C195" s="4">
        <v>0.21260000000000001</v>
      </c>
      <c r="D195" s="5">
        <v>47.54</v>
      </c>
      <c r="E195">
        <f>VLOOKUP(B195,'CEBAS-DEWOOD code'!A$2:B$302,2,FALSE)</f>
        <v>1080</v>
      </c>
      <c r="F195" s="7" t="str">
        <f>VLOOKUP(E195,'Field Table'!A$2:E$661,3,FALSE)</f>
        <v>AA</v>
      </c>
      <c r="G195" s="7" t="str">
        <f>VLOOKUP(E195,'Field Table'!A$2:E$661,4,FALSE)</f>
        <v>2</v>
      </c>
      <c r="H195" s="7" t="str">
        <f>VLOOKUP(E195,'Field Table'!A$2:E$661,5,FALSE)</f>
        <v>01</v>
      </c>
    </row>
    <row r="196" spans="1:8" ht="12" customHeight="1" x14ac:dyDescent="0.25">
      <c r="A196" s="3" t="s">
        <v>196</v>
      </c>
      <c r="B196" s="3" t="str">
        <f>RIGHT(A196, LEN(A196)-21)</f>
        <v>2768-196</v>
      </c>
      <c r="C196" s="4">
        <v>0.33689999999999998</v>
      </c>
      <c r="D196" s="5">
        <v>47.75</v>
      </c>
      <c r="E196">
        <f>VLOOKUP(B196,'CEBAS-DEWOOD code'!A$2:B$302,2,FALSE)</f>
        <v>370</v>
      </c>
      <c r="F196" s="7" t="str">
        <f>VLOOKUP(E196,'Field Table'!A$2:E$661,3,FALSE)</f>
        <v>AA</v>
      </c>
      <c r="G196" s="7" t="str">
        <f>VLOOKUP(E196,'Field Table'!A$2:E$661,4,FALSE)</f>
        <v>4</v>
      </c>
      <c r="H196" s="7" t="str">
        <f>VLOOKUP(E196,'Field Table'!A$2:E$661,5,FALSE)</f>
        <v>10</v>
      </c>
    </row>
    <row r="197" spans="1:8" ht="12" customHeight="1" x14ac:dyDescent="0.25">
      <c r="A197" s="3" t="s">
        <v>197</v>
      </c>
      <c r="B197" s="3" t="str">
        <f>RIGHT(A197, LEN(A197)-21)</f>
        <v>2768-197</v>
      </c>
      <c r="C197" s="4">
        <v>0.17319999999999999</v>
      </c>
      <c r="D197" s="5">
        <v>47.14</v>
      </c>
      <c r="E197">
        <f>VLOOKUP(B197,'CEBAS-DEWOOD code'!A$2:B$302,2,FALSE)</f>
        <v>2</v>
      </c>
      <c r="F197" s="7" t="str">
        <f>VLOOKUP(E197,'Field Table'!A$2:E$661,3,FALSE)</f>
        <v>AA</v>
      </c>
      <c r="G197" s="7" t="str">
        <f>VLOOKUP(E197,'Field Table'!A$2:E$661,4,FALSE)</f>
        <v>2</v>
      </c>
      <c r="H197" s="7" t="str">
        <f>VLOOKUP(E197,'Field Table'!A$2:E$661,5,FALSE)</f>
        <v>25</v>
      </c>
    </row>
    <row r="198" spans="1:8" ht="12" customHeight="1" x14ac:dyDescent="0.25">
      <c r="A198" s="3" t="s">
        <v>198</v>
      </c>
      <c r="B198" s="3" t="str">
        <f>RIGHT(A198, LEN(A198)-21)</f>
        <v>2768-198</v>
      </c>
      <c r="C198" s="4">
        <v>0.25059999999999999</v>
      </c>
      <c r="D198" s="5">
        <v>47.59</v>
      </c>
      <c r="E198">
        <f>VLOOKUP(B198,'CEBAS-DEWOOD code'!A$2:B$302,2,FALSE)</f>
        <v>1019</v>
      </c>
      <c r="F198" s="7" t="str">
        <f>VLOOKUP(E198,'Field Table'!A$2:E$661,3,FALSE)</f>
        <v>AA</v>
      </c>
      <c r="G198" s="7" t="str">
        <f>VLOOKUP(E198,'Field Table'!A$2:E$661,4,FALSE)</f>
        <v>1</v>
      </c>
      <c r="H198" s="7" t="str">
        <f>VLOOKUP(E198,'Field Table'!A$2:E$661,5,FALSE)</f>
        <v>01</v>
      </c>
    </row>
    <row r="199" spans="1:8" ht="12" customHeight="1" x14ac:dyDescent="0.25">
      <c r="A199" s="3" t="s">
        <v>199</v>
      </c>
      <c r="B199" s="3" t="str">
        <f>RIGHT(A199, LEN(A199)-21)</f>
        <v>2768-199</v>
      </c>
      <c r="C199" s="4">
        <v>0.40160000000000001</v>
      </c>
      <c r="D199" s="5">
        <v>47.68</v>
      </c>
      <c r="E199">
        <f>VLOOKUP(B199,'CEBAS-DEWOOD code'!A$2:B$302,2,FALSE)</f>
        <v>1023</v>
      </c>
      <c r="F199" s="7" t="str">
        <f>VLOOKUP(E199,'Field Table'!A$2:E$661,3,FALSE)</f>
        <v>FS</v>
      </c>
      <c r="G199" s="7" t="str">
        <f>VLOOKUP(E199,'Field Table'!A$2:E$661,4,FALSE)</f>
        <v>2</v>
      </c>
      <c r="H199" s="7" t="str">
        <f>VLOOKUP(E199,'Field Table'!A$2:E$661,5,FALSE)</f>
        <v>01</v>
      </c>
    </row>
    <row r="200" spans="1:8" ht="12" customHeight="1" x14ac:dyDescent="0.25">
      <c r="A200" s="3" t="s">
        <v>200</v>
      </c>
      <c r="B200" s="3" t="str">
        <f>RIGHT(A200, LEN(A200)-21)</f>
        <v>2768-200</v>
      </c>
      <c r="C200" s="4">
        <v>0.23350000000000001</v>
      </c>
      <c r="D200" s="5">
        <v>47.63</v>
      </c>
      <c r="E200">
        <f>VLOOKUP(B200,'CEBAS-DEWOOD code'!A$2:B$302,2,FALSE)</f>
        <v>164</v>
      </c>
      <c r="F200" s="7" t="str">
        <f>VLOOKUP(E200,'Field Table'!A$2:E$661,3,FALSE)</f>
        <v>AA</v>
      </c>
      <c r="G200" s="7" t="str">
        <f>VLOOKUP(E200,'Field Table'!A$2:E$661,4,FALSE)</f>
        <v>1</v>
      </c>
      <c r="H200" s="7" t="str">
        <f>VLOOKUP(E200,'Field Table'!A$2:E$661,5,FALSE)</f>
        <v>10</v>
      </c>
    </row>
    <row r="201" spans="1:8" ht="12" customHeight="1" x14ac:dyDescent="0.25">
      <c r="A201" s="3" t="s">
        <v>201</v>
      </c>
      <c r="B201" s="3" t="str">
        <f>RIGHT(A201, LEN(A201)-21)</f>
        <v>2768-201</v>
      </c>
      <c r="C201" s="4">
        <v>0.14369999999999999</v>
      </c>
      <c r="D201" s="5">
        <v>48.56</v>
      </c>
      <c r="E201">
        <f>VLOOKUP(B201,'CEBAS-DEWOOD code'!A$2:B$302,2,FALSE)</f>
        <v>109</v>
      </c>
      <c r="F201" s="7" t="str">
        <f>VLOOKUP(E201,'Field Table'!A$2:E$661,3,FALSE)</f>
        <v>AA</v>
      </c>
      <c r="G201" s="7" t="str">
        <f>VLOOKUP(E201,'Field Table'!A$2:E$661,4,FALSE)</f>
        <v>1</v>
      </c>
      <c r="H201" s="7" t="str">
        <f>VLOOKUP(E201,'Field Table'!A$2:E$661,5,FALSE)</f>
        <v>25</v>
      </c>
    </row>
    <row r="202" spans="1:8" ht="12" customHeight="1" x14ac:dyDescent="0.25">
      <c r="A202" s="3" t="s">
        <v>202</v>
      </c>
      <c r="B202" s="3" t="str">
        <f>RIGHT(A202, LEN(A202)-21)</f>
        <v>2768-202</v>
      </c>
      <c r="C202" s="4">
        <v>0.18010000000000001</v>
      </c>
      <c r="D202" s="5">
        <v>47.6</v>
      </c>
      <c r="E202">
        <f>VLOOKUP(B202,'CEBAS-DEWOOD code'!A$2:B$302,2,FALSE)</f>
        <v>4</v>
      </c>
      <c r="F202" s="7" t="str">
        <f>VLOOKUP(E202,'Field Table'!A$2:E$661,3,FALSE)</f>
        <v>FS</v>
      </c>
      <c r="G202" s="7" t="str">
        <f>VLOOKUP(E202,'Field Table'!A$2:E$661,4,FALSE)</f>
        <v>1</v>
      </c>
      <c r="H202" s="7" t="str">
        <f>VLOOKUP(E202,'Field Table'!A$2:E$661,5,FALSE)</f>
        <v>25</v>
      </c>
    </row>
    <row r="203" spans="1:8" ht="12" customHeight="1" x14ac:dyDescent="0.25">
      <c r="A203" s="3" t="s">
        <v>203</v>
      </c>
      <c r="B203" s="3" t="str">
        <f>RIGHT(A203, LEN(A203)-21)</f>
        <v>2768-203</v>
      </c>
      <c r="C203" s="4">
        <v>0.23169999999999999</v>
      </c>
      <c r="D203" s="5">
        <v>47.15</v>
      </c>
      <c r="E203">
        <f>VLOOKUP(B203,'CEBAS-DEWOOD code'!A$2:B$302,2,FALSE)</f>
        <v>392</v>
      </c>
      <c r="F203" s="7" t="str">
        <f>VLOOKUP(E203,'Field Table'!A$2:E$661,3,FALSE)</f>
        <v>FS</v>
      </c>
      <c r="G203" s="7" t="str">
        <f>VLOOKUP(E203,'Field Table'!A$2:E$661,4,FALSE)</f>
        <v>2</v>
      </c>
      <c r="H203" s="7" t="str">
        <f>VLOOKUP(E203,'Field Table'!A$2:E$661,5,FALSE)</f>
        <v>10</v>
      </c>
    </row>
    <row r="204" spans="1:8" ht="12" customHeight="1" x14ac:dyDescent="0.25">
      <c r="A204" s="3" t="s">
        <v>204</v>
      </c>
      <c r="B204" s="3" t="str">
        <f>RIGHT(A204, LEN(A204)-21)</f>
        <v>2768-204</v>
      </c>
      <c r="C204" s="4">
        <v>0.1439</v>
      </c>
      <c r="D204" s="5">
        <v>48.28</v>
      </c>
      <c r="E204">
        <f>VLOOKUP(B204,'CEBAS-DEWOOD code'!A$2:B$302,2,FALSE)</f>
        <v>400</v>
      </c>
      <c r="F204" s="7" t="str">
        <f>VLOOKUP(E204,'Field Table'!A$2:E$661,3,FALSE)</f>
        <v>FS</v>
      </c>
      <c r="G204" s="7" t="str">
        <f>VLOOKUP(E204,'Field Table'!A$2:E$661,4,FALSE)</f>
        <v>2</v>
      </c>
      <c r="H204" s="7" t="str">
        <f>VLOOKUP(E204,'Field Table'!A$2:E$661,5,FALSE)</f>
        <v>25</v>
      </c>
    </row>
    <row r="205" spans="1:8" ht="12" customHeight="1" x14ac:dyDescent="0.25">
      <c r="A205" s="3" t="s">
        <v>205</v>
      </c>
      <c r="B205" s="3" t="str">
        <f>RIGHT(A205, LEN(A205)-21)</f>
        <v>2768-205</v>
      </c>
      <c r="C205" s="4">
        <v>0.21909999999999999</v>
      </c>
      <c r="D205" s="5">
        <v>47.23</v>
      </c>
      <c r="E205">
        <f>VLOOKUP(B205,'CEBAS-DEWOOD code'!A$2:B$302,2,FALSE)</f>
        <v>143</v>
      </c>
      <c r="F205" s="7" t="str">
        <f>VLOOKUP(E205,'Field Table'!A$2:E$661,3,FALSE)</f>
        <v>FS</v>
      </c>
      <c r="G205" s="7" t="str">
        <f>VLOOKUP(E205,'Field Table'!A$2:E$661,4,FALSE)</f>
        <v>1</v>
      </c>
      <c r="H205" s="7" t="str">
        <f>VLOOKUP(E205,'Field Table'!A$2:E$661,5,FALSE)</f>
        <v>10</v>
      </c>
    </row>
    <row r="206" spans="1:8" ht="12" customHeight="1" x14ac:dyDescent="0.25">
      <c r="A206" s="3" t="s">
        <v>206</v>
      </c>
      <c r="B206" s="3" t="str">
        <f>RIGHT(A206, LEN(A206)-21)</f>
        <v>2768-206</v>
      </c>
      <c r="C206" s="4">
        <v>0.36870000000000003</v>
      </c>
      <c r="D206" s="5">
        <v>47.37</v>
      </c>
      <c r="E206">
        <f>VLOOKUP(B206,'CEBAS-DEWOOD code'!A$2:B$302,2,FALSE)</f>
        <v>169</v>
      </c>
      <c r="F206" s="7" t="str">
        <f>VLOOKUP(E206,'Field Table'!A$2:E$661,3,FALSE)</f>
        <v>FS</v>
      </c>
      <c r="G206" s="7" t="str">
        <f>VLOOKUP(E206,'Field Table'!A$2:E$661,4,FALSE)</f>
        <v>4</v>
      </c>
      <c r="H206" s="7" t="str">
        <f>VLOOKUP(E206,'Field Table'!A$2:E$661,5,FALSE)</f>
        <v>10</v>
      </c>
    </row>
    <row r="207" spans="1:8" ht="12" customHeight="1" x14ac:dyDescent="0.25">
      <c r="A207" s="3" t="s">
        <v>207</v>
      </c>
      <c r="B207" s="3" t="str">
        <f>RIGHT(A207, LEN(A207)-21)</f>
        <v>2768-207</v>
      </c>
      <c r="C207" s="4">
        <v>0.26519999999999999</v>
      </c>
      <c r="D207" s="5">
        <v>47.24</v>
      </c>
      <c r="E207">
        <f>VLOOKUP(B207,'CEBAS-DEWOOD code'!A$2:B$302,2,FALSE)</f>
        <v>1088</v>
      </c>
      <c r="F207" s="7" t="str">
        <f>VLOOKUP(E207,'Field Table'!A$2:E$661,3,FALSE)</f>
        <v>FS</v>
      </c>
      <c r="G207" s="7" t="str">
        <f>VLOOKUP(E207,'Field Table'!A$2:E$661,4,FALSE)</f>
        <v>1</v>
      </c>
      <c r="H207" s="7" t="str">
        <f>VLOOKUP(E207,'Field Table'!A$2:E$661,5,FALSE)</f>
        <v>01</v>
      </c>
    </row>
    <row r="208" spans="1:8" ht="12" customHeight="1" x14ac:dyDescent="0.25">
      <c r="A208" s="3" t="s">
        <v>208</v>
      </c>
      <c r="B208" s="3" t="str">
        <f>RIGHT(A208, LEN(A208)-21)</f>
        <v>2768-208</v>
      </c>
      <c r="C208" s="4">
        <v>0.21299999999999999</v>
      </c>
      <c r="D208" s="5">
        <v>47.42</v>
      </c>
      <c r="E208">
        <f>VLOOKUP(B208,'CEBAS-DEWOOD code'!A$2:B$302,2,FALSE)</f>
        <v>113</v>
      </c>
      <c r="F208" s="7" t="str">
        <f>VLOOKUP(E208,'Field Table'!A$2:E$661,3,FALSE)</f>
        <v>FS</v>
      </c>
      <c r="G208" s="7" t="str">
        <f>VLOOKUP(E208,'Field Table'!A$2:E$661,4,FALSE)</f>
        <v>2</v>
      </c>
      <c r="H208" s="7" t="str">
        <f>VLOOKUP(E208,'Field Table'!A$2:E$661,5,FALSE)</f>
        <v>25</v>
      </c>
    </row>
    <row r="209" spans="1:8" ht="12" customHeight="1" x14ac:dyDescent="0.25">
      <c r="A209" s="3" t="s">
        <v>209</v>
      </c>
      <c r="B209" s="3" t="str">
        <f>RIGHT(A209, LEN(A209)-21)</f>
        <v>2768-209</v>
      </c>
      <c r="C209" s="4">
        <v>0.14499999999999999</v>
      </c>
      <c r="D209" s="5">
        <v>48.94</v>
      </c>
      <c r="E209">
        <f>VLOOKUP(B209,'CEBAS-DEWOOD code'!A$2:B$302,2,FALSE)</f>
        <v>115</v>
      </c>
      <c r="F209" s="7" t="str">
        <f>VLOOKUP(E209,'Field Table'!A$2:E$661,3,FALSE)</f>
        <v>AA</v>
      </c>
      <c r="G209" s="7" t="str">
        <f>VLOOKUP(E209,'Field Table'!A$2:E$661,4,FALSE)</f>
        <v>1</v>
      </c>
      <c r="H209" s="7" t="str">
        <f>VLOOKUP(E209,'Field Table'!A$2:E$661,5,FALSE)</f>
        <v>10</v>
      </c>
    </row>
    <row r="210" spans="1:8" ht="12" customHeight="1" x14ac:dyDescent="0.25">
      <c r="A210" s="3" t="s">
        <v>210</v>
      </c>
      <c r="B210" s="3" t="str">
        <f>RIGHT(A210, LEN(A210)-21)</f>
        <v>2768-210</v>
      </c>
      <c r="C210" s="4">
        <v>0.39800000000000002</v>
      </c>
      <c r="D210" s="5">
        <v>48.015000000000001</v>
      </c>
      <c r="E210">
        <f>VLOOKUP(B210,'CEBAS-DEWOOD code'!A$2:B$302,2,FALSE)</f>
        <v>12</v>
      </c>
      <c r="F210" s="7" t="str">
        <f>VLOOKUP(E210,'Field Table'!A$2:E$661,3,FALSE)</f>
        <v>FS</v>
      </c>
      <c r="G210" s="7" t="str">
        <f>VLOOKUP(E210,'Field Table'!A$2:E$661,4,FALSE)</f>
        <v>4</v>
      </c>
      <c r="H210" s="7" t="str">
        <f>VLOOKUP(E210,'Field Table'!A$2:E$661,5,FALSE)</f>
        <v>10</v>
      </c>
    </row>
    <row r="211" spans="1:8" ht="12" customHeight="1" x14ac:dyDescent="0.25">
      <c r="A211" s="3" t="s">
        <v>211</v>
      </c>
      <c r="B211" s="3" t="str">
        <f>RIGHT(A211, LEN(A211)-21)</f>
        <v>2768-211</v>
      </c>
      <c r="C211" s="4">
        <v>0.31090000000000001</v>
      </c>
      <c r="D211" s="5">
        <v>49.11</v>
      </c>
      <c r="E211">
        <f>VLOOKUP(B211,'CEBAS-DEWOOD code'!A$2:B$302,2,FALSE)</f>
        <v>1050</v>
      </c>
      <c r="F211" s="7" t="str">
        <f>VLOOKUP(E211,'Field Table'!A$2:E$661,3,FALSE)</f>
        <v>AA</v>
      </c>
      <c r="G211" s="7" t="str">
        <f>VLOOKUP(E211,'Field Table'!A$2:E$661,4,FALSE)</f>
        <v>2</v>
      </c>
      <c r="H211" s="7" t="str">
        <f>VLOOKUP(E211,'Field Table'!A$2:E$661,5,FALSE)</f>
        <v>01</v>
      </c>
    </row>
    <row r="212" spans="1:8" ht="12" customHeight="1" x14ac:dyDescent="0.25">
      <c r="A212" s="3" t="s">
        <v>212</v>
      </c>
      <c r="B212" s="3" t="str">
        <f>RIGHT(A212, LEN(A212)-21)</f>
        <v>2768-212</v>
      </c>
      <c r="C212" s="4">
        <v>0.49780000000000002</v>
      </c>
      <c r="D212" s="5">
        <v>49.03</v>
      </c>
      <c r="E212">
        <f>VLOOKUP(B212,'CEBAS-DEWOOD code'!A$2:B$302,2,FALSE)</f>
        <v>1036</v>
      </c>
      <c r="F212" s="7" t="str">
        <f>VLOOKUP(E212,'Field Table'!A$2:E$661,3,FALSE)</f>
        <v>FS</v>
      </c>
      <c r="G212" s="7" t="str">
        <f>VLOOKUP(E212,'Field Table'!A$2:E$661,4,FALSE)</f>
        <v>4</v>
      </c>
      <c r="H212" s="7" t="str">
        <f>VLOOKUP(E212,'Field Table'!A$2:E$661,5,FALSE)</f>
        <v>01</v>
      </c>
    </row>
    <row r="213" spans="1:8" ht="12" customHeight="1" x14ac:dyDescent="0.25">
      <c r="A213" s="3" t="s">
        <v>213</v>
      </c>
      <c r="B213" s="3" t="str">
        <f>RIGHT(A213, LEN(A213)-21)</f>
        <v>2768-213</v>
      </c>
      <c r="C213" s="4">
        <v>0.24309999999999998</v>
      </c>
      <c r="D213" s="5">
        <v>48.594999999999999</v>
      </c>
      <c r="E213">
        <f>VLOOKUP(B213,'CEBAS-DEWOOD code'!A$2:B$302,2,FALSE)</f>
        <v>1004</v>
      </c>
      <c r="F213" s="7" t="str">
        <f>VLOOKUP(E213,'Field Table'!A$2:E$661,3,FALSE)</f>
        <v>FS</v>
      </c>
      <c r="G213" s="7" t="str">
        <f>VLOOKUP(E213,'Field Table'!A$2:E$661,4,FALSE)</f>
        <v>1</v>
      </c>
      <c r="H213" s="7" t="str">
        <f>VLOOKUP(E213,'Field Table'!A$2:E$661,5,FALSE)</f>
        <v>01</v>
      </c>
    </row>
    <row r="214" spans="1:8" ht="12" customHeight="1" x14ac:dyDescent="0.25">
      <c r="A214" s="3" t="s">
        <v>214</v>
      </c>
      <c r="B214" s="3" t="str">
        <f>RIGHT(A214, LEN(A214)-21)</f>
        <v>2768-214</v>
      </c>
      <c r="C214" s="4">
        <v>0.35539999999999999</v>
      </c>
      <c r="D214" s="5">
        <v>48.1</v>
      </c>
      <c r="E214">
        <f>VLOOKUP(B214,'CEBAS-DEWOOD code'!A$2:B$302,2,FALSE)</f>
        <v>356</v>
      </c>
      <c r="F214" s="7" t="str">
        <f>VLOOKUP(E214,'Field Table'!A$2:E$661,3,FALSE)</f>
        <v>FS</v>
      </c>
      <c r="G214" s="7" t="str">
        <f>VLOOKUP(E214,'Field Table'!A$2:E$661,4,FALSE)</f>
        <v>2</v>
      </c>
      <c r="H214" s="7" t="str">
        <f>VLOOKUP(E214,'Field Table'!A$2:E$661,5,FALSE)</f>
        <v>10</v>
      </c>
    </row>
    <row r="215" spans="1:8" ht="12" customHeight="1" x14ac:dyDescent="0.25">
      <c r="A215" s="3" t="s">
        <v>215</v>
      </c>
      <c r="B215" s="3" t="str">
        <f>RIGHT(A215, LEN(A215)-21)</f>
        <v>2768-215</v>
      </c>
      <c r="C215" s="4">
        <v>0.1757</v>
      </c>
      <c r="D215" s="5">
        <v>48.16</v>
      </c>
      <c r="E215">
        <f>VLOOKUP(B215,'CEBAS-DEWOOD code'!A$2:B$302,2,FALSE)</f>
        <v>133</v>
      </c>
      <c r="F215" s="7" t="str">
        <f>VLOOKUP(E215,'Field Table'!A$2:E$661,3,FALSE)</f>
        <v>FS</v>
      </c>
      <c r="G215" s="7" t="str">
        <f>VLOOKUP(E215,'Field Table'!A$2:E$661,4,FALSE)</f>
        <v>1</v>
      </c>
      <c r="H215" s="7" t="str">
        <f>VLOOKUP(E215,'Field Table'!A$2:E$661,5,FALSE)</f>
        <v>10</v>
      </c>
    </row>
    <row r="216" spans="1:8" ht="12" customHeight="1" x14ac:dyDescent="0.25">
      <c r="A216" s="3" t="s">
        <v>216</v>
      </c>
      <c r="B216" s="3" t="str">
        <f>RIGHT(A216, LEN(A216)-21)</f>
        <v>2768-216</v>
      </c>
      <c r="C216" s="4">
        <v>0.11799999999999999</v>
      </c>
      <c r="D216" s="5">
        <v>48.69</v>
      </c>
      <c r="E216">
        <f>VLOOKUP(B216,'CEBAS-DEWOOD code'!A$2:B$302,2,FALSE)</f>
        <v>171</v>
      </c>
      <c r="F216" s="7" t="str">
        <f>VLOOKUP(E216,'Field Table'!A$2:E$661,3,FALSE)</f>
        <v>AA</v>
      </c>
      <c r="G216" s="7" t="str">
        <f>VLOOKUP(E216,'Field Table'!A$2:E$661,4,FALSE)</f>
        <v>2</v>
      </c>
      <c r="H216" s="7" t="str">
        <f>VLOOKUP(E216,'Field Table'!A$2:E$661,5,FALSE)</f>
        <v>25</v>
      </c>
    </row>
    <row r="217" spans="1:8" ht="12" customHeight="1" x14ac:dyDescent="0.25">
      <c r="A217" s="3" t="s">
        <v>217</v>
      </c>
      <c r="B217" s="3" t="str">
        <f>RIGHT(A217, LEN(A217)-21)</f>
        <v>2768-217</v>
      </c>
      <c r="C217" s="4">
        <v>0.17299999999999999</v>
      </c>
      <c r="D217" s="5">
        <v>48.28</v>
      </c>
      <c r="E217">
        <f>VLOOKUP(B217,'CEBAS-DEWOOD code'!A$2:B$302,2,FALSE)</f>
        <v>41</v>
      </c>
      <c r="F217" s="7" t="str">
        <f>VLOOKUP(E217,'Field Table'!A$2:E$661,3,FALSE)</f>
        <v>FS</v>
      </c>
      <c r="G217" s="7" t="str">
        <f>VLOOKUP(E217,'Field Table'!A$2:E$661,4,FALSE)</f>
        <v>2</v>
      </c>
      <c r="H217" s="7" t="str">
        <f>VLOOKUP(E217,'Field Table'!A$2:E$661,5,FALSE)</f>
        <v>25</v>
      </c>
    </row>
    <row r="218" spans="1:8" ht="12" customHeight="1" x14ac:dyDescent="0.25">
      <c r="A218" s="3" t="s">
        <v>218</v>
      </c>
      <c r="B218" s="3" t="str">
        <f>RIGHT(A218, LEN(A218)-21)</f>
        <v>2768-218</v>
      </c>
      <c r="C218" s="4">
        <v>0.17929999999999999</v>
      </c>
      <c r="D218" s="5">
        <v>49.43</v>
      </c>
      <c r="E218">
        <f>VLOOKUP(B218,'CEBAS-DEWOOD code'!A$2:B$302,2,FALSE)</f>
        <v>39</v>
      </c>
      <c r="F218" s="7" t="str">
        <f>VLOOKUP(E218,'Field Table'!A$2:E$661,3,FALSE)</f>
        <v>AA</v>
      </c>
      <c r="G218" s="7" t="str">
        <f>VLOOKUP(E218,'Field Table'!A$2:E$661,4,FALSE)</f>
        <v>4</v>
      </c>
      <c r="H218" s="7" t="str">
        <f>VLOOKUP(E218,'Field Table'!A$2:E$661,5,FALSE)</f>
        <v>25</v>
      </c>
    </row>
    <row r="219" spans="1:8" ht="12" customHeight="1" x14ac:dyDescent="0.25">
      <c r="A219" s="3" t="s">
        <v>219</v>
      </c>
      <c r="B219" s="3" t="str">
        <f>RIGHT(A219, LEN(A219)-21)</f>
        <v>2768-219</v>
      </c>
      <c r="C219" s="4">
        <v>0.20179999999999998</v>
      </c>
      <c r="D219" s="5">
        <v>48.42</v>
      </c>
      <c r="E219">
        <f>VLOOKUP(B219,'CEBAS-DEWOOD code'!A$2:B$302,2,FALSE)</f>
        <v>183</v>
      </c>
      <c r="F219" s="7" t="str">
        <f>VLOOKUP(E219,'Field Table'!A$2:E$661,3,FALSE)</f>
        <v>AA</v>
      </c>
      <c r="G219" s="7" t="str">
        <f>VLOOKUP(E219,'Field Table'!A$2:E$661,4,FALSE)</f>
        <v>2</v>
      </c>
      <c r="H219" s="7" t="str">
        <f>VLOOKUP(E219,'Field Table'!A$2:E$661,5,FALSE)</f>
        <v>25</v>
      </c>
    </row>
    <row r="220" spans="1:8" ht="12" customHeight="1" x14ac:dyDescent="0.25">
      <c r="A220" s="3" t="s">
        <v>220</v>
      </c>
      <c r="B220" s="3" t="str">
        <f>RIGHT(A220, LEN(A220)-21)</f>
        <v>2768-220</v>
      </c>
      <c r="C220" s="4">
        <v>0.2258</v>
      </c>
      <c r="D220" s="5">
        <v>47.78</v>
      </c>
      <c r="E220">
        <f>VLOOKUP(B220,'CEBAS-DEWOOD code'!A$2:B$302,2,FALSE)</f>
        <v>1043</v>
      </c>
      <c r="F220" s="7" t="str">
        <f>VLOOKUP(E220,'Field Table'!A$2:E$661,3,FALSE)</f>
        <v>AA</v>
      </c>
      <c r="G220" s="7" t="str">
        <f>VLOOKUP(E220,'Field Table'!A$2:E$661,4,FALSE)</f>
        <v>1</v>
      </c>
      <c r="H220" s="7" t="str">
        <f>VLOOKUP(E220,'Field Table'!A$2:E$661,5,FALSE)</f>
        <v>01</v>
      </c>
    </row>
    <row r="221" spans="1:8" ht="12" customHeight="1" x14ac:dyDescent="0.25">
      <c r="A221" s="3" t="s">
        <v>221</v>
      </c>
      <c r="B221" s="3" t="str">
        <f>RIGHT(A221, LEN(A221)-21)</f>
        <v>2768-221</v>
      </c>
      <c r="C221" s="4">
        <v>0.3654</v>
      </c>
      <c r="D221" s="5">
        <v>48.55</v>
      </c>
      <c r="E221">
        <f>VLOOKUP(B221,'CEBAS-DEWOOD code'!A$2:B$302,2,FALSE)</f>
        <v>1017</v>
      </c>
      <c r="F221" s="7" t="str">
        <f>VLOOKUP(E221,'Field Table'!A$2:E$661,3,FALSE)</f>
        <v>FS</v>
      </c>
      <c r="G221" s="7" t="str">
        <f>VLOOKUP(E221,'Field Table'!A$2:E$661,4,FALSE)</f>
        <v>2</v>
      </c>
      <c r="H221" s="7" t="str">
        <f>VLOOKUP(E221,'Field Table'!A$2:E$661,5,FALSE)</f>
        <v>01</v>
      </c>
    </row>
    <row r="222" spans="1:8" ht="12" customHeight="1" x14ac:dyDescent="0.25">
      <c r="A222" s="3" t="s">
        <v>222</v>
      </c>
      <c r="B222" s="3" t="str">
        <f>RIGHT(A222, LEN(A222)-21)</f>
        <v>2768-222</v>
      </c>
      <c r="C222" s="4">
        <v>0.1231</v>
      </c>
      <c r="D222" s="5">
        <v>48.91</v>
      </c>
      <c r="E222">
        <f>VLOOKUP(B222,'CEBAS-DEWOOD code'!A$2:B$302,2,FALSE)</f>
        <v>38</v>
      </c>
      <c r="F222" s="7" t="str">
        <f>VLOOKUP(E222,'Field Table'!A$2:E$661,3,FALSE)</f>
        <v>AA</v>
      </c>
      <c r="G222" s="7" t="str">
        <f>VLOOKUP(E222,'Field Table'!A$2:E$661,4,FALSE)</f>
        <v>2</v>
      </c>
      <c r="H222" s="7" t="str">
        <f>VLOOKUP(E222,'Field Table'!A$2:E$661,5,FALSE)</f>
        <v>25</v>
      </c>
    </row>
    <row r="223" spans="1:8" ht="12" customHeight="1" x14ac:dyDescent="0.25">
      <c r="A223" s="3" t="s">
        <v>223</v>
      </c>
      <c r="B223" s="3" t="str">
        <f>RIGHT(A223, LEN(A223)-21)</f>
        <v>2768-223</v>
      </c>
      <c r="C223" s="4">
        <v>0.15620000000000001</v>
      </c>
      <c r="D223" s="5">
        <v>48.67</v>
      </c>
      <c r="E223">
        <f>VLOOKUP(B223,'CEBAS-DEWOOD code'!A$2:B$302,2,FALSE)</f>
        <v>402</v>
      </c>
      <c r="F223" s="7" t="str">
        <f>VLOOKUP(E223,'Field Table'!A$2:E$661,3,FALSE)</f>
        <v>AA</v>
      </c>
      <c r="G223" s="7" t="str">
        <f>VLOOKUP(E223,'Field Table'!A$2:E$661,4,FALSE)</f>
        <v>1</v>
      </c>
      <c r="H223" s="7" t="str">
        <f>VLOOKUP(E223,'Field Table'!A$2:E$661,5,FALSE)</f>
        <v>10</v>
      </c>
    </row>
    <row r="224" spans="1:8" ht="12" customHeight="1" x14ac:dyDescent="0.25">
      <c r="A224" s="3" t="s">
        <v>224</v>
      </c>
      <c r="B224" s="3" t="str">
        <f>RIGHT(A224, LEN(A224)-21)</f>
        <v>2768-224</v>
      </c>
      <c r="C224" s="4">
        <v>0.20599999999999999</v>
      </c>
      <c r="D224" s="5">
        <v>46.79</v>
      </c>
      <c r="E224">
        <f>VLOOKUP(B224,'CEBAS-DEWOOD code'!A$2:B$302,2,FALSE)</f>
        <v>77</v>
      </c>
      <c r="F224" s="7" t="str">
        <f>VLOOKUP(E224,'Field Table'!A$2:E$661,3,FALSE)</f>
        <v>FS</v>
      </c>
      <c r="G224" s="7" t="str">
        <f>VLOOKUP(E224,'Field Table'!A$2:E$661,4,FALSE)</f>
        <v>2</v>
      </c>
      <c r="H224" s="7" t="str">
        <f>VLOOKUP(E224,'Field Table'!A$2:E$661,5,FALSE)</f>
        <v>25</v>
      </c>
    </row>
    <row r="225" spans="1:8" ht="12" customHeight="1" x14ac:dyDescent="0.25">
      <c r="A225" s="3" t="s">
        <v>225</v>
      </c>
      <c r="B225" s="3" t="str">
        <f>RIGHT(A225, LEN(A225)-21)</f>
        <v>2768-225</v>
      </c>
      <c r="C225" s="4">
        <v>0.20075000000000001</v>
      </c>
      <c r="D225" s="5">
        <v>48.44</v>
      </c>
      <c r="E225">
        <f>VLOOKUP(B225,'CEBAS-DEWOOD code'!A$2:B$302,2,FALSE)</f>
        <v>111</v>
      </c>
      <c r="F225" s="7" t="str">
        <f>VLOOKUP(E225,'Field Table'!A$2:E$661,3,FALSE)</f>
        <v>AA</v>
      </c>
      <c r="G225" s="7" t="str">
        <f>VLOOKUP(E225,'Field Table'!A$2:E$661,4,FALSE)</f>
        <v>4</v>
      </c>
      <c r="H225" s="7" t="str">
        <f>VLOOKUP(E225,'Field Table'!A$2:E$661,5,FALSE)</f>
        <v>25</v>
      </c>
    </row>
    <row r="226" spans="1:8" ht="12" customHeight="1" x14ac:dyDescent="0.25">
      <c r="A226" s="3" t="s">
        <v>226</v>
      </c>
      <c r="B226" s="3" t="str">
        <f>RIGHT(A226, LEN(A226)-21)</f>
        <v>2768-226</v>
      </c>
      <c r="C226" s="4">
        <v>0.17720000000000002</v>
      </c>
      <c r="D226" s="5">
        <v>48.344999999999999</v>
      </c>
      <c r="E226">
        <f>VLOOKUP(B226,'CEBAS-DEWOOD code'!A$2:B$302,2,FALSE)</f>
        <v>406</v>
      </c>
      <c r="F226" s="7" t="str">
        <f>VLOOKUP(E226,'Field Table'!A$2:E$661,3,FALSE)</f>
        <v>AA</v>
      </c>
      <c r="G226" s="7" t="str">
        <f>VLOOKUP(E226,'Field Table'!A$2:E$661,4,FALSE)</f>
        <v>4</v>
      </c>
      <c r="H226" s="7" t="str">
        <f>VLOOKUP(E226,'Field Table'!A$2:E$661,5,FALSE)</f>
        <v>10</v>
      </c>
    </row>
    <row r="227" spans="1:8" ht="12" customHeight="1" x14ac:dyDescent="0.25">
      <c r="A227" s="3" t="s">
        <v>227</v>
      </c>
      <c r="B227" s="3" t="str">
        <f>RIGHT(A227, LEN(A227)-21)</f>
        <v>2768-227</v>
      </c>
      <c r="C227" s="4">
        <v>0.21460000000000001</v>
      </c>
      <c r="D227" s="5">
        <v>47.9</v>
      </c>
      <c r="E227">
        <f>VLOOKUP(B227,'CEBAS-DEWOOD code'!A$2:B$302,2,FALSE)</f>
        <v>392</v>
      </c>
      <c r="F227" s="7" t="str">
        <f>VLOOKUP(E227,'Field Table'!A$2:E$661,3,FALSE)</f>
        <v>FS</v>
      </c>
      <c r="G227" s="7" t="str">
        <f>VLOOKUP(E227,'Field Table'!A$2:E$661,4,FALSE)</f>
        <v>2</v>
      </c>
      <c r="H227" s="7" t="str">
        <f>VLOOKUP(E227,'Field Table'!A$2:E$661,5,FALSE)</f>
        <v>10</v>
      </c>
    </row>
    <row r="228" spans="1:8" ht="12" customHeight="1" x14ac:dyDescent="0.25">
      <c r="A228" s="3" t="s">
        <v>228</v>
      </c>
      <c r="B228" s="3" t="str">
        <f>RIGHT(A228, LEN(A228)-21)</f>
        <v>2768-228</v>
      </c>
      <c r="C228" s="4">
        <v>0.19579999999999997</v>
      </c>
      <c r="D228" s="5">
        <v>48.21</v>
      </c>
      <c r="E228">
        <f>VLOOKUP(B228,'CEBAS-DEWOOD code'!A$2:B$302,2,FALSE)</f>
        <v>154</v>
      </c>
      <c r="F228" s="7" t="str">
        <f>VLOOKUP(E228,'Field Table'!A$2:E$661,3,FALSE)</f>
        <v>AA</v>
      </c>
      <c r="G228" s="7" t="str">
        <f>VLOOKUP(E228,'Field Table'!A$2:E$661,4,FALSE)</f>
        <v>4</v>
      </c>
      <c r="H228" s="7" t="str">
        <f>VLOOKUP(E228,'Field Table'!A$2:E$661,5,FALSE)</f>
        <v>10</v>
      </c>
    </row>
    <row r="229" spans="1:8" ht="12" customHeight="1" x14ac:dyDescent="0.25">
      <c r="A229" s="3" t="s">
        <v>229</v>
      </c>
      <c r="B229" s="3" t="str">
        <f>RIGHT(A229, LEN(A229)-21)</f>
        <v>2768-229</v>
      </c>
      <c r="C229" s="4">
        <v>0.37624999999999997</v>
      </c>
      <c r="D229" s="5">
        <v>48.07</v>
      </c>
      <c r="E229">
        <f>VLOOKUP(B229,'CEBAS-DEWOOD code'!A$2:B$302,2,FALSE)</f>
        <v>1084</v>
      </c>
      <c r="F229" s="7" t="str">
        <f>VLOOKUP(E229,'Field Table'!A$2:E$661,3,FALSE)</f>
        <v>FS</v>
      </c>
      <c r="G229" s="7" t="str">
        <f>VLOOKUP(E229,'Field Table'!A$2:E$661,4,FALSE)</f>
        <v>4</v>
      </c>
      <c r="H229" s="7" t="str">
        <f>VLOOKUP(E229,'Field Table'!A$2:E$661,5,FALSE)</f>
        <v>01</v>
      </c>
    </row>
    <row r="230" spans="1:8" ht="12" customHeight="1" x14ac:dyDescent="0.25">
      <c r="A230" s="3" t="s">
        <v>230</v>
      </c>
      <c r="B230" s="3" t="str">
        <f>RIGHT(A230, LEN(A230)-21)</f>
        <v>2768-230</v>
      </c>
      <c r="C230" s="4">
        <v>0.11</v>
      </c>
      <c r="D230" s="5">
        <v>48.215000000000003</v>
      </c>
      <c r="E230">
        <f>VLOOKUP(B230,'CEBAS-DEWOOD code'!A$2:B$302,2,FALSE)</f>
        <v>43</v>
      </c>
      <c r="F230" s="7" t="str">
        <f>VLOOKUP(E230,'Field Table'!A$2:E$661,3,FALSE)</f>
        <v>AA</v>
      </c>
      <c r="G230" s="7" t="str">
        <f>VLOOKUP(E230,'Field Table'!A$2:E$661,4,FALSE)</f>
        <v>1</v>
      </c>
      <c r="H230" s="7" t="str">
        <f>VLOOKUP(E230,'Field Table'!A$2:E$661,5,FALSE)</f>
        <v>10</v>
      </c>
    </row>
    <row r="231" spans="1:8" ht="12" customHeight="1" x14ac:dyDescent="0.25">
      <c r="A231" s="3" t="s">
        <v>231</v>
      </c>
      <c r="B231" s="3" t="str">
        <f>RIGHT(A231, LEN(A231)-21)</f>
        <v>2768-231</v>
      </c>
      <c r="C231" s="4">
        <v>0.1963</v>
      </c>
      <c r="D231" s="5">
        <v>48.245000000000005</v>
      </c>
      <c r="E231">
        <f>VLOOKUP(B231,'CEBAS-DEWOOD code'!A$2:B$302,2,FALSE)</f>
        <v>1049</v>
      </c>
      <c r="F231" s="7" t="str">
        <f>VLOOKUP(E231,'Field Table'!A$2:E$661,3,FALSE)</f>
        <v>AA</v>
      </c>
      <c r="G231" s="7" t="str">
        <f>VLOOKUP(E231,'Field Table'!A$2:E$661,4,FALSE)</f>
        <v>1</v>
      </c>
      <c r="H231" s="7" t="str">
        <f>VLOOKUP(E231,'Field Table'!A$2:E$661,5,FALSE)</f>
        <v>01</v>
      </c>
    </row>
    <row r="232" spans="1:8" ht="12" customHeight="1" x14ac:dyDescent="0.25">
      <c r="A232" s="3" t="s">
        <v>232</v>
      </c>
      <c r="B232" s="3" t="str">
        <f>RIGHT(A232, LEN(A232)-21)</f>
        <v>2768-232</v>
      </c>
      <c r="C232" s="4">
        <v>0.46575</v>
      </c>
      <c r="D232" s="5">
        <v>46.81</v>
      </c>
      <c r="E232">
        <f>VLOOKUP(B232,'CEBAS-DEWOOD code'!A$2:B$302,2,FALSE)</f>
        <v>48</v>
      </c>
      <c r="F232" s="7" t="str">
        <f>VLOOKUP(E232,'Field Table'!A$2:E$661,3,FALSE)</f>
        <v>FS</v>
      </c>
      <c r="G232" s="7" t="str">
        <f>VLOOKUP(E232,'Field Table'!A$2:E$661,4,FALSE)</f>
        <v>4</v>
      </c>
      <c r="H232" s="7" t="str">
        <f>VLOOKUP(E232,'Field Table'!A$2:E$661,5,FALSE)</f>
        <v>10</v>
      </c>
    </row>
    <row r="233" spans="1:8" ht="12" customHeight="1" x14ac:dyDescent="0.25">
      <c r="A233" s="3" t="s">
        <v>233</v>
      </c>
      <c r="B233" s="3" t="str">
        <f>RIGHT(A233, LEN(A233)-21)</f>
        <v>2768-233</v>
      </c>
      <c r="C233" s="4">
        <v>0.33379999999999999</v>
      </c>
      <c r="D233" s="5">
        <v>48.34</v>
      </c>
      <c r="E233">
        <f>VLOOKUP(B233,'CEBAS-DEWOOD code'!A$2:B$302,2,FALSE)</f>
        <v>1018</v>
      </c>
      <c r="F233" s="7" t="str">
        <f>VLOOKUP(E233,'Field Table'!A$2:E$661,3,FALSE)</f>
        <v>FS</v>
      </c>
      <c r="G233" s="7" t="str">
        <f>VLOOKUP(E233,'Field Table'!A$2:E$661,4,FALSE)</f>
        <v>4</v>
      </c>
      <c r="H233" s="7" t="str">
        <f>VLOOKUP(E233,'Field Table'!A$2:E$661,5,FALSE)</f>
        <v>01</v>
      </c>
    </row>
    <row r="234" spans="1:8" ht="12" customHeight="1" x14ac:dyDescent="0.25">
      <c r="A234" s="3" t="s">
        <v>234</v>
      </c>
      <c r="B234" s="3" t="str">
        <f>RIGHT(A234, LEN(A234)-21)</f>
        <v>2768-234</v>
      </c>
      <c r="C234" s="4">
        <v>0.31909999999999999</v>
      </c>
      <c r="D234" s="5">
        <v>48.24</v>
      </c>
      <c r="E234">
        <f>VLOOKUP(B234,'CEBAS-DEWOOD code'!A$2:B$302,2,FALSE)</f>
        <v>394</v>
      </c>
      <c r="F234" s="7" t="str">
        <f>VLOOKUP(E234,'Field Table'!A$2:E$661,3,FALSE)</f>
        <v>FS</v>
      </c>
      <c r="G234" s="7" t="str">
        <f>VLOOKUP(E234,'Field Table'!A$2:E$661,4,FALSE)</f>
        <v>4</v>
      </c>
      <c r="H234" s="7" t="str">
        <f>VLOOKUP(E234,'Field Table'!A$2:E$661,5,FALSE)</f>
        <v>10</v>
      </c>
    </row>
    <row r="235" spans="1:8" ht="12" customHeight="1" x14ac:dyDescent="0.25">
      <c r="A235" s="3" t="s">
        <v>235</v>
      </c>
      <c r="B235" s="3" t="str">
        <f>RIGHT(A235, LEN(A235)-21)</f>
        <v>2768-235</v>
      </c>
      <c r="C235" s="4">
        <v>0.21</v>
      </c>
      <c r="D235" s="5">
        <v>48.48</v>
      </c>
      <c r="E235">
        <f>VLOOKUP(B235,'CEBAS-DEWOOD code'!A$2:B$302,2,FALSE)</f>
        <v>1009</v>
      </c>
      <c r="F235" s="7" t="str">
        <f>VLOOKUP(E235,'Field Table'!A$2:E$661,3,FALSE)</f>
        <v>AA</v>
      </c>
      <c r="G235" s="7" t="str">
        <f>VLOOKUP(E235,'Field Table'!A$2:E$661,4,FALSE)</f>
        <v>4</v>
      </c>
      <c r="H235" s="7" t="str">
        <f>VLOOKUP(E235,'Field Table'!A$2:E$661,5,FALSE)</f>
        <v>01</v>
      </c>
    </row>
    <row r="236" spans="1:8" ht="12" customHeight="1" x14ac:dyDescent="0.25">
      <c r="A236" s="3" t="s">
        <v>236</v>
      </c>
      <c r="B236" s="3" t="str">
        <f>RIGHT(A236, LEN(A236)-21)</f>
        <v>2768-236</v>
      </c>
      <c r="C236" s="4">
        <v>0.19650000000000001</v>
      </c>
      <c r="D236" s="5">
        <v>47.95</v>
      </c>
      <c r="E236">
        <f>VLOOKUP(B236,'CEBAS-DEWOOD code'!A$2:B$302,2,FALSE)</f>
        <v>112</v>
      </c>
      <c r="F236" s="7" t="str">
        <f>VLOOKUP(E236,'Field Table'!A$2:E$661,3,FALSE)</f>
        <v>FS</v>
      </c>
      <c r="G236" s="7" t="str">
        <f>VLOOKUP(E236,'Field Table'!A$2:E$661,4,FALSE)</f>
        <v>1</v>
      </c>
      <c r="H236" s="7" t="str">
        <f>VLOOKUP(E236,'Field Table'!A$2:E$661,5,FALSE)</f>
        <v>25</v>
      </c>
    </row>
    <row r="237" spans="1:8" ht="12" customHeight="1" x14ac:dyDescent="0.25">
      <c r="A237" s="3" t="s">
        <v>237</v>
      </c>
      <c r="B237" s="3" t="str">
        <f>RIGHT(A237, LEN(A237)-21)</f>
        <v>2768-237</v>
      </c>
      <c r="C237" s="4">
        <v>0.28620000000000001</v>
      </c>
      <c r="D237" s="5">
        <v>47.54</v>
      </c>
      <c r="E237">
        <f>VLOOKUP(B237,'CEBAS-DEWOOD code'!A$2:B$302,2,FALSE)</f>
        <v>1027</v>
      </c>
      <c r="F237" s="7" t="str">
        <f>VLOOKUP(E237,'Field Table'!A$2:E$661,3,FALSE)</f>
        <v>AA</v>
      </c>
      <c r="G237" s="7" t="str">
        <f>VLOOKUP(E237,'Field Table'!A$2:E$661,4,FALSE)</f>
        <v>4</v>
      </c>
      <c r="H237" s="7" t="str">
        <f>VLOOKUP(E237,'Field Table'!A$2:E$661,5,FALSE)</f>
        <v>01</v>
      </c>
    </row>
    <row r="238" spans="1:8" ht="12" customHeight="1" x14ac:dyDescent="0.25">
      <c r="A238" s="3" t="s">
        <v>238</v>
      </c>
      <c r="B238" s="3" t="str">
        <f>RIGHT(A238, LEN(A238)-21)</f>
        <v>2768-238</v>
      </c>
      <c r="C238" s="4">
        <v>0.23039999999999999</v>
      </c>
      <c r="D238" s="5">
        <v>48.29</v>
      </c>
      <c r="E238">
        <f>VLOOKUP(B238,'CEBAS-DEWOOD code'!A$2:B$302,2,FALSE)</f>
        <v>1081</v>
      </c>
      <c r="F238" s="7" t="str">
        <f>VLOOKUP(E238,'Field Table'!A$2:E$661,3,FALSE)</f>
        <v>AA</v>
      </c>
      <c r="G238" s="7" t="str">
        <f>VLOOKUP(E238,'Field Table'!A$2:E$661,4,FALSE)</f>
        <v>4</v>
      </c>
      <c r="H238" s="7" t="str">
        <f>VLOOKUP(E238,'Field Table'!A$2:E$661,5,FALSE)</f>
        <v>01</v>
      </c>
    </row>
    <row r="239" spans="1:8" ht="12" customHeight="1" x14ac:dyDescent="0.25">
      <c r="A239" s="3" t="s">
        <v>239</v>
      </c>
      <c r="B239" s="3" t="str">
        <f>RIGHT(A239, LEN(A239)-21)</f>
        <v>2768-239</v>
      </c>
      <c r="C239" s="4">
        <v>0.1706</v>
      </c>
      <c r="D239" s="5">
        <v>48.09</v>
      </c>
      <c r="E239">
        <f>VLOOKUP(B239,'CEBAS-DEWOOD code'!A$2:B$302,2,FALSE)</f>
        <v>1037</v>
      </c>
      <c r="F239" s="7" t="str">
        <f>VLOOKUP(E239,'Field Table'!A$2:E$661,3,FALSE)</f>
        <v>AA</v>
      </c>
      <c r="G239" s="7" t="str">
        <f>VLOOKUP(E239,'Field Table'!A$2:E$661,4,FALSE)</f>
        <v>1</v>
      </c>
      <c r="H239" s="7" t="str">
        <f>VLOOKUP(E239,'Field Table'!A$2:E$661,5,FALSE)</f>
        <v>01</v>
      </c>
    </row>
    <row r="240" spans="1:8" ht="12" customHeight="1" x14ac:dyDescent="0.25">
      <c r="A240" s="3" t="s">
        <v>240</v>
      </c>
      <c r="B240" s="3" t="str">
        <f>RIGHT(A240, LEN(A240)-21)</f>
        <v>2768-240</v>
      </c>
      <c r="C240" s="4">
        <v>0.19320000000000001</v>
      </c>
      <c r="D240" s="5">
        <v>48.04</v>
      </c>
      <c r="E240">
        <f>VLOOKUP(B240,'CEBAS-DEWOOD code'!A$2:B$302,2,FALSE)</f>
        <v>1086</v>
      </c>
      <c r="F240" s="7" t="str">
        <f>VLOOKUP(E240,'Field Table'!A$2:E$661,3,FALSE)</f>
        <v>AA</v>
      </c>
      <c r="G240" s="7" t="str">
        <f>VLOOKUP(E240,'Field Table'!A$2:E$661,4,FALSE)</f>
        <v>2</v>
      </c>
      <c r="H240" s="7" t="str">
        <f>VLOOKUP(E240,'Field Table'!A$2:E$661,5,FALSE)</f>
        <v>01</v>
      </c>
    </row>
    <row r="241" spans="1:8" ht="12" customHeight="1" x14ac:dyDescent="0.25">
      <c r="A241" s="3" t="s">
        <v>241</v>
      </c>
      <c r="B241" s="3" t="str">
        <f>RIGHT(A241, LEN(A241)-21)</f>
        <v>2768-241</v>
      </c>
      <c r="C241" s="4">
        <v>0.1578</v>
      </c>
      <c r="D241" s="5">
        <v>48.06</v>
      </c>
      <c r="E241">
        <f>VLOOKUP(B241,'CEBAS-DEWOOD code'!A$2:B$302,2,FALSE)</f>
        <v>349</v>
      </c>
      <c r="F241" s="7" t="str">
        <f>VLOOKUP(E241,'Field Table'!A$2:E$661,3,FALSE)</f>
        <v>AA</v>
      </c>
      <c r="G241" s="7" t="str">
        <f>VLOOKUP(E241,'Field Table'!A$2:E$661,4,FALSE)</f>
        <v>1</v>
      </c>
      <c r="H241" s="7" t="str">
        <f>VLOOKUP(E241,'Field Table'!A$2:E$661,5,FALSE)</f>
        <v>10</v>
      </c>
    </row>
    <row r="242" spans="1:8" ht="12" customHeight="1" x14ac:dyDescent="0.25">
      <c r="A242" s="3" t="s">
        <v>242</v>
      </c>
      <c r="B242" s="3" t="str">
        <f>RIGHT(A242, LEN(A242)-21)</f>
        <v>2768-242</v>
      </c>
      <c r="C242" s="4">
        <v>0.14549999999999999</v>
      </c>
      <c r="D242" s="5">
        <v>47.68</v>
      </c>
      <c r="E242">
        <f>VLOOKUP(B242,'CEBAS-DEWOOD code'!A$2:B$302,2,FALSE)</f>
        <v>177</v>
      </c>
      <c r="F242" s="7" t="str">
        <f>VLOOKUP(E242,'Field Table'!A$2:E$661,3,FALSE)</f>
        <v>AA</v>
      </c>
      <c r="G242" s="7" t="str">
        <f>VLOOKUP(E242,'Field Table'!A$2:E$661,4,FALSE)</f>
        <v>2</v>
      </c>
      <c r="H242" s="7" t="str">
        <f>VLOOKUP(E242,'Field Table'!A$2:E$661,5,FALSE)</f>
        <v>10</v>
      </c>
    </row>
    <row r="243" spans="1:8" ht="12" customHeight="1" x14ac:dyDescent="0.25">
      <c r="A243" s="3" t="s">
        <v>243</v>
      </c>
      <c r="B243" s="3" t="str">
        <f>RIGHT(A243, LEN(A243)-21)</f>
        <v>2768-243</v>
      </c>
      <c r="C243" s="4">
        <v>0.14680000000000001</v>
      </c>
      <c r="D243" s="5">
        <v>47.03</v>
      </c>
      <c r="E243">
        <f>VLOOKUP(B243,'CEBAS-DEWOOD code'!A$2:B$302,2,FALSE)</f>
        <v>408</v>
      </c>
      <c r="F243" s="7" t="str">
        <f>VLOOKUP(E243,'Field Table'!A$2:E$661,3,FALSE)</f>
        <v>FS</v>
      </c>
      <c r="G243" s="7" t="str">
        <f>VLOOKUP(E243,'Field Table'!A$2:E$661,4,FALSE)</f>
        <v>1</v>
      </c>
      <c r="H243" s="7" t="str">
        <f>VLOOKUP(E243,'Field Table'!A$2:E$661,5,FALSE)</f>
        <v>10</v>
      </c>
    </row>
    <row r="244" spans="1:8" ht="12" customHeight="1" x14ac:dyDescent="0.25">
      <c r="A244" s="3" t="s">
        <v>244</v>
      </c>
      <c r="B244" s="3" t="str">
        <f>RIGHT(A244, LEN(A244)-21)</f>
        <v>2768-244</v>
      </c>
      <c r="C244" s="4">
        <v>0.3745</v>
      </c>
      <c r="D244" s="5">
        <v>47.29</v>
      </c>
      <c r="E244">
        <f>VLOOKUP(B244,'CEBAS-DEWOOD code'!A$2:B$302,2,FALSE)</f>
        <v>1073</v>
      </c>
      <c r="F244" s="7" t="str">
        <f>VLOOKUP(E244,'Field Table'!A$2:E$661,3,FALSE)</f>
        <v>AA</v>
      </c>
      <c r="G244" s="7" t="str">
        <f>VLOOKUP(E244,'Field Table'!A$2:E$661,4,FALSE)</f>
        <v>1</v>
      </c>
      <c r="H244" s="7" t="str">
        <f>VLOOKUP(E244,'Field Table'!A$2:E$661,5,FALSE)</f>
        <v>01</v>
      </c>
    </row>
    <row r="245" spans="1:8" ht="12" customHeight="1" x14ac:dyDescent="0.25">
      <c r="A245" s="3" t="s">
        <v>245</v>
      </c>
      <c r="B245" s="3" t="str">
        <f>RIGHT(A245, LEN(A245)-21)</f>
        <v>2768-245</v>
      </c>
      <c r="C245" s="4">
        <v>0.44109999999999999</v>
      </c>
      <c r="D245" s="5">
        <v>47.82</v>
      </c>
      <c r="E245">
        <f>VLOOKUP(B245,'CEBAS-DEWOOD code'!A$2:B$302,2,FALSE)</f>
        <v>1059</v>
      </c>
      <c r="F245" s="7" t="str">
        <f>VLOOKUP(E245,'Field Table'!A$2:E$661,3,FALSE)</f>
        <v>FS</v>
      </c>
      <c r="G245" s="7" t="str">
        <f>VLOOKUP(E245,'Field Table'!A$2:E$661,4,FALSE)</f>
        <v>2</v>
      </c>
      <c r="H245" s="7" t="str">
        <f>VLOOKUP(E245,'Field Table'!A$2:E$661,5,FALSE)</f>
        <v>01</v>
      </c>
    </row>
    <row r="246" spans="1:8" ht="12" customHeight="1" x14ac:dyDescent="0.25">
      <c r="A246" s="3" t="s">
        <v>246</v>
      </c>
      <c r="B246" s="3" t="str">
        <f>RIGHT(A246, LEN(A246)-21)</f>
        <v>2768-246</v>
      </c>
      <c r="C246" s="4">
        <v>0.50205</v>
      </c>
      <c r="D246" s="5">
        <v>49.05</v>
      </c>
      <c r="E246">
        <f>VLOOKUP(B246,'CEBAS-DEWOOD code'!A$2:B$302,2,FALSE)</f>
        <v>1029</v>
      </c>
      <c r="F246" s="7" t="str">
        <f>VLOOKUP(E246,'Field Table'!A$2:E$661,3,FALSE)</f>
        <v>FS</v>
      </c>
      <c r="G246" s="7" t="str">
        <f>VLOOKUP(E246,'Field Table'!A$2:E$661,4,FALSE)</f>
        <v>2</v>
      </c>
      <c r="H246" s="7" t="str">
        <f>VLOOKUP(E246,'Field Table'!A$2:E$661,5,FALSE)</f>
        <v>01</v>
      </c>
    </row>
    <row r="247" spans="1:8" ht="12" customHeight="1" x14ac:dyDescent="0.25">
      <c r="A247" s="3" t="s">
        <v>247</v>
      </c>
      <c r="B247" s="3" t="str">
        <f>RIGHT(A247, LEN(A247)-21)</f>
        <v>2768-247</v>
      </c>
      <c r="C247" s="4">
        <v>0.16804999999999998</v>
      </c>
      <c r="D247" s="5">
        <v>49.03</v>
      </c>
      <c r="E247">
        <f>VLOOKUP(B247,'CEBAS-DEWOOD code'!A$2:B$302,2,FALSE)</f>
        <v>127</v>
      </c>
      <c r="F247" s="7" t="str">
        <f>VLOOKUP(E247,'Field Table'!A$2:E$661,3,FALSE)</f>
        <v>AA</v>
      </c>
      <c r="G247" s="7" t="str">
        <f>VLOOKUP(E247,'Field Table'!A$2:E$661,4,FALSE)</f>
        <v>1</v>
      </c>
      <c r="H247" s="7" t="str">
        <f>VLOOKUP(E247,'Field Table'!A$2:E$661,5,FALSE)</f>
        <v>10</v>
      </c>
    </row>
    <row r="248" spans="1:8" ht="12" customHeight="1" x14ac:dyDescent="0.25">
      <c r="A248" s="3" t="s">
        <v>248</v>
      </c>
      <c r="B248" s="3" t="str">
        <f>RIGHT(A248, LEN(A248)-21)</f>
        <v>2768-248</v>
      </c>
      <c r="C248" s="4">
        <v>0.22594999999999998</v>
      </c>
      <c r="D248" s="5">
        <v>47.704999999999998</v>
      </c>
      <c r="E248">
        <f>VLOOKUP(B248,'CEBAS-DEWOOD code'!A$2:B$302,2,FALSE)</f>
        <v>144</v>
      </c>
      <c r="F248" s="7" t="str">
        <f>VLOOKUP(E248,'Field Table'!A$2:E$661,3,FALSE)</f>
        <v>FS</v>
      </c>
      <c r="G248" s="7" t="str">
        <f>VLOOKUP(E248,'Field Table'!A$2:E$661,4,FALSE)</f>
        <v>2</v>
      </c>
      <c r="H248" s="7" t="str">
        <f>VLOOKUP(E248,'Field Table'!A$2:E$661,5,FALSE)</f>
        <v>10</v>
      </c>
    </row>
    <row r="249" spans="1:8" ht="12" customHeight="1" x14ac:dyDescent="0.25">
      <c r="A249" s="3" t="s">
        <v>249</v>
      </c>
      <c r="B249" s="3" t="str">
        <f>RIGHT(A249, LEN(A249)-21)</f>
        <v>2768-249</v>
      </c>
      <c r="C249" s="4">
        <v>0.14265</v>
      </c>
      <c r="D249" s="5">
        <v>47.28</v>
      </c>
      <c r="E249">
        <f>VLOOKUP(B249,'CEBAS-DEWOOD code'!A$2:B$302,2,FALSE)</f>
        <v>80</v>
      </c>
      <c r="F249" s="7" t="str">
        <f>VLOOKUP(E249,'Field Table'!A$2:E$661,3,FALSE)</f>
        <v>AA</v>
      </c>
      <c r="G249" s="7" t="str">
        <f>VLOOKUP(E249,'Field Table'!A$2:E$661,4,FALSE)</f>
        <v>2</v>
      </c>
      <c r="H249" s="7" t="str">
        <f>VLOOKUP(E249,'Field Table'!A$2:E$661,5,FALSE)</f>
        <v>10</v>
      </c>
    </row>
    <row r="250" spans="1:8" ht="12" customHeight="1" x14ac:dyDescent="0.25">
      <c r="A250" s="3" t="s">
        <v>250</v>
      </c>
      <c r="B250" s="3" t="str">
        <f>RIGHT(A250, LEN(A250)-21)</f>
        <v>2768-250</v>
      </c>
      <c r="C250" s="4">
        <v>0.19919999999999999</v>
      </c>
      <c r="D250" s="5">
        <v>48.08</v>
      </c>
      <c r="E250">
        <f>VLOOKUP(B250,'CEBAS-DEWOOD code'!A$2:B$302,2,FALSE)</f>
        <v>186</v>
      </c>
      <c r="F250" s="7" t="str">
        <f>VLOOKUP(E250,'Field Table'!A$2:E$661,3,FALSE)</f>
        <v>FS</v>
      </c>
      <c r="G250" s="7" t="str">
        <f>VLOOKUP(E250,'Field Table'!A$2:E$661,4,FALSE)</f>
        <v>2</v>
      </c>
      <c r="H250" s="7" t="str">
        <f>VLOOKUP(E250,'Field Table'!A$2:E$661,5,FALSE)</f>
        <v>25</v>
      </c>
    </row>
    <row r="251" spans="1:8" ht="12" customHeight="1" x14ac:dyDescent="0.25">
      <c r="A251" s="3" t="s">
        <v>251</v>
      </c>
      <c r="B251" s="3" t="str">
        <f>RIGHT(A251, LEN(A251)-21)</f>
        <v>2768-251</v>
      </c>
      <c r="C251" s="4">
        <v>0.14629999999999999</v>
      </c>
      <c r="D251" s="5">
        <v>48.93</v>
      </c>
      <c r="E251">
        <f>VLOOKUP(B251,'CEBAS-DEWOOD code'!A$2:B$302,2,FALSE)</f>
        <v>74</v>
      </c>
      <c r="F251" s="7" t="str">
        <f>VLOOKUP(E251,'Field Table'!A$2:E$661,3,FALSE)</f>
        <v>AA</v>
      </c>
      <c r="G251" s="7" t="str">
        <f>VLOOKUP(E251,'Field Table'!A$2:E$661,4,FALSE)</f>
        <v>2</v>
      </c>
      <c r="H251" s="7" t="str">
        <f>VLOOKUP(E251,'Field Table'!A$2:E$661,5,FALSE)</f>
        <v>25</v>
      </c>
    </row>
    <row r="252" spans="1:8" ht="12" customHeight="1" x14ac:dyDescent="0.25">
      <c r="A252" s="3" t="s">
        <v>252</v>
      </c>
      <c r="B252" s="3" t="str">
        <f>RIGHT(A252, LEN(A252)-21)</f>
        <v>2768-252</v>
      </c>
      <c r="C252" s="4">
        <v>0.496</v>
      </c>
      <c r="D252" s="5">
        <v>47.094999999999999</v>
      </c>
      <c r="E252">
        <f>VLOOKUP(B252,'CEBAS-DEWOOD code'!A$2:B$302,2,FALSE)</f>
        <v>12</v>
      </c>
      <c r="F252" s="7" t="str">
        <f>VLOOKUP(E252,'Field Table'!A$2:E$661,3,FALSE)</f>
        <v>FS</v>
      </c>
      <c r="G252" s="7" t="str">
        <f>VLOOKUP(E252,'Field Table'!A$2:E$661,4,FALSE)</f>
        <v>4</v>
      </c>
      <c r="H252" s="7" t="str">
        <f>VLOOKUP(E252,'Field Table'!A$2:E$661,5,FALSE)</f>
        <v>10</v>
      </c>
    </row>
    <row r="253" spans="1:8" ht="12" customHeight="1" x14ac:dyDescent="0.25">
      <c r="A253" s="3" t="s">
        <v>253</v>
      </c>
      <c r="B253" s="3" t="str">
        <f>RIGHT(A253, LEN(A253)-21)</f>
        <v>2768-253</v>
      </c>
      <c r="C253" s="4">
        <v>0.1133</v>
      </c>
      <c r="D253" s="5">
        <v>48.58</v>
      </c>
      <c r="E253">
        <f>VLOOKUP(B253,'CEBAS-DEWOOD code'!A$2:B$302,2,FALSE)</f>
        <v>141</v>
      </c>
      <c r="F253" s="7" t="str">
        <f>VLOOKUP(E253,'Field Table'!A$2:E$661,3,FALSE)</f>
        <v>AA</v>
      </c>
      <c r="G253" s="7" t="str">
        <f>VLOOKUP(E253,'Field Table'!A$2:E$661,4,FALSE)</f>
        <v>2</v>
      </c>
      <c r="H253" s="7" t="str">
        <f>VLOOKUP(E253,'Field Table'!A$2:E$661,5,FALSE)</f>
        <v>10</v>
      </c>
    </row>
    <row r="254" spans="1:8" ht="12" customHeight="1" x14ac:dyDescent="0.25">
      <c r="A254" s="3" t="s">
        <v>254</v>
      </c>
      <c r="B254" s="3" t="str">
        <f>RIGHT(A254, LEN(A254)-21)</f>
        <v>2768-254</v>
      </c>
      <c r="C254" s="4">
        <v>0.24540000000000001</v>
      </c>
      <c r="D254" s="5">
        <v>48.33</v>
      </c>
      <c r="E254">
        <f>VLOOKUP(B254,'CEBAS-DEWOOD code'!A$2:B$302,2,FALSE)</f>
        <v>355</v>
      </c>
      <c r="F254" s="7" t="str">
        <f>VLOOKUP(E254,'Field Table'!A$2:E$661,3,FALSE)</f>
        <v>FS</v>
      </c>
      <c r="G254" s="7" t="str">
        <f>VLOOKUP(E254,'Field Table'!A$2:E$661,4,FALSE)</f>
        <v>1</v>
      </c>
      <c r="H254" s="7" t="str">
        <f>VLOOKUP(E254,'Field Table'!A$2:E$661,5,FALSE)</f>
        <v>10</v>
      </c>
    </row>
    <row r="255" spans="1:8" ht="12" customHeight="1" x14ac:dyDescent="0.25">
      <c r="A255" s="3" t="s">
        <v>255</v>
      </c>
      <c r="B255" s="3" t="str">
        <f>RIGHT(A255, LEN(A255)-21)</f>
        <v>2768-255</v>
      </c>
      <c r="C255" s="4">
        <v>0.35646500000000003</v>
      </c>
      <c r="D255" s="5">
        <v>39.686</v>
      </c>
      <c r="E255">
        <f>VLOOKUP(B255,'CEBAS-DEWOOD code'!A$2:B$302,2,FALSE)</f>
        <v>1065</v>
      </c>
      <c r="F255" s="7" t="str">
        <f>VLOOKUP(E255,'Field Table'!A$2:E$661,3,FALSE)</f>
        <v>FS</v>
      </c>
      <c r="G255" s="7" t="str">
        <f>VLOOKUP(E255,'Field Table'!A$2:E$661,4,FALSE)</f>
        <v>2</v>
      </c>
      <c r="H255" s="7" t="str">
        <f>VLOOKUP(E255,'Field Table'!A$2:E$661,5,FALSE)</f>
        <v>01</v>
      </c>
    </row>
    <row r="256" spans="1:8" ht="12" customHeight="1" x14ac:dyDescent="0.25">
      <c r="A256" s="3" t="s">
        <v>256</v>
      </c>
      <c r="B256" s="3" t="str">
        <f>RIGHT(A256, LEN(A256)-21)</f>
        <v>2768-256</v>
      </c>
      <c r="C256" s="4">
        <v>0.13675999999999999</v>
      </c>
      <c r="D256" s="5">
        <v>47.975499999999997</v>
      </c>
      <c r="E256">
        <f>VLOOKUP(B256,'CEBAS-DEWOOD code'!A$2:B$302,2,FALSE)</f>
        <v>366</v>
      </c>
      <c r="F256" s="7" t="str">
        <f>VLOOKUP(E256,'Field Table'!A$2:E$661,3,FALSE)</f>
        <v>AA</v>
      </c>
      <c r="G256" s="7" t="str">
        <f>VLOOKUP(E256,'Field Table'!A$2:E$661,4,FALSE)</f>
        <v>1</v>
      </c>
      <c r="H256" s="7" t="str">
        <f>VLOOKUP(E256,'Field Table'!A$2:E$661,5,FALSE)</f>
        <v>10</v>
      </c>
    </row>
    <row r="257" spans="1:8" ht="12" customHeight="1" x14ac:dyDescent="0.25">
      <c r="A257" s="3" t="s">
        <v>257</v>
      </c>
      <c r="B257" s="3" t="str">
        <f>RIGHT(A257, LEN(A257)-21)</f>
        <v>2768-257</v>
      </c>
      <c r="C257" s="4">
        <v>0.16394999999999998</v>
      </c>
      <c r="D257" s="5">
        <v>48.275000000000006</v>
      </c>
      <c r="E257">
        <f>VLOOKUP(B257,'CEBAS-DEWOOD code'!A$2:B$302,2,FALSE)</f>
        <v>40</v>
      </c>
      <c r="F257" s="7" t="str">
        <f>VLOOKUP(E257,'Field Table'!A$2:E$661,3,FALSE)</f>
        <v>FS</v>
      </c>
      <c r="G257" s="7" t="str">
        <f>VLOOKUP(E257,'Field Table'!A$2:E$661,4,FALSE)</f>
        <v>1</v>
      </c>
      <c r="H257" s="7" t="str">
        <f>VLOOKUP(E257,'Field Table'!A$2:E$661,5,FALSE)</f>
        <v>25</v>
      </c>
    </row>
    <row r="258" spans="1:8" ht="12" customHeight="1" x14ac:dyDescent="0.25">
      <c r="A258" s="3" t="s">
        <v>258</v>
      </c>
      <c r="B258" s="3" t="str">
        <f>RIGHT(A258, LEN(A258)-21)</f>
        <v>2768-258</v>
      </c>
      <c r="C258" s="4">
        <v>0.3196</v>
      </c>
      <c r="D258" s="5">
        <v>48.54</v>
      </c>
      <c r="E258">
        <f>VLOOKUP(B258,'CEBAS-DEWOOD code'!A$2:B$302,2,FALSE)</f>
        <v>1021</v>
      </c>
      <c r="F258" s="7" t="str">
        <f>VLOOKUP(E258,'Field Table'!A$2:E$661,3,FALSE)</f>
        <v>AA</v>
      </c>
      <c r="G258" s="7" t="str">
        <f>VLOOKUP(E258,'Field Table'!A$2:E$661,4,FALSE)</f>
        <v>4</v>
      </c>
      <c r="H258" s="7" t="str">
        <f>VLOOKUP(E258,'Field Table'!A$2:E$661,5,FALSE)</f>
        <v>01</v>
      </c>
    </row>
    <row r="259" spans="1:8" ht="12" customHeight="1" x14ac:dyDescent="0.25">
      <c r="A259" s="3" t="s">
        <v>259</v>
      </c>
      <c r="B259" s="3" t="str">
        <f>RIGHT(A259, LEN(A259)-21)</f>
        <v>2768-259</v>
      </c>
      <c r="C259" s="4">
        <v>0.50585000000000002</v>
      </c>
      <c r="D259" s="5">
        <v>47.59</v>
      </c>
      <c r="E259">
        <f>VLOOKUP(B259,'CEBAS-DEWOOD code'!A$2:B$302,2,FALSE)</f>
        <v>1024</v>
      </c>
      <c r="F259" s="7" t="str">
        <f>VLOOKUP(E259,'Field Table'!A$2:E$661,3,FALSE)</f>
        <v>FS</v>
      </c>
      <c r="G259" s="7" t="str">
        <f>VLOOKUP(E259,'Field Table'!A$2:E$661,4,FALSE)</f>
        <v>4</v>
      </c>
      <c r="H259" s="7" t="str">
        <f>VLOOKUP(E259,'Field Table'!A$2:E$661,5,FALSE)</f>
        <v>01</v>
      </c>
    </row>
    <row r="260" spans="1:8" ht="12" customHeight="1" x14ac:dyDescent="0.25">
      <c r="A260" s="3" t="s">
        <v>260</v>
      </c>
      <c r="B260" s="3" t="str">
        <f>RIGHT(A260, LEN(A260)-21)</f>
        <v>2768-260</v>
      </c>
      <c r="C260" s="4">
        <v>0.17485000000000001</v>
      </c>
      <c r="D260" s="5">
        <v>48.195</v>
      </c>
      <c r="E260">
        <f>VLOOKUP(B260,'CEBAS-DEWOOD code'!A$2:B$302,2,FALSE)</f>
        <v>352</v>
      </c>
      <c r="F260" s="7" t="str">
        <f>VLOOKUP(E260,'Field Table'!A$2:E$661,3,FALSE)</f>
        <v>AA</v>
      </c>
      <c r="G260" s="7" t="str">
        <f>VLOOKUP(E260,'Field Table'!A$2:E$661,4,FALSE)</f>
        <v>4</v>
      </c>
      <c r="H260" s="7" t="str">
        <f>VLOOKUP(E260,'Field Table'!A$2:E$661,5,FALSE)</f>
        <v>10</v>
      </c>
    </row>
    <row r="261" spans="1:8" ht="12" customHeight="1" x14ac:dyDescent="0.25">
      <c r="A261" s="3" t="s">
        <v>261</v>
      </c>
      <c r="B261" s="3" t="str">
        <f>RIGHT(A261, LEN(A261)-21)</f>
        <v>2768-261</v>
      </c>
      <c r="C261" s="4">
        <v>0.51339999999999997</v>
      </c>
      <c r="D261" s="5">
        <v>47.709999999999994</v>
      </c>
      <c r="E261">
        <f>VLOOKUP(B261,'CEBAS-DEWOOD code'!A$2:B$302,2,FALSE)</f>
        <v>1089</v>
      </c>
      <c r="F261" s="7" t="str">
        <f>VLOOKUP(E261,'Field Table'!A$2:E$661,3,FALSE)</f>
        <v>FS</v>
      </c>
      <c r="G261" s="7" t="str">
        <f>VLOOKUP(E261,'Field Table'!A$2:E$661,4,FALSE)</f>
        <v>2</v>
      </c>
      <c r="H261" s="7" t="str">
        <f>VLOOKUP(E261,'Field Table'!A$2:E$661,5,FALSE)</f>
        <v>01</v>
      </c>
    </row>
    <row r="262" spans="1:8" ht="12" customHeight="1" x14ac:dyDescent="0.25">
      <c r="A262" s="3" t="s">
        <v>262</v>
      </c>
      <c r="B262" s="3" t="str">
        <f>RIGHT(A262, LEN(A262)-21)</f>
        <v>2768-262</v>
      </c>
      <c r="C262" s="4">
        <v>0.28339999999999999</v>
      </c>
      <c r="D262" s="5">
        <v>46.92</v>
      </c>
      <c r="E262">
        <f>VLOOKUP(B262,'CEBAS-DEWOOD code'!A$2:B$302,2,FALSE)</f>
        <v>156</v>
      </c>
      <c r="F262" s="7" t="str">
        <f>VLOOKUP(E262,'Field Table'!A$2:E$661,3,FALSE)</f>
        <v>FS</v>
      </c>
      <c r="G262" s="7" t="str">
        <f>VLOOKUP(E262,'Field Table'!A$2:E$661,4,FALSE)</f>
        <v>2</v>
      </c>
      <c r="H262" s="7" t="str">
        <f>VLOOKUP(E262,'Field Table'!A$2:E$661,5,FALSE)</f>
        <v>10</v>
      </c>
    </row>
    <row r="263" spans="1:8" ht="12" customHeight="1" x14ac:dyDescent="0.25">
      <c r="A263" s="3" t="s">
        <v>263</v>
      </c>
      <c r="B263" s="3" t="str">
        <f>RIGHT(A263, LEN(A263)-21)</f>
        <v>2768-263</v>
      </c>
      <c r="C263" s="4">
        <v>0.40125</v>
      </c>
      <c r="D263" s="5">
        <v>48.435000000000002</v>
      </c>
      <c r="E263">
        <f>VLOOKUP(B263,'CEBAS-DEWOOD code'!A$2:B$302,2,FALSE)</f>
        <v>1033</v>
      </c>
      <c r="F263" s="7" t="str">
        <f>VLOOKUP(E263,'Field Table'!A$2:E$661,3,FALSE)</f>
        <v>AA</v>
      </c>
      <c r="G263" s="7" t="str">
        <f>VLOOKUP(E263,'Field Table'!A$2:E$661,4,FALSE)</f>
        <v>4</v>
      </c>
      <c r="H263" s="7" t="str">
        <f>VLOOKUP(E263,'Field Table'!A$2:E$661,5,FALSE)</f>
        <v>01</v>
      </c>
    </row>
    <row r="264" spans="1:8" ht="12" customHeight="1" x14ac:dyDescent="0.25">
      <c r="A264" s="3" t="s">
        <v>264</v>
      </c>
      <c r="B264" s="3" t="str">
        <f>RIGHT(A264, LEN(A264)-21)</f>
        <v>2768-264</v>
      </c>
      <c r="C264" s="4">
        <v>0.34675</v>
      </c>
      <c r="D264" s="5">
        <v>46.995000000000005</v>
      </c>
      <c r="E264">
        <f>VLOOKUP(B264,'CEBAS-DEWOOD code'!A$2:B$302,2,FALSE)</f>
        <v>395</v>
      </c>
      <c r="F264" s="7" t="str">
        <f>VLOOKUP(E264,'Field Table'!A$2:E$661,3,FALSE)</f>
        <v>FS</v>
      </c>
      <c r="G264" s="7" t="str">
        <f>VLOOKUP(E264,'Field Table'!A$2:E$661,4,FALSE)</f>
        <v>4</v>
      </c>
      <c r="H264" s="7" t="str">
        <f>VLOOKUP(E264,'Field Table'!A$2:E$661,5,FALSE)</f>
        <v>10</v>
      </c>
    </row>
    <row r="265" spans="1:8" ht="12" customHeight="1" x14ac:dyDescent="0.25">
      <c r="A265" s="3" t="s">
        <v>265</v>
      </c>
      <c r="B265" s="3" t="str">
        <f>RIGHT(A265, LEN(A265)-21)</f>
        <v>2768-265</v>
      </c>
      <c r="C265" s="4">
        <v>0.26350000000000001</v>
      </c>
      <c r="D265" s="5">
        <v>47.84</v>
      </c>
      <c r="E265">
        <f>VLOOKUP(B265,'CEBAS-DEWOOD code'!A$2:B$302,2,FALSE)</f>
        <v>411</v>
      </c>
      <c r="F265" s="7" t="str">
        <f>VLOOKUP(E265,'Field Table'!A$2:E$661,3,FALSE)</f>
        <v>FS</v>
      </c>
      <c r="G265" s="7" t="str">
        <f>VLOOKUP(E265,'Field Table'!A$2:E$661,4,FALSE)</f>
        <v>2</v>
      </c>
      <c r="H265" s="7" t="str">
        <f>VLOOKUP(E265,'Field Table'!A$2:E$661,5,FALSE)</f>
        <v>10</v>
      </c>
    </row>
    <row r="266" spans="1:8" ht="12" customHeight="1" x14ac:dyDescent="0.25">
      <c r="A266" s="3" t="s">
        <v>266</v>
      </c>
      <c r="B266" s="3" t="str">
        <f>RIGHT(A266, LEN(A266)-21)</f>
        <v>2768-266</v>
      </c>
      <c r="C266" s="4">
        <v>0.33989999999999998</v>
      </c>
      <c r="D266" s="5">
        <v>47.629000000000005</v>
      </c>
      <c r="E266">
        <f>VLOOKUP(B266,'CEBAS-DEWOOD code'!A$2:B$302,2,FALSE)</f>
        <v>1078</v>
      </c>
      <c r="F266" s="7" t="str">
        <f>VLOOKUP(E266,'Field Table'!A$2:E$661,3,FALSE)</f>
        <v>FS</v>
      </c>
      <c r="G266" s="7" t="str">
        <f>VLOOKUP(E266,'Field Table'!A$2:E$661,4,FALSE)</f>
        <v>4</v>
      </c>
      <c r="H266" s="7" t="str">
        <f>VLOOKUP(E266,'Field Table'!A$2:E$661,5,FALSE)</f>
        <v>01</v>
      </c>
    </row>
    <row r="267" spans="1:8" ht="12" customHeight="1" x14ac:dyDescent="0.25">
      <c r="A267" s="3" t="s">
        <v>267</v>
      </c>
      <c r="B267" s="3" t="str">
        <f>RIGHT(A267, LEN(A267)-21)</f>
        <v>2768-267</v>
      </c>
      <c r="C267" s="4">
        <v>0.23315</v>
      </c>
      <c r="D267" s="5">
        <v>48.06</v>
      </c>
      <c r="E267">
        <f>VLOOKUP(B267,'CEBAS-DEWOOD code'!A$2:B$302,2,FALSE)</f>
        <v>168</v>
      </c>
      <c r="F267" s="7" t="str">
        <f>VLOOKUP(E267,'Field Table'!A$2:E$661,3,FALSE)</f>
        <v>FS</v>
      </c>
      <c r="G267" s="7" t="str">
        <f>VLOOKUP(E267,'Field Table'!A$2:E$661,4,FALSE)</f>
        <v>2</v>
      </c>
      <c r="H267" s="7" t="str">
        <f>VLOOKUP(E267,'Field Table'!A$2:E$661,5,FALSE)</f>
        <v>10</v>
      </c>
    </row>
    <row r="268" spans="1:8" ht="12" customHeight="1" x14ac:dyDescent="0.25">
      <c r="A268" s="3" t="s">
        <v>268</v>
      </c>
      <c r="B268" s="3" t="str">
        <f>RIGHT(A268, LEN(A268)-21)</f>
        <v>2768-268</v>
      </c>
      <c r="C268" s="4">
        <v>0.26214999999999999</v>
      </c>
      <c r="D268" s="5">
        <v>48.125</v>
      </c>
      <c r="E268">
        <f>VLOOKUP(B268,'CEBAS-DEWOOD code'!A$2:B$302,2,FALSE)</f>
        <v>409</v>
      </c>
      <c r="F268" s="7" t="str">
        <f>VLOOKUP(E268,'Field Table'!A$2:E$661,3,FALSE)</f>
        <v>FS</v>
      </c>
      <c r="G268" s="7" t="str">
        <f>VLOOKUP(E268,'Field Table'!A$2:E$661,4,FALSE)</f>
        <v>1</v>
      </c>
      <c r="H268" s="7" t="str">
        <f>VLOOKUP(E268,'Field Table'!A$2:E$661,5,FALSE)</f>
        <v>10</v>
      </c>
    </row>
    <row r="269" spans="1:8" ht="12" customHeight="1" x14ac:dyDescent="0.25">
      <c r="A269" s="3" t="s">
        <v>269</v>
      </c>
      <c r="B269" s="3" t="str">
        <f>RIGHT(A269, LEN(A269)-21)</f>
        <v>2768-269</v>
      </c>
      <c r="C269" s="4">
        <v>0.17474999999999999</v>
      </c>
      <c r="D269" s="5">
        <v>47.715000000000003</v>
      </c>
      <c r="E269">
        <f>VLOOKUP(B269,'CEBAS-DEWOOD code'!A$2:B$302,2,FALSE)</f>
        <v>82</v>
      </c>
      <c r="F269" s="7" t="str">
        <f>VLOOKUP(E269,'Field Table'!A$2:E$661,3,FALSE)</f>
        <v>FS</v>
      </c>
      <c r="G269" s="7" t="str">
        <f>VLOOKUP(E269,'Field Table'!A$2:E$661,4,FALSE)</f>
        <v>1</v>
      </c>
      <c r="H269" s="7" t="str">
        <f>VLOOKUP(E269,'Field Table'!A$2:E$661,5,FALSE)</f>
        <v>10</v>
      </c>
    </row>
    <row r="270" spans="1:8" ht="12" customHeight="1" x14ac:dyDescent="0.25">
      <c r="A270" s="3" t="s">
        <v>270</v>
      </c>
      <c r="B270" s="3" t="str">
        <f>RIGHT(A270, LEN(A270)-21)</f>
        <v>2768-270</v>
      </c>
      <c r="C270" s="4">
        <v>0.29215000000000002</v>
      </c>
      <c r="D270" s="5">
        <v>46.914999999999999</v>
      </c>
      <c r="E270">
        <f>VLOOKUP(B270,'CEBAS-DEWOOD code'!A$2:B$302,2,FALSE)</f>
        <v>143</v>
      </c>
      <c r="F270" s="7" t="str">
        <f>VLOOKUP(E270,'Field Table'!A$2:E$661,3,FALSE)</f>
        <v>FS</v>
      </c>
      <c r="G270" s="7" t="str">
        <f>VLOOKUP(E270,'Field Table'!A$2:E$661,4,FALSE)</f>
        <v>1</v>
      </c>
      <c r="H270" s="7" t="str">
        <f>VLOOKUP(E270,'Field Table'!A$2:E$661,5,FALSE)</f>
        <v>10</v>
      </c>
    </row>
    <row r="271" spans="1:8" ht="12" customHeight="1" x14ac:dyDescent="0.25">
      <c r="A271" s="3" t="s">
        <v>271</v>
      </c>
      <c r="B271" s="3" t="str">
        <f>RIGHT(A271, LEN(A271)-21)</f>
        <v>2775-1</v>
      </c>
      <c r="C271" s="4">
        <v>0.25640000000000002</v>
      </c>
      <c r="D271" s="5">
        <v>45.703000000000003</v>
      </c>
      <c r="E271">
        <f>VLOOKUP(B271,'CEBAS-DEWOOD code'!A$2:B$302,2,FALSE)</f>
        <v>187</v>
      </c>
      <c r="F271" s="7" t="str">
        <f>VLOOKUP(E271,'Field Table'!A$2:E$661,3,FALSE)</f>
        <v>FS</v>
      </c>
      <c r="G271" s="7" t="str">
        <f>VLOOKUP(E271,'Field Table'!A$2:E$661,4,FALSE)</f>
        <v>4</v>
      </c>
      <c r="H271" s="7" t="str">
        <f>VLOOKUP(E271,'Field Table'!A$2:E$661,5,FALSE)</f>
        <v>25</v>
      </c>
    </row>
    <row r="272" spans="1:8" ht="12" customHeight="1" x14ac:dyDescent="0.25">
      <c r="A272" s="3" t="s">
        <v>272</v>
      </c>
      <c r="B272" s="3" t="str">
        <f>RIGHT(A272, LEN(A272)-21)</f>
        <v>2775-2</v>
      </c>
      <c r="C272" s="4">
        <v>0.3629</v>
      </c>
      <c r="D272" s="5">
        <v>47.194000000000003</v>
      </c>
      <c r="E272">
        <f>VLOOKUP(B272,'CEBAS-DEWOOD code'!A$2:B$302,2,FALSE)</f>
        <v>1040</v>
      </c>
      <c r="F272" s="7" t="str">
        <f>VLOOKUP(E272,'Field Table'!A$2:E$661,3,FALSE)</f>
        <v>FS</v>
      </c>
      <c r="G272" s="7" t="str">
        <f>VLOOKUP(E272,'Field Table'!A$2:E$661,4,FALSE)</f>
        <v>1</v>
      </c>
      <c r="H272" s="7" t="str">
        <f>VLOOKUP(E272,'Field Table'!A$2:E$661,5,FALSE)</f>
        <v>01</v>
      </c>
    </row>
    <row r="273" spans="1:8" ht="12" customHeight="1" x14ac:dyDescent="0.25">
      <c r="A273" s="3" t="s">
        <v>273</v>
      </c>
      <c r="B273" s="3" t="str">
        <f>RIGHT(A273, LEN(A273)-21)</f>
        <v>2775-3</v>
      </c>
      <c r="C273" s="4">
        <v>0.24690000000000001</v>
      </c>
      <c r="D273" s="5">
        <v>47.014000000000003</v>
      </c>
      <c r="E273">
        <f>VLOOKUP(B273,'CEBAS-DEWOOD code'!A$2:B$302,2,FALSE)</f>
        <v>150</v>
      </c>
      <c r="F273" s="7" t="str">
        <f>VLOOKUP(E273,'Field Table'!A$2:E$661,3,FALSE)</f>
        <v>FS</v>
      </c>
      <c r="G273" s="7" t="str">
        <f>VLOOKUP(E273,'Field Table'!A$2:E$661,4,FALSE)</f>
        <v>2</v>
      </c>
      <c r="H273" s="7" t="str">
        <f>VLOOKUP(E273,'Field Table'!A$2:E$661,5,FALSE)</f>
        <v>25</v>
      </c>
    </row>
    <row r="274" spans="1:8" ht="12" customHeight="1" x14ac:dyDescent="0.25">
      <c r="A274" s="3" t="s">
        <v>274</v>
      </c>
      <c r="B274" s="3" t="str">
        <f>RIGHT(A274, LEN(A274)-21)</f>
        <v>2775-4</v>
      </c>
      <c r="C274" s="4">
        <v>0.24424000000000001</v>
      </c>
      <c r="D274" s="5">
        <v>48.616</v>
      </c>
      <c r="E274">
        <f>VLOOKUP(B274,'CEBAS-DEWOOD code'!A$2:B$302,2,FALSE)</f>
        <v>1057</v>
      </c>
      <c r="F274" s="7" t="str">
        <f>VLOOKUP(E274,'Field Table'!A$2:E$661,3,FALSE)</f>
        <v>AA</v>
      </c>
      <c r="G274" s="7" t="str">
        <f>VLOOKUP(E274,'Field Table'!A$2:E$661,4,FALSE)</f>
        <v>4</v>
      </c>
      <c r="H274" s="7" t="str">
        <f>VLOOKUP(E274,'Field Table'!A$2:E$661,5,FALSE)</f>
        <v>01</v>
      </c>
    </row>
    <row r="275" spans="1:8" ht="12" customHeight="1" x14ac:dyDescent="0.25">
      <c r="A275" s="3" t="s">
        <v>275</v>
      </c>
      <c r="B275" s="3" t="str">
        <f>RIGHT(A275, LEN(A275)-21)</f>
        <v>2775-5</v>
      </c>
      <c r="C275" s="4">
        <v>0.17291999999999999</v>
      </c>
      <c r="D275" s="5">
        <v>48.66</v>
      </c>
      <c r="E275">
        <f>VLOOKUP(B275,'CEBAS-DEWOOD code'!A$2:B$302,2,FALSE)</f>
        <v>1013</v>
      </c>
      <c r="F275" s="7" t="str">
        <f>VLOOKUP(E275,'Field Table'!A$2:E$661,3,FALSE)</f>
        <v>AA</v>
      </c>
      <c r="G275" s="7" t="str">
        <f>VLOOKUP(E275,'Field Table'!A$2:E$661,4,FALSE)</f>
        <v>1</v>
      </c>
      <c r="H275" s="7" t="str">
        <f>VLOOKUP(E275,'Field Table'!A$2:E$661,5,FALSE)</f>
        <v>01</v>
      </c>
    </row>
    <row r="276" spans="1:8" ht="12" customHeight="1" x14ac:dyDescent="0.25">
      <c r="A276" s="3" t="s">
        <v>276</v>
      </c>
      <c r="B276" s="3" t="str">
        <f>RIGHT(A276, LEN(A276)-21)</f>
        <v>2775-6</v>
      </c>
      <c r="C276" s="4">
        <v>0.17164000000000001</v>
      </c>
      <c r="D276" s="5">
        <v>48.288499999999999</v>
      </c>
      <c r="E276">
        <f>VLOOKUP(B276,'CEBAS-DEWOOD code'!A$2:B$302,2,FALSE)</f>
        <v>1008</v>
      </c>
      <c r="F276" s="7" t="str">
        <f>VLOOKUP(E276,'Field Table'!A$2:E$661,3,FALSE)</f>
        <v>AA</v>
      </c>
      <c r="G276" s="7" t="str">
        <f>VLOOKUP(E276,'Field Table'!A$2:E$661,4,FALSE)</f>
        <v>2</v>
      </c>
      <c r="H276" s="7" t="str">
        <f>VLOOKUP(E276,'Field Table'!A$2:E$661,5,FALSE)</f>
        <v>01</v>
      </c>
    </row>
    <row r="277" spans="1:8" ht="12" customHeight="1" x14ac:dyDescent="0.25">
      <c r="A277" s="3" t="s">
        <v>277</v>
      </c>
      <c r="B277" s="3" t="str">
        <f>RIGHT(A277, LEN(A277)-21)</f>
        <v>2775-7</v>
      </c>
      <c r="C277" s="4">
        <v>0.44390000000000002</v>
      </c>
      <c r="D277" s="5">
        <v>47.430999999999997</v>
      </c>
      <c r="E277">
        <f>VLOOKUP(B277,'CEBAS-DEWOOD code'!A$2:B$302,2,FALSE)</f>
        <v>1010</v>
      </c>
      <c r="F277" s="7" t="str">
        <f>VLOOKUP(E277,'Field Table'!A$2:E$661,3,FALSE)</f>
        <v>FS</v>
      </c>
      <c r="G277" s="7" t="str">
        <f>VLOOKUP(E277,'Field Table'!A$2:E$661,4,FALSE)</f>
        <v>1</v>
      </c>
      <c r="H277" s="7" t="str">
        <f>VLOOKUP(E277,'Field Table'!A$2:E$661,5,FALSE)</f>
        <v>01</v>
      </c>
    </row>
    <row r="278" spans="1:8" ht="12" customHeight="1" x14ac:dyDescent="0.25">
      <c r="A278" s="3" t="s">
        <v>278</v>
      </c>
      <c r="B278" s="3" t="str">
        <f>RIGHT(A278, LEN(A278)-21)</f>
        <v>2775-8</v>
      </c>
      <c r="C278" s="4">
        <v>0.29355999999999999</v>
      </c>
      <c r="D278" s="5">
        <v>46.222000000000001</v>
      </c>
      <c r="E278">
        <f>VLOOKUP(B278,'CEBAS-DEWOOD code'!A$2:B$302,2,FALSE)</f>
        <v>126</v>
      </c>
      <c r="F278" s="7" t="str">
        <f>VLOOKUP(E278,'Field Table'!A$2:E$661,3,FALSE)</f>
        <v>FS</v>
      </c>
      <c r="G278" s="7" t="str">
        <f>VLOOKUP(E278,'Field Table'!A$2:E$661,4,FALSE)</f>
        <v>4</v>
      </c>
      <c r="H278" s="7" t="str">
        <f>VLOOKUP(E278,'Field Table'!A$2:E$661,5,FALSE)</f>
        <v>25</v>
      </c>
    </row>
    <row r="279" spans="1:8" ht="12" customHeight="1" x14ac:dyDescent="0.25">
      <c r="A279" s="3" t="s">
        <v>279</v>
      </c>
      <c r="B279" s="3" t="str">
        <f>RIGHT(A279, LEN(A279)-21)</f>
        <v>2775-9</v>
      </c>
      <c r="C279" s="4">
        <v>0.14782000000000001</v>
      </c>
      <c r="D279" s="5">
        <v>47.982999999999997</v>
      </c>
      <c r="E279">
        <f>VLOOKUP(B279,'CEBAS-DEWOOD code'!A$2:B$302,2,FALSE)</f>
        <v>378</v>
      </c>
      <c r="F279" s="7" t="str">
        <f>VLOOKUP(E279,'Field Table'!A$2:E$661,3,FALSE)</f>
        <v>AA</v>
      </c>
      <c r="G279" s="7" t="str">
        <f>VLOOKUP(E279,'Field Table'!A$2:E$661,4,FALSE)</f>
        <v>1</v>
      </c>
      <c r="H279" s="7" t="str">
        <f>VLOOKUP(E279,'Field Table'!A$2:E$661,5,FALSE)</f>
        <v>25</v>
      </c>
    </row>
    <row r="280" spans="1:8" ht="12" customHeight="1" x14ac:dyDescent="0.25">
      <c r="A280" s="3" t="s">
        <v>280</v>
      </c>
      <c r="B280" s="3" t="str">
        <f>RIGHT(A280, LEN(A280)-21)</f>
        <v>2775-10</v>
      </c>
      <c r="C280" s="4">
        <v>0.10027999999999999</v>
      </c>
      <c r="D280" s="5">
        <v>46.92</v>
      </c>
      <c r="E280">
        <f>VLOOKUP(B280,'CEBAS-DEWOOD code'!A$2:B$302,2,FALSE)</f>
        <v>7</v>
      </c>
      <c r="F280" s="7" t="str">
        <f>VLOOKUP(E280,'Field Table'!A$2:E$661,3,FALSE)</f>
        <v>AA</v>
      </c>
      <c r="G280" s="7" t="str">
        <f>VLOOKUP(E280,'Field Table'!A$2:E$661,4,FALSE)</f>
        <v>1</v>
      </c>
      <c r="H280" s="7" t="str">
        <f>VLOOKUP(E280,'Field Table'!A$2:E$661,5,FALSE)</f>
        <v>10</v>
      </c>
    </row>
    <row r="281" spans="1:8" ht="12" customHeight="1" x14ac:dyDescent="0.25">
      <c r="A281" s="3" t="s">
        <v>281</v>
      </c>
      <c r="B281" s="3" t="str">
        <f>RIGHT(A281, LEN(A281)-21)</f>
        <v>2775-11</v>
      </c>
      <c r="C281" s="4">
        <v>0.23014999999999999</v>
      </c>
      <c r="D281" s="5">
        <v>48.276000000000003</v>
      </c>
      <c r="E281">
        <f>VLOOKUP(B281,'CEBAS-DEWOOD code'!A$2:B$302,2,FALSE)</f>
        <v>1079</v>
      </c>
      <c r="F281" s="7" t="str">
        <f>VLOOKUP(E281,'Field Table'!A$2:E$661,3,FALSE)</f>
        <v>AA</v>
      </c>
      <c r="G281" s="7" t="str">
        <f>VLOOKUP(E281,'Field Table'!A$2:E$661,4,FALSE)</f>
        <v>1</v>
      </c>
      <c r="H281" s="7" t="str">
        <f>VLOOKUP(E281,'Field Table'!A$2:E$661,5,FALSE)</f>
        <v>01</v>
      </c>
    </row>
    <row r="282" spans="1:8" ht="12" customHeight="1" x14ac:dyDescent="0.25">
      <c r="A282" s="3" t="s">
        <v>282</v>
      </c>
      <c r="B282" s="3" t="str">
        <f>RIGHT(A282, LEN(A282)-21)</f>
        <v>2775-12</v>
      </c>
      <c r="C282" s="4">
        <v>0.19966</v>
      </c>
      <c r="D282" s="5">
        <v>45.804000000000002</v>
      </c>
      <c r="E282">
        <f>VLOOKUP(B282,'CEBAS-DEWOOD code'!A$2:B$302,2,FALSE)</f>
        <v>84</v>
      </c>
      <c r="F282" s="7" t="str">
        <f>VLOOKUP(E282,'Field Table'!A$2:E$661,3,FALSE)</f>
        <v>FS</v>
      </c>
      <c r="G282" s="7" t="str">
        <f>VLOOKUP(E282,'Field Table'!A$2:E$661,4,FALSE)</f>
        <v>4</v>
      </c>
      <c r="H282" s="7" t="str">
        <f>VLOOKUP(E282,'Field Table'!A$2:E$661,5,FALSE)</f>
        <v>10</v>
      </c>
    </row>
    <row r="283" spans="1:8" ht="12" customHeight="1" x14ac:dyDescent="0.25">
      <c r="A283" s="3" t="s">
        <v>283</v>
      </c>
      <c r="B283" s="3" t="str">
        <f>RIGHT(A283, LEN(A283)-21)</f>
        <v>2775-13</v>
      </c>
      <c r="C283" s="4">
        <v>0.45773000000000003</v>
      </c>
      <c r="D283" s="5">
        <v>48.146000000000001</v>
      </c>
      <c r="E283">
        <f>VLOOKUP(B283,'CEBAS-DEWOOD code'!A$2:B$302,2,FALSE)</f>
        <v>1034</v>
      </c>
      <c r="F283" s="7" t="str">
        <f>VLOOKUP(E283,'Field Table'!A$2:E$661,3,FALSE)</f>
        <v>FS</v>
      </c>
      <c r="G283" s="7" t="str">
        <f>VLOOKUP(E283,'Field Table'!A$2:E$661,4,FALSE)</f>
        <v>1</v>
      </c>
      <c r="H283" s="7" t="str">
        <f>VLOOKUP(E283,'Field Table'!A$2:E$661,5,FALSE)</f>
        <v>01</v>
      </c>
    </row>
    <row r="284" spans="1:8" ht="12" customHeight="1" x14ac:dyDescent="0.25">
      <c r="A284" s="3" t="s">
        <v>284</v>
      </c>
      <c r="B284" s="3" t="str">
        <f>RIGHT(A284, LEN(A284)-21)</f>
        <v>2775-14</v>
      </c>
      <c r="C284" s="4">
        <v>0.31625999999999999</v>
      </c>
      <c r="D284" s="5">
        <v>46.948999999999998</v>
      </c>
      <c r="E284">
        <f>VLOOKUP(B284,'CEBAS-DEWOOD code'!A$2:B$302,2,FALSE)</f>
        <v>1058</v>
      </c>
      <c r="F284" s="7" t="str">
        <f>VLOOKUP(E284,'Field Table'!A$2:E$661,3,FALSE)</f>
        <v>FS</v>
      </c>
      <c r="G284" s="7" t="str">
        <f>VLOOKUP(E284,'Field Table'!A$2:E$661,4,FALSE)</f>
        <v>1</v>
      </c>
      <c r="H284" s="7" t="str">
        <f>VLOOKUP(E284,'Field Table'!A$2:E$661,5,FALSE)</f>
        <v>01</v>
      </c>
    </row>
    <row r="285" spans="1:8" ht="12" customHeight="1" x14ac:dyDescent="0.25">
      <c r="A285" s="3" t="s">
        <v>285</v>
      </c>
      <c r="B285" s="3" t="str">
        <f>RIGHT(A285, LEN(A285)-21)</f>
        <v>2775-15</v>
      </c>
      <c r="C285" s="4">
        <v>0.15501999999999999</v>
      </c>
      <c r="D285" s="5">
        <v>48.52</v>
      </c>
      <c r="E285">
        <f>VLOOKUP(B285,'CEBAS-DEWOOD code'!A$2:B$302,2,FALSE)</f>
        <v>152</v>
      </c>
      <c r="F285" s="7" t="str">
        <f>VLOOKUP(E285,'Field Table'!A$2:E$661,3,FALSE)</f>
        <v>AA</v>
      </c>
      <c r="G285" s="7" t="str">
        <f>VLOOKUP(E285,'Field Table'!A$2:E$661,4,FALSE)</f>
        <v>1</v>
      </c>
      <c r="H285" s="7" t="str">
        <f>VLOOKUP(E285,'Field Table'!A$2:E$661,5,FALSE)</f>
        <v>10</v>
      </c>
    </row>
    <row r="286" spans="1:8" ht="12" customHeight="1" x14ac:dyDescent="0.25">
      <c r="A286" s="3" t="s">
        <v>286</v>
      </c>
      <c r="B286" s="3" t="str">
        <f>RIGHT(A286, LEN(A286)-21)</f>
        <v>2775-16</v>
      </c>
      <c r="C286" s="4">
        <v>0.27196999999999999</v>
      </c>
      <c r="D286" s="5">
        <v>48.411999999999999</v>
      </c>
      <c r="E286">
        <f>VLOOKUP(B286,'CEBAS-DEWOOD code'!A$2:B$302,2,FALSE)</f>
        <v>1025</v>
      </c>
      <c r="F286" s="7" t="str">
        <f>VLOOKUP(E286,'Field Table'!A$2:E$661,3,FALSE)</f>
        <v>AA</v>
      </c>
      <c r="G286" s="7" t="str">
        <f>VLOOKUP(E286,'Field Table'!A$2:E$661,4,FALSE)</f>
        <v>1</v>
      </c>
      <c r="H286" s="7" t="str">
        <f>VLOOKUP(E286,'Field Table'!A$2:E$661,5,FALSE)</f>
        <v>01</v>
      </c>
    </row>
    <row r="287" spans="1:8" ht="12" customHeight="1" x14ac:dyDescent="0.25">
      <c r="A287" s="3" t="s">
        <v>287</v>
      </c>
      <c r="B287" s="3" t="str">
        <f>RIGHT(A287, LEN(A287)-21)</f>
        <v>2775-17</v>
      </c>
      <c r="C287" s="4">
        <v>0.12486999999999999</v>
      </c>
      <c r="D287" s="5">
        <v>48.177</v>
      </c>
      <c r="E287">
        <f>VLOOKUP(B287,'CEBAS-DEWOOD code'!A$2:B$302,2,FALSE)</f>
        <v>331</v>
      </c>
      <c r="F287" s="7" t="str">
        <f>VLOOKUP(E287,'Field Table'!A$2:E$661,3,FALSE)</f>
        <v>AA</v>
      </c>
      <c r="G287" s="7" t="str">
        <f>VLOOKUP(E287,'Field Table'!A$2:E$661,4,FALSE)</f>
        <v>1</v>
      </c>
      <c r="H287" s="7" t="str">
        <f>VLOOKUP(E287,'Field Table'!A$2:E$661,5,FALSE)</f>
        <v>10</v>
      </c>
    </row>
    <row r="288" spans="1:8" ht="12" customHeight="1" x14ac:dyDescent="0.25">
      <c r="A288" s="3" t="s">
        <v>288</v>
      </c>
      <c r="B288" s="3" t="str">
        <f>RIGHT(A288, LEN(A288)-21)</f>
        <v>2775-18</v>
      </c>
      <c r="C288" s="4">
        <v>8.1009999999999999E-2</v>
      </c>
      <c r="D288" s="5">
        <v>47.357999999999997</v>
      </c>
      <c r="E288">
        <f>VLOOKUP(B288,'CEBAS-DEWOOD code'!A$2:B$302,2,FALSE)</f>
        <v>348</v>
      </c>
      <c r="F288" s="7" t="str">
        <f>VLOOKUP(E288,'Field Table'!A$2:E$661,3,FALSE)</f>
        <v>AA</v>
      </c>
      <c r="G288" s="7" t="str">
        <f>VLOOKUP(E288,'Field Table'!A$2:E$661,4,FALSE)</f>
        <v>1</v>
      </c>
      <c r="H288" s="7" t="str">
        <f>VLOOKUP(E288,'Field Table'!A$2:E$661,5,FALSE)</f>
        <v>10</v>
      </c>
    </row>
    <row r="289" spans="1:8" ht="12" customHeight="1" x14ac:dyDescent="0.25">
      <c r="A289" s="3" t="s">
        <v>289</v>
      </c>
      <c r="B289" s="3" t="str">
        <f>RIGHT(A289, LEN(A289)-21)</f>
        <v>2775-19</v>
      </c>
      <c r="C289" s="4">
        <v>0.16067000000000001</v>
      </c>
      <c r="D289" s="5">
        <v>45.962000000000003</v>
      </c>
      <c r="E289">
        <f>VLOOKUP(B289,'CEBAS-DEWOOD code'!A$2:B$302,2,FALSE)</f>
        <v>390</v>
      </c>
      <c r="F289" s="7" t="str">
        <f>VLOOKUP(E289,'Field Table'!A$2:E$661,3,FALSE)</f>
        <v>FS</v>
      </c>
      <c r="G289" s="7" t="str">
        <f>VLOOKUP(E289,'Field Table'!A$2:E$661,4,FALSE)</f>
        <v>1</v>
      </c>
      <c r="H289" s="7" t="str">
        <f>VLOOKUP(E289,'Field Table'!A$2:E$661,5,FALSE)</f>
        <v>10</v>
      </c>
    </row>
    <row r="290" spans="1:8" ht="12" customHeight="1" x14ac:dyDescent="0.25">
      <c r="A290" s="3" t="s">
        <v>290</v>
      </c>
      <c r="B290" s="3" t="str">
        <f>RIGHT(A290, LEN(A290)-21)</f>
        <v>2775-20</v>
      </c>
      <c r="C290" s="4">
        <v>0.42693999999999999</v>
      </c>
      <c r="D290" s="5">
        <v>47.003</v>
      </c>
      <c r="E290">
        <f>VLOOKUP(B290,'CEBAS-DEWOOD code'!A$2:B$302,2,FALSE)</f>
        <v>1066</v>
      </c>
      <c r="F290" s="7" t="str">
        <f>VLOOKUP(E290,'Field Table'!A$2:E$661,3,FALSE)</f>
        <v>FS</v>
      </c>
      <c r="G290" s="7" t="str">
        <f>VLOOKUP(E290,'Field Table'!A$2:E$661,4,FALSE)</f>
        <v>4</v>
      </c>
      <c r="H290" s="7" t="str">
        <f>VLOOKUP(E290,'Field Table'!A$2:E$661,5,FALSE)</f>
        <v>01</v>
      </c>
    </row>
    <row r="291" spans="1:8" ht="12" customHeight="1" x14ac:dyDescent="0.25">
      <c r="A291" s="3" t="s">
        <v>291</v>
      </c>
      <c r="B291" s="3" t="str">
        <f>RIGHT(A291, LEN(A291)-21)</f>
        <v>2775-21</v>
      </c>
      <c r="C291" s="4">
        <v>0.13905000000000001</v>
      </c>
      <c r="D291" s="5">
        <v>46.381</v>
      </c>
      <c r="E291">
        <f>VLOOKUP(B291,'CEBAS-DEWOOD code'!A$2:B$302,2,FALSE)</f>
        <v>337</v>
      </c>
      <c r="F291" s="7" t="str">
        <f>VLOOKUP(E291,'Field Table'!A$2:E$661,3,FALSE)</f>
        <v>FS</v>
      </c>
      <c r="G291" s="7" t="str">
        <f>VLOOKUP(E291,'Field Table'!A$2:E$661,4,FALSE)</f>
        <v>1</v>
      </c>
      <c r="H291" s="7" t="str">
        <f>VLOOKUP(E291,'Field Table'!A$2:E$661,5,FALSE)</f>
        <v>10</v>
      </c>
    </row>
    <row r="292" spans="1:8" ht="12" customHeight="1" x14ac:dyDescent="0.25">
      <c r="A292" s="3" t="s">
        <v>292</v>
      </c>
      <c r="B292" s="3" t="str">
        <f>RIGHT(A292, LEN(A292)-21)</f>
        <v>2775-22</v>
      </c>
      <c r="C292" s="4">
        <v>0.12867999999999999</v>
      </c>
      <c r="D292" s="5">
        <v>48.048000000000002</v>
      </c>
      <c r="E292" t="e">
        <f>VLOOKUP(B292,'CEBAS-DEWOOD code'!A$2:B$302,2,FALSE)</f>
        <v>#N/A</v>
      </c>
      <c r="F292" s="7" t="e">
        <f>VLOOKUP(E292,'Field Table'!A$2:E$661,3,FALSE)</f>
        <v>#N/A</v>
      </c>
      <c r="G292" s="7" t="e">
        <f>VLOOKUP(E292,'Field Table'!A$2:E$661,4,FALSE)</f>
        <v>#N/A</v>
      </c>
      <c r="H292" s="7" t="e">
        <f>VLOOKUP(E292,'Field Table'!A$2:E$661,5,FALSE)</f>
        <v>#N/A</v>
      </c>
    </row>
    <row r="293" spans="1:8" ht="12" customHeight="1" x14ac:dyDescent="0.25">
      <c r="A293" s="3" t="s">
        <v>293</v>
      </c>
      <c r="B293" s="3" t="str">
        <f>RIGHT(A293, LEN(A293)-21)</f>
        <v>2775-23</v>
      </c>
      <c r="C293" s="4">
        <v>0.27137</v>
      </c>
      <c r="D293" s="5">
        <v>48.628999999999998</v>
      </c>
      <c r="E293">
        <f>VLOOKUP(B293,'CEBAS-DEWOOD code'!A$2:B$302,2,FALSE)</f>
        <v>1015</v>
      </c>
      <c r="F293" s="7" t="str">
        <f>VLOOKUP(E293,'Field Table'!A$2:E$661,3,FALSE)</f>
        <v>AA</v>
      </c>
      <c r="G293" s="7" t="str">
        <f>VLOOKUP(E293,'Field Table'!A$2:E$661,4,FALSE)</f>
        <v>4</v>
      </c>
      <c r="H293" s="7" t="str">
        <f>VLOOKUP(E293,'Field Table'!A$2:E$661,5,FALSE)</f>
        <v>01</v>
      </c>
    </row>
    <row r="294" spans="1:8" ht="12" customHeight="1" x14ac:dyDescent="0.25">
      <c r="A294" s="3" t="s">
        <v>294</v>
      </c>
      <c r="B294" s="3" t="str">
        <f>RIGHT(A294, LEN(A294)-21)</f>
        <v>2775-24</v>
      </c>
      <c r="C294" s="4">
        <v>0.24762000000000001</v>
      </c>
      <c r="D294" s="5">
        <v>47.838999999999999</v>
      </c>
      <c r="E294">
        <f>VLOOKUP(B294,'CEBAS-DEWOOD code'!A$2:B$302,2,FALSE)</f>
        <v>42</v>
      </c>
      <c r="F294" s="7" t="str">
        <f>VLOOKUP(E294,'Field Table'!A$2:E$661,3,FALSE)</f>
        <v>FS</v>
      </c>
      <c r="G294" s="7" t="str">
        <f>VLOOKUP(E294,'Field Table'!A$2:E$661,4,FALSE)</f>
        <v>4</v>
      </c>
      <c r="H294" s="7" t="str">
        <f>VLOOKUP(E294,'Field Table'!A$2:E$661,5,FALSE)</f>
        <v>25</v>
      </c>
    </row>
    <row r="295" spans="1:8" ht="12" customHeight="1" x14ac:dyDescent="0.25">
      <c r="A295" s="3" t="s">
        <v>295</v>
      </c>
      <c r="B295" s="3" t="str">
        <f>RIGHT(A295, LEN(A295)-21)</f>
        <v>2775-25</v>
      </c>
      <c r="C295" s="4">
        <v>0.13708999999999999</v>
      </c>
      <c r="D295" s="5">
        <v>46.838000000000001</v>
      </c>
      <c r="E295">
        <f>VLOOKUP(B295,'CEBAS-DEWOOD code'!A$2:B$302,2,FALSE)</f>
        <v>336</v>
      </c>
      <c r="F295" s="7" t="str">
        <f>VLOOKUP(E295,'Field Table'!A$2:E$661,3,FALSE)</f>
        <v>FS</v>
      </c>
      <c r="G295" s="7" t="str">
        <f>VLOOKUP(E295,'Field Table'!A$2:E$661,4,FALSE)</f>
        <v>1</v>
      </c>
      <c r="H295" s="7" t="str">
        <f>VLOOKUP(E295,'Field Table'!A$2:E$661,5,FALSE)</f>
        <v>10</v>
      </c>
    </row>
    <row r="296" spans="1:8" ht="12" customHeight="1" x14ac:dyDescent="0.25">
      <c r="A296" s="3" t="s">
        <v>296</v>
      </c>
      <c r="B296" s="3" t="str">
        <f>RIGHT(A296, LEN(A296)-21)</f>
        <v>2775-26</v>
      </c>
      <c r="C296" s="4">
        <v>0.22078999999999999</v>
      </c>
      <c r="D296" s="5">
        <v>48.497999999999998</v>
      </c>
      <c r="E296">
        <f>VLOOKUP(B296,'CEBAS-DEWOOD code'!A$2:B$302,2,FALSE)</f>
        <v>1062</v>
      </c>
      <c r="F296" s="7" t="str">
        <f>VLOOKUP(E296,'Field Table'!A$2:E$661,3,FALSE)</f>
        <v>AA</v>
      </c>
      <c r="G296" s="7" t="str">
        <f>VLOOKUP(E296,'Field Table'!A$2:E$661,4,FALSE)</f>
        <v>2</v>
      </c>
      <c r="H296" s="7" t="str">
        <f>VLOOKUP(E296,'Field Table'!A$2:E$661,5,FALSE)</f>
        <v>01</v>
      </c>
    </row>
    <row r="297" spans="1:8" ht="12" customHeight="1" x14ac:dyDescent="0.25">
      <c r="A297" s="3" t="s">
        <v>297</v>
      </c>
      <c r="B297" s="3" t="str">
        <f>RIGHT(A297, LEN(A297)-21)</f>
        <v>2775-27</v>
      </c>
      <c r="C297" s="4">
        <v>0.11812</v>
      </c>
      <c r="D297" s="5">
        <v>48.472000000000001</v>
      </c>
      <c r="E297" t="e">
        <f>VLOOKUP(B297,'CEBAS-DEWOOD code'!A$2:B$302,2,FALSE)</f>
        <v>#N/A</v>
      </c>
      <c r="F297" s="7" t="e">
        <f>VLOOKUP(E297,'Field Table'!A$2:E$661,3,FALSE)</f>
        <v>#N/A</v>
      </c>
      <c r="G297" s="7" t="e">
        <f>VLOOKUP(E297,'Field Table'!A$2:E$661,4,FALSE)</f>
        <v>#N/A</v>
      </c>
      <c r="H297" s="7" t="e">
        <f>VLOOKUP(E297,'Field Table'!A$2:E$661,5,FALSE)</f>
        <v>#N/A</v>
      </c>
    </row>
    <row r="298" spans="1:8" ht="12" customHeight="1" x14ac:dyDescent="0.25">
      <c r="A298" s="3" t="s">
        <v>298</v>
      </c>
      <c r="B298" s="3" t="str">
        <f>RIGHT(A298, LEN(A298)-21)</f>
        <v>2775-28</v>
      </c>
      <c r="C298" s="4">
        <v>0.16517000000000001</v>
      </c>
      <c r="D298" s="5">
        <v>46.637999999999998</v>
      </c>
      <c r="E298">
        <f>VLOOKUP(B298,'CEBAS-DEWOOD code'!A$2:B$302,2,FALSE)</f>
        <v>130</v>
      </c>
      <c r="F298" s="7" t="str">
        <f>VLOOKUP(E298,'Field Table'!A$2:E$661,3,FALSE)</f>
        <v>FS</v>
      </c>
      <c r="G298" s="7" t="str">
        <f>VLOOKUP(E298,'Field Table'!A$2:E$661,4,FALSE)</f>
        <v>1</v>
      </c>
      <c r="H298" s="7" t="str">
        <f>VLOOKUP(E298,'Field Table'!A$2:E$661,5,FALSE)</f>
        <v>10</v>
      </c>
    </row>
    <row r="299" spans="1:8" ht="12" customHeight="1" x14ac:dyDescent="0.25">
      <c r="A299" s="3" t="s">
        <v>299</v>
      </c>
      <c r="B299" s="3" t="str">
        <f>RIGHT(A299, LEN(A299)-21)</f>
        <v>2775-29</v>
      </c>
      <c r="C299" s="4">
        <v>0.20347000000000001</v>
      </c>
      <c r="D299" s="5">
        <v>46.350999999999999</v>
      </c>
      <c r="E299">
        <f>VLOOKUP(B299,'CEBAS-DEWOOD code'!A$2:B$302,2,FALSE)</f>
        <v>329</v>
      </c>
      <c r="F299" s="7" t="str">
        <f>VLOOKUP(E299,'Field Table'!A$2:E$661,3,FALSE)</f>
        <v>FS</v>
      </c>
      <c r="G299" s="7" t="str">
        <f>VLOOKUP(E299,'Field Table'!A$2:E$661,4,FALSE)</f>
        <v>4</v>
      </c>
      <c r="H299" s="7" t="str">
        <f>VLOOKUP(E299,'Field Table'!A$2:E$661,5,FALSE)</f>
        <v>25</v>
      </c>
    </row>
    <row r="300" spans="1:8" ht="12" customHeight="1" x14ac:dyDescent="0.25">
      <c r="A300" s="3" t="s">
        <v>300</v>
      </c>
      <c r="B300" s="3" t="str">
        <f>RIGHT(A300, LEN(A300)-21)</f>
        <v>2775-30</v>
      </c>
      <c r="C300" s="4">
        <v>9.9849999999999994E-2</v>
      </c>
      <c r="D300" s="5">
        <v>47.677</v>
      </c>
      <c r="E300">
        <f>VLOOKUP(B300,'CEBAS-DEWOOD code'!A$2:B$302,2,FALSE)</f>
        <v>170</v>
      </c>
      <c r="F300" s="7" t="str">
        <f>VLOOKUP(E300,'Field Table'!A$2:E$661,3,FALSE)</f>
        <v>AA</v>
      </c>
      <c r="G300" s="7" t="str">
        <f>VLOOKUP(E300,'Field Table'!A$2:E$661,4,FALSE)</f>
        <v>1</v>
      </c>
      <c r="H300" s="7" t="str">
        <f>VLOOKUP(E300,'Field Table'!A$2:E$661,5,FALSE)</f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AFA6-CB6A-438F-B573-6E75C4C97EEE}">
  <dimension ref="A1:AK300"/>
  <sheetViews>
    <sheetView workbookViewId="0">
      <selection activeCell="C53" sqref="C53"/>
    </sheetView>
  </sheetViews>
  <sheetFormatPr defaultRowHeight="15" x14ac:dyDescent="0.25"/>
  <cols>
    <col min="1" max="1" width="16" style="15" bestFit="1" customWidth="1"/>
    <col min="2" max="6" width="16" style="15" customWidth="1"/>
    <col min="7" max="16384" width="9.140625" style="8"/>
  </cols>
  <sheetData>
    <row r="1" spans="1:37" x14ac:dyDescent="0.25">
      <c r="A1" s="6" t="s">
        <v>1599</v>
      </c>
      <c r="B1" s="16" t="s">
        <v>632</v>
      </c>
      <c r="C1" s="16" t="s">
        <v>1598</v>
      </c>
      <c r="D1" s="16" t="s">
        <v>935</v>
      </c>
      <c r="E1" s="16" t="s">
        <v>1296</v>
      </c>
      <c r="F1" s="16" t="s">
        <v>1297</v>
      </c>
      <c r="G1" s="9" t="s">
        <v>301</v>
      </c>
      <c r="H1" s="9" t="s">
        <v>302</v>
      </c>
      <c r="I1" s="9" t="s">
        <v>303</v>
      </c>
      <c r="J1" s="9" t="s">
        <v>304</v>
      </c>
      <c r="K1" s="9" t="s">
        <v>305</v>
      </c>
      <c r="L1" s="9" t="s">
        <v>306</v>
      </c>
      <c r="M1" s="9" t="s">
        <v>307</v>
      </c>
      <c r="N1" s="9" t="s">
        <v>308</v>
      </c>
      <c r="O1" s="9" t="s">
        <v>309</v>
      </c>
      <c r="P1" s="9" t="s">
        <v>310</v>
      </c>
      <c r="Q1" s="9" t="s">
        <v>311</v>
      </c>
      <c r="R1" s="9" t="s">
        <v>312</v>
      </c>
      <c r="S1" s="9" t="s">
        <v>313</v>
      </c>
      <c r="T1" s="9" t="s">
        <v>314</v>
      </c>
      <c r="U1" s="9" t="s">
        <v>315</v>
      </c>
      <c r="V1" s="9" t="s">
        <v>316</v>
      </c>
      <c r="W1" s="9" t="s">
        <v>317</v>
      </c>
      <c r="X1" s="9" t="s">
        <v>318</v>
      </c>
      <c r="Y1" s="10" t="s">
        <v>319</v>
      </c>
      <c r="Z1" s="9" t="s">
        <v>320</v>
      </c>
      <c r="AA1" s="10" t="s">
        <v>321</v>
      </c>
      <c r="AB1" s="10" t="s">
        <v>322</v>
      </c>
      <c r="AC1" s="10" t="s">
        <v>323</v>
      </c>
      <c r="AD1" s="10" t="s">
        <v>324</v>
      </c>
      <c r="AE1" s="10" t="s">
        <v>325</v>
      </c>
      <c r="AF1" s="10" t="s">
        <v>326</v>
      </c>
      <c r="AG1" s="10" t="s">
        <v>327</v>
      </c>
      <c r="AH1" s="10" t="s">
        <v>328</v>
      </c>
      <c r="AI1" s="10" t="s">
        <v>329</v>
      </c>
      <c r="AJ1" s="10" t="s">
        <v>330</v>
      </c>
      <c r="AK1" s="10" t="s">
        <v>331</v>
      </c>
    </row>
    <row r="2" spans="1:37" x14ac:dyDescent="0.25">
      <c r="A2" s="7" t="s">
        <v>332</v>
      </c>
      <c r="B2" s="7" t="str">
        <f>RIGHT(A2, LEN(A2)-7)</f>
        <v>2768-1</v>
      </c>
      <c r="C2" s="7">
        <f>VLOOKUP(B2,'CEBAS-DEWOOD code'!A$2:B$302,2,FALSE)</f>
        <v>114</v>
      </c>
      <c r="D2" s="7" t="str">
        <f>VLOOKUP(IONOMICS!C2,'Field Table'!A$2:E$661,3,FALSE)</f>
        <v>FS</v>
      </c>
      <c r="E2" s="7" t="str">
        <f>VLOOKUP(IONOMICS!C2,'Field Table'!A$2:E$661,4,FALSE)</f>
        <v>4</v>
      </c>
      <c r="F2" s="7" t="str">
        <f>VLOOKUP(IONOMICS!C2,'Field Table'!A$2:E$661,5,FALSE)</f>
        <v>25</v>
      </c>
      <c r="G2" s="11">
        <v>71.41173950299914</v>
      </c>
      <c r="H2" s="12" t="s">
        <v>333</v>
      </c>
      <c r="I2" s="12" t="s">
        <v>333</v>
      </c>
      <c r="J2" s="12" t="s">
        <v>333</v>
      </c>
      <c r="K2" s="12" t="s">
        <v>333</v>
      </c>
      <c r="L2" s="11">
        <v>0.69837189374464448</v>
      </c>
      <c r="M2" s="11">
        <v>0.13924592973436162</v>
      </c>
      <c r="N2" s="12">
        <v>9.6401028277634956E-2</v>
      </c>
      <c r="O2" s="12">
        <v>0.22493573264781491</v>
      </c>
      <c r="P2" s="12">
        <v>2.7634961439588692</v>
      </c>
      <c r="Q2" s="12">
        <v>40.949014567266495</v>
      </c>
      <c r="R2" s="12">
        <v>0.12350042844901457</v>
      </c>
      <c r="S2" s="12" t="s">
        <v>333</v>
      </c>
      <c r="T2" s="12">
        <v>0.33204798628963156</v>
      </c>
      <c r="U2" s="12">
        <v>6.2907026563838911E-2</v>
      </c>
      <c r="V2" s="12">
        <v>262.31790916880891</v>
      </c>
      <c r="W2" s="12" t="s">
        <v>333</v>
      </c>
      <c r="X2" s="13">
        <v>2.6563838903170523E-3</v>
      </c>
      <c r="Y2" s="12">
        <v>2.3671808054841472</v>
      </c>
      <c r="Z2" s="12">
        <v>0.53556126820908312</v>
      </c>
      <c r="AA2" s="13">
        <v>2.0019280205655528E-2</v>
      </c>
      <c r="AB2" s="12">
        <v>1.8958868894601544</v>
      </c>
      <c r="AC2" s="12" t="s">
        <v>333</v>
      </c>
      <c r="AD2" s="12" t="s">
        <v>333</v>
      </c>
      <c r="AE2" s="12">
        <v>133.67609254498714</v>
      </c>
      <c r="AF2" s="14">
        <v>3.1533847472150815E-2</v>
      </c>
      <c r="AG2" s="12">
        <v>42.223650385604117</v>
      </c>
      <c r="AH2" s="12">
        <v>2.4207369323050556</v>
      </c>
      <c r="AI2" s="12">
        <v>2.3993144815766922</v>
      </c>
      <c r="AJ2" s="12" t="s">
        <v>333</v>
      </c>
      <c r="AK2" s="12">
        <v>8.1726649528706101</v>
      </c>
    </row>
    <row r="3" spans="1:37" x14ac:dyDescent="0.25">
      <c r="A3" s="7" t="s">
        <v>334</v>
      </c>
      <c r="B3" s="7" t="str">
        <f t="shared" ref="B3:B66" si="0">RIGHT(A3, LEN(A3)-7)</f>
        <v>2768-2</v>
      </c>
      <c r="C3" s="7">
        <f>VLOOKUP(B3,'CEBAS-DEWOOD code'!A$2:B$302,2,FALSE)</f>
        <v>364</v>
      </c>
      <c r="D3" s="7" t="str">
        <f>VLOOKUP(IONOMICS!C3,'Field Table'!A$2:E$661,3,FALSE)</f>
        <v>FS</v>
      </c>
      <c r="E3" s="7" t="str">
        <f>VLOOKUP(IONOMICS!C3,'Field Table'!A$2:E$661,4,FALSE)</f>
        <v>2</v>
      </c>
      <c r="F3" s="7" t="str">
        <f>VLOOKUP(IONOMICS!C3,'Field Table'!A$2:E$661,5,FALSE)</f>
        <v>25</v>
      </c>
      <c r="G3" s="11">
        <v>4.3090638930163445</v>
      </c>
      <c r="H3" s="12" t="s">
        <v>333</v>
      </c>
      <c r="I3" s="12" t="s">
        <v>333</v>
      </c>
      <c r="J3" s="12" t="s">
        <v>333</v>
      </c>
      <c r="K3" s="12" t="s">
        <v>333</v>
      </c>
      <c r="L3" s="11">
        <v>9.3722139673105512E-2</v>
      </c>
      <c r="M3" s="11">
        <v>6.1911837543338288E-2</v>
      </c>
      <c r="N3" s="12">
        <v>3.7147102526002972E-2</v>
      </c>
      <c r="O3" s="12">
        <v>4.9529470034670633E-2</v>
      </c>
      <c r="P3" s="12">
        <v>1.1267954432887568</v>
      </c>
      <c r="Q3" s="12">
        <v>7.3055968301139176</v>
      </c>
      <c r="R3" s="12">
        <v>0.14945517582961862</v>
      </c>
      <c r="S3" s="12" t="s">
        <v>333</v>
      </c>
      <c r="T3" s="12">
        <v>0.29717682020802377</v>
      </c>
      <c r="U3" s="12">
        <v>3.1500742942050519E-2</v>
      </c>
      <c r="V3" s="12">
        <v>47.201584943041105</v>
      </c>
      <c r="W3" s="12" t="s">
        <v>333</v>
      </c>
      <c r="X3" s="13">
        <v>3.0708271421495793E-4</v>
      </c>
      <c r="Y3" s="12">
        <v>0.44576523031203563</v>
      </c>
      <c r="Z3" s="12">
        <v>0.14858841010401189</v>
      </c>
      <c r="AA3" s="13">
        <v>8.2305596830113924E-3</v>
      </c>
      <c r="AB3" s="12">
        <v>5.2996532937097562</v>
      </c>
      <c r="AC3" s="12" t="s">
        <v>333</v>
      </c>
      <c r="AD3" s="12" t="s">
        <v>333</v>
      </c>
      <c r="AE3" s="12">
        <v>12.506191183754336</v>
      </c>
      <c r="AF3" s="14">
        <v>1.2275879148093114E-2</v>
      </c>
      <c r="AG3" s="12">
        <v>8.556215948489351</v>
      </c>
      <c r="AH3" s="12">
        <v>0.4581475978207033</v>
      </c>
      <c r="AI3" s="12" t="s">
        <v>333</v>
      </c>
      <c r="AJ3" s="12" t="s">
        <v>333</v>
      </c>
      <c r="AK3" s="12">
        <v>2.8107974244675584</v>
      </c>
    </row>
    <row r="4" spans="1:37" x14ac:dyDescent="0.25">
      <c r="A4" s="7" t="s">
        <v>335</v>
      </c>
      <c r="B4" s="7" t="str">
        <f t="shared" si="0"/>
        <v>2768-3</v>
      </c>
      <c r="C4" s="7">
        <f>VLOOKUP(B4,'CEBAS-DEWOOD code'!A$2:B$302,2,FALSE)</f>
        <v>37</v>
      </c>
      <c r="D4" s="7" t="str">
        <f>VLOOKUP(IONOMICS!C4,'Field Table'!A$2:E$661,3,FALSE)</f>
        <v>AA</v>
      </c>
      <c r="E4" s="7" t="str">
        <f>VLOOKUP(IONOMICS!C4,'Field Table'!A$2:E$661,4,FALSE)</f>
        <v>1</v>
      </c>
      <c r="F4" s="7" t="str">
        <f>VLOOKUP(IONOMICS!C4,'Field Table'!A$2:E$661,5,FALSE)</f>
        <v>25</v>
      </c>
      <c r="G4" s="11">
        <v>18.125298900047827</v>
      </c>
      <c r="H4" s="12">
        <v>0.10760401721664274</v>
      </c>
      <c r="I4" s="12" t="s">
        <v>333</v>
      </c>
      <c r="J4" s="12" t="s">
        <v>333</v>
      </c>
      <c r="K4" s="12" t="s">
        <v>333</v>
      </c>
      <c r="L4" s="11">
        <v>6.3928742228598762E-2</v>
      </c>
      <c r="M4" s="11">
        <v>7.1736011477761832E-2</v>
      </c>
      <c r="N4" s="12">
        <v>3.5868005738880916E-2</v>
      </c>
      <c r="O4" s="12" t="s">
        <v>333</v>
      </c>
      <c r="P4" s="12">
        <v>1.8292682926829269</v>
      </c>
      <c r="Q4" s="12">
        <v>5.4280248684839787</v>
      </c>
      <c r="R4" s="12">
        <v>0.14395026303204206</v>
      </c>
      <c r="S4" s="12" t="s">
        <v>333</v>
      </c>
      <c r="T4" s="12">
        <v>0.10760401721664274</v>
      </c>
      <c r="U4" s="12">
        <v>1.4155906264945001E-2</v>
      </c>
      <c r="V4" s="12">
        <v>30.547584887613581</v>
      </c>
      <c r="W4" s="12" t="s">
        <v>333</v>
      </c>
      <c r="X4" s="13" t="s">
        <v>333</v>
      </c>
      <c r="Y4" s="12">
        <v>0.17934002869440457</v>
      </c>
      <c r="Z4" s="12">
        <v>0.38259206121472977</v>
      </c>
      <c r="AA4" s="13">
        <v>1.8173122907699664E-3</v>
      </c>
      <c r="AB4" s="12">
        <v>3.3118125298900045</v>
      </c>
      <c r="AC4" s="12" t="s">
        <v>333</v>
      </c>
      <c r="AD4" s="12" t="s">
        <v>333</v>
      </c>
      <c r="AE4" s="12">
        <v>85.246293639406971</v>
      </c>
      <c r="AF4" s="14">
        <v>4.8995695839311329E-3</v>
      </c>
      <c r="AG4" s="12">
        <v>3.7183165949306547</v>
      </c>
      <c r="AH4" s="12">
        <v>1.6977522716403637</v>
      </c>
      <c r="AI4" s="12" t="s">
        <v>333</v>
      </c>
      <c r="AJ4" s="12" t="s">
        <v>333</v>
      </c>
      <c r="AK4" s="12">
        <v>3.8498326159732179</v>
      </c>
    </row>
    <row r="5" spans="1:37" x14ac:dyDescent="0.25">
      <c r="A5" s="7" t="s">
        <v>336</v>
      </c>
      <c r="B5" s="7" t="str">
        <f t="shared" si="0"/>
        <v>2768-4</v>
      </c>
      <c r="C5" s="7">
        <f>VLOOKUP(B5,'CEBAS-DEWOOD code'!A$2:B$302,2,FALSE)</f>
        <v>172</v>
      </c>
      <c r="D5" s="7" t="str">
        <f>VLOOKUP(IONOMICS!C5,'Field Table'!A$2:E$661,3,FALSE)</f>
        <v>AA</v>
      </c>
      <c r="E5" s="7" t="str">
        <f>VLOOKUP(IONOMICS!C5,'Field Table'!A$2:E$661,4,FALSE)</f>
        <v>4</v>
      </c>
      <c r="F5" s="7" t="str">
        <f>VLOOKUP(IONOMICS!C5,'Field Table'!A$2:E$661,5,FALSE)</f>
        <v>25</v>
      </c>
      <c r="G5" s="11">
        <v>14.12784767086025</v>
      </c>
      <c r="H5" s="12">
        <v>0.12750765045902754</v>
      </c>
      <c r="I5" s="12" t="s">
        <v>333</v>
      </c>
      <c r="J5" s="12" t="s">
        <v>333</v>
      </c>
      <c r="K5" s="12" t="s">
        <v>333</v>
      </c>
      <c r="L5" s="11">
        <v>0.12325739544372663</v>
      </c>
      <c r="M5" s="11">
        <v>0.16150969058143491</v>
      </c>
      <c r="N5" s="12" t="s">
        <v>333</v>
      </c>
      <c r="O5" s="12">
        <v>3.4002040122407345E-2</v>
      </c>
      <c r="P5" s="12">
        <v>2.932675960557634</v>
      </c>
      <c r="Q5" s="12">
        <v>3.7232233934036043</v>
      </c>
      <c r="R5" s="12">
        <v>0.15062903774226455</v>
      </c>
      <c r="S5" s="12" t="s">
        <v>333</v>
      </c>
      <c r="T5" s="12">
        <v>0.12750765045902754</v>
      </c>
      <c r="U5" s="12">
        <v>9.3250595035702152E-3</v>
      </c>
      <c r="V5" s="12">
        <v>31.196871812308743</v>
      </c>
      <c r="W5" s="12" t="s">
        <v>333</v>
      </c>
      <c r="X5" s="13">
        <v>5.73784427065624E-4</v>
      </c>
      <c r="Y5" s="12">
        <v>0.18701122067324041</v>
      </c>
      <c r="Z5" s="12">
        <v>0.41652499149949002</v>
      </c>
      <c r="AA5" s="13">
        <v>1.1832709962597758E-3</v>
      </c>
      <c r="AB5" s="12">
        <v>2.8646718803128191</v>
      </c>
      <c r="AC5" s="12" t="s">
        <v>333</v>
      </c>
      <c r="AD5" s="12" t="s">
        <v>333</v>
      </c>
      <c r="AE5" s="12">
        <v>11.203672220333221</v>
      </c>
      <c r="AF5" s="14">
        <v>7.6844610676640619E-3</v>
      </c>
      <c r="AG5" s="12">
        <v>8.7895273716422988</v>
      </c>
      <c r="AH5" s="12">
        <v>0.21251275076504592</v>
      </c>
      <c r="AI5" s="12" t="s">
        <v>333</v>
      </c>
      <c r="AJ5" s="12" t="s">
        <v>333</v>
      </c>
      <c r="AK5" s="12">
        <v>2.5246514790887455</v>
      </c>
    </row>
    <row r="6" spans="1:37" x14ac:dyDescent="0.25">
      <c r="A6" s="7" t="s">
        <v>337</v>
      </c>
      <c r="B6" s="7" t="str">
        <f t="shared" si="0"/>
        <v>2768-5</v>
      </c>
      <c r="C6" s="7">
        <f>VLOOKUP(B6,'CEBAS-DEWOOD code'!A$2:B$302,2,FALSE)</f>
        <v>192</v>
      </c>
      <c r="D6" s="7" t="str">
        <f>VLOOKUP(IONOMICS!C6,'Field Table'!A$2:E$661,3,FALSE)</f>
        <v>FS</v>
      </c>
      <c r="E6" s="7" t="str">
        <f>VLOOKUP(IONOMICS!C6,'Field Table'!A$2:E$661,4,FALSE)</f>
        <v>2</v>
      </c>
      <c r="F6" s="7" t="str">
        <f>VLOOKUP(IONOMICS!C6,'Field Table'!A$2:E$661,5,FALSE)</f>
        <v>10</v>
      </c>
      <c r="G6" s="11">
        <v>4.041666666666667</v>
      </c>
      <c r="H6" s="12">
        <v>2.0833333333333336E-2</v>
      </c>
      <c r="I6" s="12" t="s">
        <v>333</v>
      </c>
      <c r="J6" s="12" t="s">
        <v>333</v>
      </c>
      <c r="K6" s="12" t="s">
        <v>333</v>
      </c>
      <c r="L6" s="11">
        <v>0.19875000000000001</v>
      </c>
      <c r="M6" s="11">
        <v>6.25E-2</v>
      </c>
      <c r="N6" s="12">
        <v>2.0833333333333336E-2</v>
      </c>
      <c r="O6" s="12" t="s">
        <v>333</v>
      </c>
      <c r="P6" s="12">
        <v>1.2708333333333333</v>
      </c>
      <c r="Q6" s="12">
        <v>5.7708333333333339</v>
      </c>
      <c r="R6" s="12">
        <v>8.5041666666666668E-2</v>
      </c>
      <c r="S6" s="12" t="s">
        <v>333</v>
      </c>
      <c r="T6" s="12">
        <v>3.125E-2</v>
      </c>
      <c r="U6" s="12">
        <v>4.139583333333334E-2</v>
      </c>
      <c r="V6" s="12">
        <v>48.729166666666671</v>
      </c>
      <c r="W6" s="12" t="s">
        <v>333</v>
      </c>
      <c r="X6" s="13">
        <v>5.4062500000000009E-4</v>
      </c>
      <c r="Y6" s="12">
        <v>0.65625</v>
      </c>
      <c r="Z6" s="12">
        <v>9.375E-2</v>
      </c>
      <c r="AA6" s="13">
        <v>5.5812500000000011E-3</v>
      </c>
      <c r="AB6" s="12">
        <v>1.9687500000000002</v>
      </c>
      <c r="AC6" s="12" t="s">
        <v>333</v>
      </c>
      <c r="AD6" s="12" t="s">
        <v>333</v>
      </c>
      <c r="AE6" s="12">
        <v>52.260416666666671</v>
      </c>
      <c r="AF6" s="14">
        <v>1.0115625E-2</v>
      </c>
      <c r="AG6" s="12">
        <v>11.572916666666668</v>
      </c>
      <c r="AH6" s="12">
        <v>0.58333333333333326</v>
      </c>
      <c r="AI6" s="12" t="s">
        <v>333</v>
      </c>
      <c r="AJ6" s="12" t="s">
        <v>333</v>
      </c>
      <c r="AK6" s="12">
        <v>2.15625</v>
      </c>
    </row>
    <row r="7" spans="1:37" x14ac:dyDescent="0.25">
      <c r="A7" s="7" t="s">
        <v>338</v>
      </c>
      <c r="B7" s="7" t="str">
        <f t="shared" si="0"/>
        <v>2768-6</v>
      </c>
      <c r="C7" s="7" t="e">
        <f>VLOOKUP(B7,'CEBAS-DEWOOD code'!A$2:B$302,2,FALSE)</f>
        <v>#N/A</v>
      </c>
      <c r="D7" s="7" t="e">
        <f>VLOOKUP(IONOMICS!C7,'Field Table'!A$2:E$661,3,FALSE)</f>
        <v>#N/A</v>
      </c>
      <c r="E7" s="7" t="e">
        <f>VLOOKUP(IONOMICS!C7,'Field Table'!A$2:E$661,4,FALSE)</f>
        <v>#N/A</v>
      </c>
      <c r="F7" s="7" t="e">
        <f>VLOOKUP(IONOMICS!C7,'Field Table'!A$2:E$661,5,FALSE)</f>
        <v>#N/A</v>
      </c>
      <c r="G7" s="11">
        <v>18.069837189374461</v>
      </c>
      <c r="H7" s="12" t="s">
        <v>333</v>
      </c>
      <c r="I7" s="12" t="s">
        <v>333</v>
      </c>
      <c r="J7" s="12" t="s">
        <v>333</v>
      </c>
      <c r="K7" s="12" t="s">
        <v>333</v>
      </c>
      <c r="L7" s="11">
        <v>5.9811482433590406E-2</v>
      </c>
      <c r="M7" s="11">
        <v>0.12853470437017994</v>
      </c>
      <c r="N7" s="12" t="s">
        <v>333</v>
      </c>
      <c r="O7" s="12">
        <v>0.12853470437017994</v>
      </c>
      <c r="P7" s="12">
        <v>0.88903170522707797</v>
      </c>
      <c r="Q7" s="12">
        <v>7.797772065124251</v>
      </c>
      <c r="R7" s="12">
        <v>0.15756212510711226</v>
      </c>
      <c r="S7" s="12" t="s">
        <v>333</v>
      </c>
      <c r="T7" s="12">
        <v>0.17137960582690662</v>
      </c>
      <c r="U7" s="12">
        <v>1.3742502142245072E-2</v>
      </c>
      <c r="V7" s="12">
        <v>26.885175664095975</v>
      </c>
      <c r="W7" s="12" t="s">
        <v>333</v>
      </c>
      <c r="X7" s="13">
        <v>5.2806341045415585E-4</v>
      </c>
      <c r="Y7" s="12">
        <v>0.12853470437017994</v>
      </c>
      <c r="Z7" s="12">
        <v>0.10711225364181663</v>
      </c>
      <c r="AA7" s="13">
        <v>2.2814910025706942E-3</v>
      </c>
      <c r="AB7" s="12">
        <v>2.9241645244215939</v>
      </c>
      <c r="AC7" s="12" t="s">
        <v>333</v>
      </c>
      <c r="AD7" s="12" t="s">
        <v>333</v>
      </c>
      <c r="AE7" s="12">
        <v>19.194515852613538</v>
      </c>
      <c r="AF7" s="14">
        <v>5.4680805484147383E-3</v>
      </c>
      <c r="AG7" s="12">
        <v>4.0059982862039423</v>
      </c>
      <c r="AH7" s="12">
        <v>1.7566409597257928</v>
      </c>
      <c r="AI7" s="12" t="s">
        <v>333</v>
      </c>
      <c r="AJ7" s="12" t="s">
        <v>333</v>
      </c>
      <c r="AK7" s="12">
        <v>3.9417309340188513</v>
      </c>
    </row>
    <row r="8" spans="1:37" x14ac:dyDescent="0.25">
      <c r="A8" s="7" t="s">
        <v>339</v>
      </c>
      <c r="B8" s="7" t="str">
        <f t="shared" si="0"/>
        <v>2768-7</v>
      </c>
      <c r="C8" s="7">
        <f>VLOOKUP(B8,'CEBAS-DEWOOD code'!A$2:B$302,2,FALSE)</f>
        <v>1011</v>
      </c>
      <c r="D8" s="7" t="str">
        <f>VLOOKUP(IONOMICS!C8,'Field Table'!A$2:E$661,3,FALSE)</f>
        <v>FS</v>
      </c>
      <c r="E8" s="7" t="str">
        <f>VLOOKUP(IONOMICS!C8,'Field Table'!A$2:E$661,4,FALSE)</f>
        <v>2</v>
      </c>
      <c r="F8" s="7" t="str">
        <f>VLOOKUP(IONOMICS!C8,'Field Table'!A$2:E$661,5,FALSE)</f>
        <v>01</v>
      </c>
      <c r="G8" s="11">
        <v>14.707977207977207</v>
      </c>
      <c r="H8" s="12" t="s">
        <v>333</v>
      </c>
      <c r="I8" s="12" t="s">
        <v>333</v>
      </c>
      <c r="J8" s="12" t="s">
        <v>333</v>
      </c>
      <c r="K8" s="12" t="s">
        <v>333</v>
      </c>
      <c r="L8" s="11">
        <v>0.3378442545109212</v>
      </c>
      <c r="M8" s="11">
        <v>5.9354226020892686E-2</v>
      </c>
      <c r="N8" s="12" t="s">
        <v>333</v>
      </c>
      <c r="O8" s="12" t="s">
        <v>333</v>
      </c>
      <c r="P8" s="12">
        <v>2.4097815764482426</v>
      </c>
      <c r="Q8" s="12">
        <v>12.630579297245962</v>
      </c>
      <c r="R8" s="12">
        <v>0.11602564102564102</v>
      </c>
      <c r="S8" s="12" t="s">
        <v>333</v>
      </c>
      <c r="T8" s="12">
        <v>0.22554605887939219</v>
      </c>
      <c r="U8" s="12">
        <v>3.751187084520418E-2</v>
      </c>
      <c r="V8" s="12">
        <v>92.604463437796767</v>
      </c>
      <c r="W8" s="12" t="s">
        <v>333</v>
      </c>
      <c r="X8" s="13">
        <v>3.5137701804368476E-4</v>
      </c>
      <c r="Y8" s="12">
        <v>0.66476733143399802</v>
      </c>
      <c r="Z8" s="12">
        <v>0.93779677113010451</v>
      </c>
      <c r="AA8" s="13">
        <v>2.0880816714150045E-2</v>
      </c>
      <c r="AB8" s="12">
        <v>2.7065527065527069</v>
      </c>
      <c r="AC8" s="12" t="s">
        <v>333</v>
      </c>
      <c r="AD8" s="12" t="s">
        <v>333</v>
      </c>
      <c r="AE8" s="12">
        <v>392.33143399810064</v>
      </c>
      <c r="AF8" s="14">
        <v>2.1569325735992399E-2</v>
      </c>
      <c r="AG8" s="12">
        <v>20.785849952516621</v>
      </c>
      <c r="AH8" s="12">
        <v>0.8903133903133903</v>
      </c>
      <c r="AI8" s="12" t="s">
        <v>333</v>
      </c>
      <c r="AJ8" s="12" t="s">
        <v>333</v>
      </c>
      <c r="AK8" s="12">
        <v>5.8285849952516617</v>
      </c>
    </row>
    <row r="9" spans="1:37" x14ac:dyDescent="0.25">
      <c r="A9" s="7" t="s">
        <v>340</v>
      </c>
      <c r="B9" s="7" t="str">
        <f t="shared" si="0"/>
        <v>2768-8</v>
      </c>
      <c r="C9" s="7">
        <f>VLOOKUP(B9,'CEBAS-DEWOOD code'!A$2:B$302,2,FALSE)</f>
        <v>129</v>
      </c>
      <c r="D9" s="7" t="str">
        <f>VLOOKUP(IONOMICS!C9,'Field Table'!A$2:E$661,3,FALSE)</f>
        <v>AA</v>
      </c>
      <c r="E9" s="7" t="str">
        <f>VLOOKUP(IONOMICS!C9,'Field Table'!A$2:E$661,4,FALSE)</f>
        <v>4</v>
      </c>
      <c r="F9" s="7" t="str">
        <f>VLOOKUP(IONOMICS!C9,'Field Table'!A$2:E$661,5,FALSE)</f>
        <v>10</v>
      </c>
      <c r="G9" s="11">
        <v>15.119047619047617</v>
      </c>
      <c r="H9" s="12">
        <v>2.1645021645021644E-2</v>
      </c>
      <c r="I9" s="12" t="s">
        <v>333</v>
      </c>
      <c r="J9" s="12" t="s">
        <v>333</v>
      </c>
      <c r="K9" s="12" t="s">
        <v>333</v>
      </c>
      <c r="L9" s="11">
        <v>0.30941558441558437</v>
      </c>
      <c r="M9" s="11">
        <v>0.17316017316017315</v>
      </c>
      <c r="N9" s="12">
        <v>3.2467532467532464E-2</v>
      </c>
      <c r="O9" s="12">
        <v>0.4978354978354978</v>
      </c>
      <c r="P9" s="12">
        <v>1.3419913419913418</v>
      </c>
      <c r="Q9" s="12">
        <v>4.9675324675324681</v>
      </c>
      <c r="R9" s="12">
        <v>3.0984848484848483E-2</v>
      </c>
      <c r="S9" s="12" t="s">
        <v>333</v>
      </c>
      <c r="T9" s="12">
        <v>0.34632034632034631</v>
      </c>
      <c r="U9" s="12">
        <v>3.6406926406926401E-2</v>
      </c>
      <c r="V9" s="12">
        <v>78.625541125541133</v>
      </c>
      <c r="W9" s="12" t="s">
        <v>333</v>
      </c>
      <c r="X9" s="13">
        <v>5.1839826839826834E-4</v>
      </c>
      <c r="Y9" s="12">
        <v>6.4935064935064929E-2</v>
      </c>
      <c r="Z9" s="12">
        <v>0.59523809523809512</v>
      </c>
      <c r="AA9" s="13">
        <v>5.0000000000000001E-3</v>
      </c>
      <c r="AB9" s="12">
        <v>0.80086580086580084</v>
      </c>
      <c r="AC9" s="12" t="s">
        <v>333</v>
      </c>
      <c r="AD9" s="12" t="s">
        <v>333</v>
      </c>
      <c r="AE9" s="12">
        <v>20.800865800865804</v>
      </c>
      <c r="AF9" s="14">
        <v>1.3398268398268399E-2</v>
      </c>
      <c r="AG9" s="12">
        <v>16.980519480519479</v>
      </c>
      <c r="AH9" s="12">
        <v>1.0389610389610389</v>
      </c>
      <c r="AI9" s="12" t="s">
        <v>333</v>
      </c>
      <c r="AJ9" s="12" t="s">
        <v>333</v>
      </c>
      <c r="AK9" s="12">
        <v>8.8744588744588757</v>
      </c>
    </row>
    <row r="10" spans="1:37" x14ac:dyDescent="0.25">
      <c r="A10" s="7" t="s">
        <v>341</v>
      </c>
      <c r="B10" s="7" t="str">
        <f t="shared" si="0"/>
        <v>2768-9</v>
      </c>
      <c r="C10" s="7">
        <f>VLOOKUP(B10,'CEBAS-DEWOOD code'!A$2:B$302,2,FALSE)</f>
        <v>137</v>
      </c>
      <c r="D10" s="7" t="str">
        <f>VLOOKUP(IONOMICS!C10,'Field Table'!A$2:E$661,3,FALSE)</f>
        <v>FS</v>
      </c>
      <c r="E10" s="7" t="str">
        <f>VLOOKUP(IONOMICS!C10,'Field Table'!A$2:E$661,4,FALSE)</f>
        <v>1</v>
      </c>
      <c r="F10" s="7" t="str">
        <f>VLOOKUP(IONOMICS!C10,'Field Table'!A$2:E$661,5,FALSE)</f>
        <v>25</v>
      </c>
      <c r="G10" s="11">
        <v>4.9439551641313049</v>
      </c>
      <c r="H10" s="12" t="s">
        <v>333</v>
      </c>
      <c r="I10" s="12" t="s">
        <v>333</v>
      </c>
      <c r="J10" s="12" t="s">
        <v>333</v>
      </c>
      <c r="K10" s="12" t="s">
        <v>333</v>
      </c>
      <c r="L10" s="11">
        <v>0.17183746997598082</v>
      </c>
      <c r="M10" s="11">
        <v>6.0048038430744598E-2</v>
      </c>
      <c r="N10" s="12" t="s">
        <v>333</v>
      </c>
      <c r="O10" s="12" t="s">
        <v>333</v>
      </c>
      <c r="P10" s="12">
        <v>1.1008807045636508</v>
      </c>
      <c r="Q10" s="12">
        <v>6.5352281825460361</v>
      </c>
      <c r="R10" s="12">
        <v>6.8604883907125699E-2</v>
      </c>
      <c r="S10" s="12" t="s">
        <v>333</v>
      </c>
      <c r="T10" s="12">
        <v>9.0072057646116893E-2</v>
      </c>
      <c r="U10" s="12">
        <v>2.3528823058446759E-2</v>
      </c>
      <c r="V10" s="12">
        <v>50.160128102481984</v>
      </c>
      <c r="W10" s="12" t="s">
        <v>333</v>
      </c>
      <c r="X10" s="13">
        <v>1.9415532425940752E-4</v>
      </c>
      <c r="Y10" s="12">
        <v>0.79063250600480395</v>
      </c>
      <c r="Z10" s="12">
        <v>5.0040032025620497E-2</v>
      </c>
      <c r="AA10" s="13">
        <v>4.2774219375500402E-3</v>
      </c>
      <c r="AB10" s="12">
        <v>2.5420336269015213</v>
      </c>
      <c r="AC10" s="12" t="s">
        <v>333</v>
      </c>
      <c r="AD10" s="12" t="s">
        <v>333</v>
      </c>
      <c r="AE10" s="12">
        <v>9.5576461168935154</v>
      </c>
      <c r="AF10" s="14">
        <v>1.0118094475580463E-2</v>
      </c>
      <c r="AG10" s="12">
        <v>9.5376301040832665</v>
      </c>
      <c r="AH10" s="12">
        <v>0.70056044835868703</v>
      </c>
      <c r="AI10" s="12" t="s">
        <v>333</v>
      </c>
      <c r="AJ10" s="12" t="s">
        <v>333</v>
      </c>
      <c r="AK10" s="12">
        <v>3.9031224979983987</v>
      </c>
    </row>
    <row r="11" spans="1:37" x14ac:dyDescent="0.25">
      <c r="A11" s="7" t="s">
        <v>342</v>
      </c>
      <c r="B11" s="7" t="str">
        <f t="shared" si="0"/>
        <v>2768-10</v>
      </c>
      <c r="C11" s="7">
        <f>VLOOKUP(B11,'CEBAS-DEWOOD code'!A$2:B$302,2,FALSE)</f>
        <v>1090</v>
      </c>
      <c r="D11" s="7" t="str">
        <f>VLOOKUP(IONOMICS!C11,'Field Table'!A$2:E$661,3,FALSE)</f>
        <v>FS</v>
      </c>
      <c r="E11" s="7" t="str">
        <f>VLOOKUP(IONOMICS!C11,'Field Table'!A$2:E$661,4,FALSE)</f>
        <v>4</v>
      </c>
      <c r="F11" s="7" t="str">
        <f>VLOOKUP(IONOMICS!C11,'Field Table'!A$2:E$661,5,FALSE)</f>
        <v>01</v>
      </c>
      <c r="G11" s="11">
        <v>24.918868799258227</v>
      </c>
      <c r="H11" s="12">
        <v>0.17385257301808066</v>
      </c>
      <c r="I11" s="12" t="s">
        <v>333</v>
      </c>
      <c r="J11" s="12" t="s">
        <v>333</v>
      </c>
      <c r="K11" s="12" t="s">
        <v>333</v>
      </c>
      <c r="L11" s="11">
        <v>0.30992118683356512</v>
      </c>
      <c r="M11" s="11">
        <v>0.12749188687992583</v>
      </c>
      <c r="N11" s="12" t="s">
        <v>333</v>
      </c>
      <c r="O11" s="12">
        <v>0.23180343069077422</v>
      </c>
      <c r="P11" s="12">
        <v>2.4455261937876678</v>
      </c>
      <c r="Q11" s="12">
        <v>16.539174779786741</v>
      </c>
      <c r="R11" s="12">
        <v>3.8537320352341219E-2</v>
      </c>
      <c r="S11" s="12" t="s">
        <v>333</v>
      </c>
      <c r="T11" s="12">
        <v>0.20862308762169679</v>
      </c>
      <c r="U11" s="12">
        <v>2.8569772832637921E-2</v>
      </c>
      <c r="V11" s="12">
        <v>145.10894761242466</v>
      </c>
      <c r="W11" s="12" t="s">
        <v>333</v>
      </c>
      <c r="X11" s="13">
        <v>7.2670375521557723E-4</v>
      </c>
      <c r="Y11" s="12">
        <v>0.56791840519239678</v>
      </c>
      <c r="Z11" s="12">
        <v>1.1358368103847936</v>
      </c>
      <c r="AA11" s="13">
        <v>1.5971256374594341E-2</v>
      </c>
      <c r="AB11" s="12">
        <v>0.71859063514140009</v>
      </c>
      <c r="AC11" s="12" t="s">
        <v>333</v>
      </c>
      <c r="AD11" s="12" t="s">
        <v>333</v>
      </c>
      <c r="AE11" s="12">
        <v>268.31247102457115</v>
      </c>
      <c r="AF11" s="14">
        <v>2.1986555401019937E-2</v>
      </c>
      <c r="AG11" s="12">
        <v>16.458043579044968</v>
      </c>
      <c r="AH11" s="12">
        <v>1.2285581826611034</v>
      </c>
      <c r="AI11" s="12" t="s">
        <v>333</v>
      </c>
      <c r="AJ11" s="12" t="s">
        <v>333</v>
      </c>
      <c r="AK11" s="12">
        <v>9.6777932313398232</v>
      </c>
    </row>
    <row r="12" spans="1:37" x14ac:dyDescent="0.25">
      <c r="A12" s="7" t="s">
        <v>343</v>
      </c>
      <c r="B12" s="7" t="str">
        <f t="shared" si="0"/>
        <v>2768-11</v>
      </c>
      <c r="C12" s="7">
        <f>VLOOKUP(B12,'CEBAS-DEWOOD code'!A$2:B$302,2,FALSE)</f>
        <v>381</v>
      </c>
      <c r="D12" s="7" t="str">
        <f>VLOOKUP(IONOMICS!C12,'Field Table'!A$2:E$661,3,FALSE)</f>
        <v>FS</v>
      </c>
      <c r="E12" s="7" t="str">
        <f>VLOOKUP(IONOMICS!C12,'Field Table'!A$2:E$661,4,FALSE)</f>
        <v>1</v>
      </c>
      <c r="F12" s="7" t="str">
        <f>VLOOKUP(IONOMICS!C12,'Field Table'!A$2:E$661,5,FALSE)</f>
        <v>25</v>
      </c>
      <c r="G12" s="11">
        <v>2.024827024827025</v>
      </c>
      <c r="H12" s="12">
        <v>0.10175010175010175</v>
      </c>
      <c r="I12" s="12" t="s">
        <v>333</v>
      </c>
      <c r="J12" s="12" t="s">
        <v>333</v>
      </c>
      <c r="K12" s="12" t="s">
        <v>333</v>
      </c>
      <c r="L12" s="11">
        <v>7.4399674399674404E-2</v>
      </c>
      <c r="M12" s="11">
        <v>0.13227513227513227</v>
      </c>
      <c r="N12" s="12">
        <v>5.0875050875050877E-2</v>
      </c>
      <c r="O12" s="12">
        <v>9.1575091575091569E-2</v>
      </c>
      <c r="P12" s="12">
        <v>0.82417582417582413</v>
      </c>
      <c r="Q12" s="12">
        <v>2.6963776963776964</v>
      </c>
      <c r="R12" s="12">
        <v>9.6886446886446889E-2</v>
      </c>
      <c r="S12" s="12" t="s">
        <v>333</v>
      </c>
      <c r="T12" s="12">
        <v>8.1400081400081398E-2</v>
      </c>
      <c r="U12" s="12">
        <v>1.2698412698412698E-2</v>
      </c>
      <c r="V12" s="12">
        <v>51.638176638176631</v>
      </c>
      <c r="W12" s="12" t="s">
        <v>333</v>
      </c>
      <c r="X12" s="13">
        <v>2.6048026048026052E-4</v>
      </c>
      <c r="Y12" s="12">
        <v>1.4855514855514855</v>
      </c>
      <c r="Z12" s="12">
        <v>0.23402523402523401</v>
      </c>
      <c r="AA12" s="13">
        <v>5.0579975579975577E-3</v>
      </c>
      <c r="AB12" s="12">
        <v>2.8490028490028494</v>
      </c>
      <c r="AC12" s="12" t="s">
        <v>333</v>
      </c>
      <c r="AD12" s="12" t="s">
        <v>333</v>
      </c>
      <c r="AE12" s="12">
        <v>8.6284086284086285</v>
      </c>
      <c r="AF12" s="14">
        <v>9.1310541310541306E-3</v>
      </c>
      <c r="AG12" s="12">
        <v>6.6137566137566139</v>
      </c>
      <c r="AH12" s="12">
        <v>0.22385022385022385</v>
      </c>
      <c r="AI12" s="12" t="s">
        <v>333</v>
      </c>
      <c r="AJ12" s="12" t="s">
        <v>333</v>
      </c>
      <c r="AK12" s="12">
        <v>5.5250305250305249</v>
      </c>
    </row>
    <row r="13" spans="1:37" x14ac:dyDescent="0.25">
      <c r="A13" s="7" t="s">
        <v>344</v>
      </c>
      <c r="B13" s="7" t="str">
        <f t="shared" si="0"/>
        <v>2768-12</v>
      </c>
      <c r="C13" s="7">
        <f>VLOOKUP(B13,'CEBAS-DEWOOD code'!A$2:B$302,2,FALSE)</f>
        <v>75</v>
      </c>
      <c r="D13" s="7" t="str">
        <f>VLOOKUP(IONOMICS!C13,'Field Table'!A$2:E$661,3,FALSE)</f>
        <v>AA</v>
      </c>
      <c r="E13" s="7" t="str">
        <f>VLOOKUP(IONOMICS!C13,'Field Table'!A$2:E$661,4,FALSE)</f>
        <v>4</v>
      </c>
      <c r="F13" s="7" t="str">
        <f>VLOOKUP(IONOMICS!C13,'Field Table'!A$2:E$661,5,FALSE)</f>
        <v>25</v>
      </c>
      <c r="G13" s="11">
        <v>13.035780842340664</v>
      </c>
      <c r="H13" s="12">
        <v>8.386134923592993E-2</v>
      </c>
      <c r="I13" s="12" t="s">
        <v>333</v>
      </c>
      <c r="J13" s="12" t="s">
        <v>333</v>
      </c>
      <c r="K13" s="12" t="s">
        <v>333</v>
      </c>
      <c r="L13" s="11">
        <v>6.9241520685799487E-2</v>
      </c>
      <c r="M13" s="11">
        <v>0.2329481923220276</v>
      </c>
      <c r="N13" s="12" t="s">
        <v>333</v>
      </c>
      <c r="O13" s="12">
        <v>0.10249720462169214</v>
      </c>
      <c r="P13" s="12">
        <v>2.124487513976892</v>
      </c>
      <c r="Q13" s="12">
        <v>3.9042117033171828</v>
      </c>
      <c r="R13" s="12">
        <v>5.324263883712263E-2</v>
      </c>
      <c r="S13" s="12" t="s">
        <v>333</v>
      </c>
      <c r="T13" s="12">
        <v>0.14908684308609765</v>
      </c>
      <c r="U13" s="12">
        <v>1.2476705180767798E-2</v>
      </c>
      <c r="V13" s="12">
        <v>56.410734252702206</v>
      </c>
      <c r="W13" s="12" t="s">
        <v>333</v>
      </c>
      <c r="X13" s="13">
        <v>2.0033544539694372E-4</v>
      </c>
      <c r="Y13" s="12">
        <v>3.7271710771524413E-2</v>
      </c>
      <c r="Z13" s="12">
        <v>0.21431233693626536</v>
      </c>
      <c r="AA13" s="13">
        <v>4.6310100633619091E-3</v>
      </c>
      <c r="AB13" s="12">
        <v>1.2392843831531866</v>
      </c>
      <c r="AC13" s="12" t="s">
        <v>333</v>
      </c>
      <c r="AD13" s="12" t="s">
        <v>333</v>
      </c>
      <c r="AE13" s="12">
        <v>34.914275065225496</v>
      </c>
      <c r="AF13" s="14">
        <v>7.3080506895266493E-3</v>
      </c>
      <c r="AG13" s="12">
        <v>3.4196794632873653</v>
      </c>
      <c r="AH13" s="12">
        <v>1.071561684681327</v>
      </c>
      <c r="AI13" s="12" t="s">
        <v>333</v>
      </c>
      <c r="AJ13" s="12" t="s">
        <v>333</v>
      </c>
      <c r="AK13" s="12">
        <v>3.5314945956019388</v>
      </c>
    </row>
    <row r="14" spans="1:37" x14ac:dyDescent="0.25">
      <c r="A14" s="7" t="s">
        <v>345</v>
      </c>
      <c r="B14" s="7" t="str">
        <f t="shared" si="0"/>
        <v>2768-13</v>
      </c>
      <c r="C14" s="7">
        <f>VLOOKUP(B14,'CEBAS-DEWOOD code'!A$2:B$302,2,FALSE)</f>
        <v>382</v>
      </c>
      <c r="D14" s="7" t="str">
        <f>VLOOKUP(IONOMICS!C14,'Field Table'!A$2:E$661,3,FALSE)</f>
        <v>FS</v>
      </c>
      <c r="E14" s="7" t="str">
        <f>VLOOKUP(IONOMICS!C14,'Field Table'!A$2:E$661,4,FALSE)</f>
        <v>2</v>
      </c>
      <c r="F14" s="7" t="str">
        <f>VLOOKUP(IONOMICS!C14,'Field Table'!A$2:E$661,5,FALSE)</f>
        <v>25</v>
      </c>
      <c r="G14" s="11">
        <v>2.3767605633802815</v>
      </c>
      <c r="H14" s="12" t="s">
        <v>333</v>
      </c>
      <c r="I14" s="12" t="s">
        <v>333</v>
      </c>
      <c r="J14" s="12" t="s">
        <v>333</v>
      </c>
      <c r="K14" s="12" t="s">
        <v>333</v>
      </c>
      <c r="L14" s="11">
        <v>0.14799735915492959</v>
      </c>
      <c r="M14" s="11">
        <v>0.14304577464788731</v>
      </c>
      <c r="N14" s="12">
        <v>4.401408450704225E-2</v>
      </c>
      <c r="O14" s="12" t="s">
        <v>333</v>
      </c>
      <c r="P14" s="12">
        <v>1.2544014084507042</v>
      </c>
      <c r="Q14" s="12">
        <v>7.42737676056338</v>
      </c>
      <c r="R14" s="12">
        <v>0.14106514084507044</v>
      </c>
      <c r="S14" s="12" t="s">
        <v>333</v>
      </c>
      <c r="T14" s="12">
        <v>0.11003521126760564</v>
      </c>
      <c r="U14" s="12">
        <v>5.9231954225352115E-2</v>
      </c>
      <c r="V14" s="12">
        <v>66.47227112676056</v>
      </c>
      <c r="W14" s="12" t="s">
        <v>333</v>
      </c>
      <c r="X14" s="13">
        <v>1.485475352112676E-4</v>
      </c>
      <c r="Y14" s="12">
        <v>0.56117957746478875</v>
      </c>
      <c r="Z14" s="12">
        <v>0.11003521126760564</v>
      </c>
      <c r="AA14" s="13">
        <v>2.9852552816901404E-3</v>
      </c>
      <c r="AB14" s="12">
        <v>5.919894366197183</v>
      </c>
      <c r="AC14" s="12" t="s">
        <v>333</v>
      </c>
      <c r="AD14" s="12" t="s">
        <v>333</v>
      </c>
      <c r="AE14" s="12">
        <v>10.002200704225352</v>
      </c>
      <c r="AF14" s="14">
        <v>1.0768045774647888E-2</v>
      </c>
      <c r="AG14" s="12">
        <v>14.491637323943664</v>
      </c>
      <c r="AH14" s="12">
        <v>1.4304577464788732</v>
      </c>
      <c r="AI14" s="12" t="s">
        <v>333</v>
      </c>
      <c r="AJ14" s="12" t="s">
        <v>333</v>
      </c>
      <c r="AK14" s="12">
        <v>3.873239436619718</v>
      </c>
    </row>
    <row r="15" spans="1:37" x14ac:dyDescent="0.25">
      <c r="A15" s="7" t="s">
        <v>346</v>
      </c>
      <c r="B15" s="7" t="str">
        <f t="shared" si="0"/>
        <v>2768-14</v>
      </c>
      <c r="C15" s="7">
        <f>VLOOKUP(B15,'CEBAS-DEWOOD code'!A$2:B$302,2,FALSE)</f>
        <v>350</v>
      </c>
      <c r="D15" s="7" t="str">
        <f>VLOOKUP(IONOMICS!C15,'Field Table'!A$2:E$661,3,FALSE)</f>
        <v>AA</v>
      </c>
      <c r="E15" s="7" t="str">
        <f>VLOOKUP(IONOMICS!C15,'Field Table'!A$2:E$661,4,FALSE)</f>
        <v>2</v>
      </c>
      <c r="F15" s="7" t="str">
        <f>VLOOKUP(IONOMICS!C15,'Field Table'!A$2:E$661,5,FALSE)</f>
        <v>10</v>
      </c>
      <c r="G15" s="11">
        <v>36.551865518655184</v>
      </c>
      <c r="H15" s="12" t="s">
        <v>333</v>
      </c>
      <c r="I15" s="12" t="s">
        <v>333</v>
      </c>
      <c r="J15" s="12" t="s">
        <v>333</v>
      </c>
      <c r="K15" s="12" t="s">
        <v>333</v>
      </c>
      <c r="L15" s="11">
        <v>6.8245182451824524E-2</v>
      </c>
      <c r="M15" s="11">
        <v>0.15375153751537515</v>
      </c>
      <c r="N15" s="12" t="s">
        <v>333</v>
      </c>
      <c r="O15" s="12">
        <v>7.1750717507175057E-2</v>
      </c>
      <c r="P15" s="12">
        <v>0.7585075850758507</v>
      </c>
      <c r="Q15" s="12">
        <v>3.5465354653546535</v>
      </c>
      <c r="R15" s="12">
        <v>6.7876178761787614E-2</v>
      </c>
      <c r="S15" s="12" t="s">
        <v>333</v>
      </c>
      <c r="T15" s="12">
        <v>0.18450184501845018</v>
      </c>
      <c r="U15" s="12">
        <v>1.8542435424354242E-2</v>
      </c>
      <c r="V15" s="12">
        <v>31.693316933169328</v>
      </c>
      <c r="W15" s="12" t="s">
        <v>333</v>
      </c>
      <c r="X15" s="13">
        <v>6.0578105781057816E-4</v>
      </c>
      <c r="Y15" s="12">
        <v>4.1000410004100041E-2</v>
      </c>
      <c r="Z15" s="12">
        <v>0.70725707257072568</v>
      </c>
      <c r="AA15" s="13">
        <v>8.2615826158261593E-4</v>
      </c>
      <c r="AB15" s="12">
        <v>1.1480114801148009</v>
      </c>
      <c r="AC15" s="12" t="s">
        <v>333</v>
      </c>
      <c r="AD15" s="12" t="s">
        <v>333</v>
      </c>
      <c r="AE15" s="12">
        <v>4.0077900779007791</v>
      </c>
      <c r="AF15" s="14">
        <v>5.3690036900369007E-3</v>
      </c>
      <c r="AG15" s="12">
        <v>3.843788437884379</v>
      </c>
      <c r="AH15" s="12">
        <v>0.95325953259532592</v>
      </c>
      <c r="AI15" s="12" t="s">
        <v>333</v>
      </c>
      <c r="AJ15" s="12" t="s">
        <v>333</v>
      </c>
      <c r="AK15" s="12">
        <v>5.0635506355063544</v>
      </c>
    </row>
    <row r="16" spans="1:37" x14ac:dyDescent="0.25">
      <c r="A16" s="7" t="s">
        <v>347</v>
      </c>
      <c r="B16" s="7" t="str">
        <f t="shared" si="0"/>
        <v>2768-15</v>
      </c>
      <c r="C16" s="7">
        <f>VLOOKUP(B16,'CEBAS-DEWOOD code'!A$2:B$302,2,FALSE)</f>
        <v>176</v>
      </c>
      <c r="D16" s="7" t="str">
        <f>VLOOKUP(IONOMICS!C16,'Field Table'!A$2:E$661,3,FALSE)</f>
        <v>AA</v>
      </c>
      <c r="E16" s="7" t="str">
        <f>VLOOKUP(IONOMICS!C16,'Field Table'!A$2:E$661,4,FALSE)</f>
        <v>1</v>
      </c>
      <c r="F16" s="7" t="str">
        <f>VLOOKUP(IONOMICS!C16,'Field Table'!A$2:E$661,5,FALSE)</f>
        <v>10</v>
      </c>
      <c r="G16" s="11">
        <v>30.031446540880502</v>
      </c>
      <c r="H16" s="12">
        <v>4.1928721174004195E-2</v>
      </c>
      <c r="I16" s="12" t="s">
        <v>333</v>
      </c>
      <c r="J16" s="12" t="s">
        <v>333</v>
      </c>
      <c r="K16" s="12" t="s">
        <v>333</v>
      </c>
      <c r="L16" s="11">
        <v>4.4633123689727466E-2</v>
      </c>
      <c r="M16" s="11">
        <v>7.337526205450734E-2</v>
      </c>
      <c r="N16" s="12">
        <v>1.0482180293501049E-2</v>
      </c>
      <c r="O16" s="12">
        <v>6.2893081761006289E-2</v>
      </c>
      <c r="P16" s="12">
        <v>0.97484276729559749</v>
      </c>
      <c r="Q16" s="12">
        <v>11.299790356394132</v>
      </c>
      <c r="R16" s="12">
        <v>8.4119496855345921E-2</v>
      </c>
      <c r="S16" s="12" t="s">
        <v>333</v>
      </c>
      <c r="T16" s="12">
        <v>0.14675052410901468</v>
      </c>
      <c r="U16" s="12">
        <v>1.1446540880503146E-2</v>
      </c>
      <c r="V16" s="12">
        <v>20.691823899371069</v>
      </c>
      <c r="W16" s="12" t="s">
        <v>333</v>
      </c>
      <c r="X16" s="13">
        <v>3.9203354297693925E-4</v>
      </c>
      <c r="Y16" s="12">
        <v>2.0964360587002098E-2</v>
      </c>
      <c r="Z16" s="12">
        <v>0.17819706498951782</v>
      </c>
      <c r="AA16" s="13">
        <v>1.2494758909853251E-3</v>
      </c>
      <c r="AB16" s="12">
        <v>1.4150943396226416</v>
      </c>
      <c r="AC16" s="12" t="s">
        <v>333</v>
      </c>
      <c r="AD16" s="12" t="s">
        <v>333</v>
      </c>
      <c r="AE16" s="12">
        <v>164.25576519916143</v>
      </c>
      <c r="AF16" s="14">
        <v>5.9423480083857444E-3</v>
      </c>
      <c r="AG16" s="12">
        <v>3.5744234800838575</v>
      </c>
      <c r="AH16" s="12">
        <v>3.8888888888888888</v>
      </c>
      <c r="AI16" s="12" t="s">
        <v>333</v>
      </c>
      <c r="AJ16" s="12" t="s">
        <v>333</v>
      </c>
      <c r="AK16" s="12">
        <v>2.3899371069182394</v>
      </c>
    </row>
    <row r="17" spans="1:37" x14ac:dyDescent="0.25">
      <c r="A17" s="7" t="s">
        <v>348</v>
      </c>
      <c r="B17" s="7" t="str">
        <f t="shared" si="0"/>
        <v>2768-16</v>
      </c>
      <c r="C17" s="7">
        <f>VLOOKUP(B17,'CEBAS-DEWOOD code'!A$2:B$302,2,FALSE)</f>
        <v>190</v>
      </c>
      <c r="D17" s="7" t="str">
        <f>VLOOKUP(IONOMICS!C17,'Field Table'!A$2:E$661,3,FALSE)</f>
        <v>AA</v>
      </c>
      <c r="E17" s="7" t="str">
        <f>VLOOKUP(IONOMICS!C17,'Field Table'!A$2:E$661,4,FALSE)</f>
        <v>4</v>
      </c>
      <c r="F17" s="7" t="str">
        <f>VLOOKUP(IONOMICS!C17,'Field Table'!A$2:E$661,5,FALSE)</f>
        <v>10</v>
      </c>
      <c r="G17" s="11">
        <v>19.031311154598825</v>
      </c>
      <c r="H17" s="12">
        <v>6.1154598825831699E-2</v>
      </c>
      <c r="I17" s="12" t="s">
        <v>333</v>
      </c>
      <c r="J17" s="12" t="s">
        <v>333</v>
      </c>
      <c r="K17" s="12" t="s">
        <v>333</v>
      </c>
      <c r="L17" s="11">
        <v>6.7159980430528371E-2</v>
      </c>
      <c r="M17" s="11">
        <v>2.4461839530332683E-2</v>
      </c>
      <c r="N17" s="12">
        <v>1.2230919765166342E-2</v>
      </c>
      <c r="O17" s="12">
        <v>0.19569471624266147</v>
      </c>
      <c r="P17" s="12">
        <v>0.66046966731898249</v>
      </c>
      <c r="Q17" s="12">
        <v>5.6751467710371815</v>
      </c>
      <c r="R17" s="12">
        <v>0.22407045009784737</v>
      </c>
      <c r="S17" s="12" t="s">
        <v>333</v>
      </c>
      <c r="T17" s="12">
        <v>0.25684931506849312</v>
      </c>
      <c r="U17" s="12">
        <v>1.1150929549902154E-2</v>
      </c>
      <c r="V17" s="12">
        <v>53.938356164383563</v>
      </c>
      <c r="W17" s="12" t="s">
        <v>333</v>
      </c>
      <c r="X17" s="13">
        <v>1.7918297455968687E-3</v>
      </c>
      <c r="Y17" s="12">
        <v>0.66046966731898249</v>
      </c>
      <c r="Z17" s="12">
        <v>0.33023483365949124</v>
      </c>
      <c r="AA17" s="13">
        <v>1.319716242661448E-2</v>
      </c>
      <c r="AB17" s="12">
        <v>5.3938356164383565</v>
      </c>
      <c r="AC17" s="12" t="s">
        <v>333</v>
      </c>
      <c r="AD17" s="12" t="s">
        <v>333</v>
      </c>
      <c r="AE17" s="12">
        <v>16.450587084148729</v>
      </c>
      <c r="AF17" s="14">
        <v>9.6832191780821929E-3</v>
      </c>
      <c r="AG17" s="12">
        <v>4.5865949119373779</v>
      </c>
      <c r="AH17" s="12">
        <v>0.51369863013698625</v>
      </c>
      <c r="AI17" s="12" t="s">
        <v>333</v>
      </c>
      <c r="AJ17" s="12" t="s">
        <v>333</v>
      </c>
      <c r="AK17" s="12">
        <v>3.1311154598825834</v>
      </c>
    </row>
    <row r="18" spans="1:37" x14ac:dyDescent="0.25">
      <c r="A18" s="7" t="s">
        <v>349</v>
      </c>
      <c r="B18" s="7" t="str">
        <f t="shared" si="0"/>
        <v>2768-17</v>
      </c>
      <c r="C18" s="7">
        <f>VLOOKUP(B18,'CEBAS-DEWOOD code'!A$2:B$302,2,FALSE)</f>
        <v>1070</v>
      </c>
      <c r="D18" s="7" t="str">
        <f>VLOOKUP(IONOMICS!C18,'Field Table'!A$2:E$661,3,FALSE)</f>
        <v>FS</v>
      </c>
      <c r="E18" s="7" t="str">
        <f>VLOOKUP(IONOMICS!C18,'Field Table'!A$2:E$661,4,FALSE)</f>
        <v>1</v>
      </c>
      <c r="F18" s="7" t="str">
        <f>VLOOKUP(IONOMICS!C18,'Field Table'!A$2:E$661,5,FALSE)</f>
        <v>01</v>
      </c>
      <c r="G18" s="11">
        <v>17.188088955898987</v>
      </c>
      <c r="H18" s="12" t="s">
        <v>333</v>
      </c>
      <c r="I18" s="12" t="s">
        <v>333</v>
      </c>
      <c r="J18" s="12" t="s">
        <v>333</v>
      </c>
      <c r="K18" s="12" t="s">
        <v>333</v>
      </c>
      <c r="L18" s="11">
        <v>0.32632868450810409</v>
      </c>
      <c r="M18" s="11">
        <v>8.4809649453448932E-2</v>
      </c>
      <c r="N18" s="12">
        <v>5.6539766302299288E-2</v>
      </c>
      <c r="O18" s="12">
        <v>9.4232943837165489E-2</v>
      </c>
      <c r="P18" s="12">
        <v>2.7327553712777992</v>
      </c>
      <c r="Q18" s="12">
        <v>11.826234451564268</v>
      </c>
      <c r="R18" s="12">
        <v>8.9342254052016595E-2</v>
      </c>
      <c r="S18" s="12" t="s">
        <v>333</v>
      </c>
      <c r="T18" s="12">
        <v>0.13192612137203166</v>
      </c>
      <c r="U18" s="12">
        <v>2.4302676215604981E-2</v>
      </c>
      <c r="V18" s="12">
        <v>92.857142857142875</v>
      </c>
      <c r="W18" s="12" t="s">
        <v>333</v>
      </c>
      <c r="X18" s="13">
        <v>3.364116094986808E-4</v>
      </c>
      <c r="Y18" s="12">
        <v>0.74444025631360733</v>
      </c>
      <c r="Z18" s="12">
        <v>0.94232943837165484</v>
      </c>
      <c r="AA18" s="13">
        <v>2.4010554089709767E-2</v>
      </c>
      <c r="AB18" s="12">
        <v>2.3464003015454202</v>
      </c>
      <c r="AC18" s="12" t="s">
        <v>333</v>
      </c>
      <c r="AD18" s="12" t="s">
        <v>333</v>
      </c>
      <c r="AE18" s="12">
        <v>491.80173388616663</v>
      </c>
      <c r="AF18" s="14">
        <v>2.0147003392385978E-2</v>
      </c>
      <c r="AG18" s="12">
        <v>20.768940821711276</v>
      </c>
      <c r="AH18" s="12">
        <v>0.61251413494157569</v>
      </c>
      <c r="AI18" s="12" t="s">
        <v>333</v>
      </c>
      <c r="AJ18" s="12" t="s">
        <v>333</v>
      </c>
      <c r="AK18" s="12">
        <v>10.83678854127403</v>
      </c>
    </row>
    <row r="19" spans="1:37" x14ac:dyDescent="0.25">
      <c r="A19" s="7" t="s">
        <v>350</v>
      </c>
      <c r="B19" s="7" t="str">
        <f t="shared" si="0"/>
        <v>2768-18</v>
      </c>
      <c r="C19" s="7">
        <f>VLOOKUP(B19,'CEBAS-DEWOOD code'!A$2:B$302,2,FALSE)</f>
        <v>1085</v>
      </c>
      <c r="D19" s="7" t="str">
        <f>VLOOKUP(IONOMICS!C19,'Field Table'!A$2:E$661,3,FALSE)</f>
        <v>AA</v>
      </c>
      <c r="E19" s="7" t="str">
        <f>VLOOKUP(IONOMICS!C19,'Field Table'!A$2:E$661,4,FALSE)</f>
        <v>1</v>
      </c>
      <c r="F19" s="7" t="str">
        <f>VLOOKUP(IONOMICS!C19,'Field Table'!A$2:E$661,5,FALSE)</f>
        <v>01</v>
      </c>
      <c r="G19" s="11">
        <v>76.026970954356855</v>
      </c>
      <c r="H19" s="12" t="s">
        <v>333</v>
      </c>
      <c r="I19" s="12" t="s">
        <v>333</v>
      </c>
      <c r="J19" s="12" t="s">
        <v>333</v>
      </c>
      <c r="K19" s="12" t="s">
        <v>333</v>
      </c>
      <c r="L19" s="11">
        <v>0.21431535269709545</v>
      </c>
      <c r="M19" s="11">
        <v>0.549792531120332</v>
      </c>
      <c r="N19" s="12" t="s">
        <v>333</v>
      </c>
      <c r="O19" s="12">
        <v>0.36307053941908718</v>
      </c>
      <c r="P19" s="12">
        <v>2.7074688796680504</v>
      </c>
      <c r="Q19" s="12">
        <v>18.195020746887966</v>
      </c>
      <c r="R19" s="12">
        <v>0.11493775933609959</v>
      </c>
      <c r="S19" s="12" t="s">
        <v>333</v>
      </c>
      <c r="T19" s="12">
        <v>0.16597510373443985</v>
      </c>
      <c r="U19" s="12">
        <v>2.9398340248962658E-2</v>
      </c>
      <c r="V19" s="12">
        <v>132.05394190871368</v>
      </c>
      <c r="W19" s="12" t="s">
        <v>333</v>
      </c>
      <c r="X19" s="13">
        <v>2.655601659751038E-4</v>
      </c>
      <c r="Y19" s="12">
        <v>0.41493775933609961</v>
      </c>
      <c r="Z19" s="12">
        <v>0.9024896265560165</v>
      </c>
      <c r="AA19" s="13">
        <v>1.8858921161825727E-2</v>
      </c>
      <c r="AB19" s="12">
        <v>2.5207468879668049</v>
      </c>
      <c r="AC19" s="12" t="s">
        <v>333</v>
      </c>
      <c r="AD19" s="12" t="s">
        <v>333</v>
      </c>
      <c r="AE19" s="12">
        <v>41.172199170124479</v>
      </c>
      <c r="AF19" s="14">
        <v>1.5684647302904565E-2</v>
      </c>
      <c r="AG19" s="12">
        <v>9.1597510373443995</v>
      </c>
      <c r="AH19" s="12">
        <v>1.1929460580912863</v>
      </c>
      <c r="AI19" s="12" t="s">
        <v>333</v>
      </c>
      <c r="AJ19" s="12" t="s">
        <v>333</v>
      </c>
      <c r="AK19" s="12">
        <v>18.37136929460581</v>
      </c>
    </row>
    <row r="20" spans="1:37" x14ac:dyDescent="0.25">
      <c r="A20" s="7" t="s">
        <v>351</v>
      </c>
      <c r="B20" s="7" t="str">
        <f t="shared" si="0"/>
        <v>2768-19</v>
      </c>
      <c r="C20" s="7">
        <f>VLOOKUP(B20,'CEBAS-DEWOOD code'!A$2:B$302,2,FALSE)</f>
        <v>191</v>
      </c>
      <c r="D20" s="7" t="str">
        <f>VLOOKUP(IONOMICS!C20,'Field Table'!A$2:E$661,3,FALSE)</f>
        <v>FS</v>
      </c>
      <c r="E20" s="7" t="str">
        <f>VLOOKUP(IONOMICS!C20,'Field Table'!A$2:E$661,4,FALSE)</f>
        <v>1</v>
      </c>
      <c r="F20" s="7" t="str">
        <f>VLOOKUP(IONOMICS!C20,'Field Table'!A$2:E$661,5,FALSE)</f>
        <v>10</v>
      </c>
      <c r="G20" s="11">
        <v>6.2980030721966207</v>
      </c>
      <c r="H20" s="12">
        <v>0.14400921658986174</v>
      </c>
      <c r="I20" s="12" t="s">
        <v>333</v>
      </c>
      <c r="J20" s="12" t="s">
        <v>333</v>
      </c>
      <c r="K20" s="12" t="s">
        <v>333</v>
      </c>
      <c r="L20" s="11">
        <v>0.36866359447004604</v>
      </c>
      <c r="M20" s="11">
        <v>5.7603686635944694E-2</v>
      </c>
      <c r="N20" s="12">
        <v>2.8801843317972347E-2</v>
      </c>
      <c r="O20" s="12">
        <v>0.11520737327188939</v>
      </c>
      <c r="P20" s="12">
        <v>1.161674347158218</v>
      </c>
      <c r="Q20" s="12">
        <v>117.60752688172043</v>
      </c>
      <c r="R20" s="12">
        <v>9.88863287250384E-2</v>
      </c>
      <c r="S20" s="12" t="s">
        <v>333</v>
      </c>
      <c r="T20" s="12">
        <v>0.28801843317972348</v>
      </c>
      <c r="U20" s="12">
        <v>6.7233102918586793E-2</v>
      </c>
      <c r="V20" s="12">
        <v>128.45622119815667</v>
      </c>
      <c r="W20" s="12" t="s">
        <v>333</v>
      </c>
      <c r="X20" s="13">
        <v>1.3124039938556065E-3</v>
      </c>
      <c r="Y20" s="12">
        <v>1.2288786482334868</v>
      </c>
      <c r="Z20" s="12">
        <v>0.1344086021505376</v>
      </c>
      <c r="AA20" s="13">
        <v>1.0032642089093701E-2</v>
      </c>
      <c r="AB20" s="12">
        <v>2.9857910906298</v>
      </c>
      <c r="AC20" s="12" t="s">
        <v>333</v>
      </c>
      <c r="AD20" s="12" t="s">
        <v>333</v>
      </c>
      <c r="AE20" s="12">
        <v>17.473118279569892</v>
      </c>
      <c r="AF20" s="14">
        <v>1.3172043010752688E-2</v>
      </c>
      <c r="AG20" s="12">
        <v>15.97542242703533</v>
      </c>
      <c r="AH20" s="12">
        <v>0.63364055299539168</v>
      </c>
      <c r="AI20" s="12">
        <v>2.956989247311828</v>
      </c>
      <c r="AJ20" s="12" t="s">
        <v>333</v>
      </c>
      <c r="AK20" s="12">
        <v>4.9155145929339472</v>
      </c>
    </row>
    <row r="21" spans="1:37" x14ac:dyDescent="0.25">
      <c r="A21" s="7" t="s">
        <v>352</v>
      </c>
      <c r="B21" s="7" t="str">
        <f t="shared" si="0"/>
        <v>2768-20</v>
      </c>
      <c r="C21" s="7">
        <f>VLOOKUP(B21,'CEBAS-DEWOOD code'!A$2:B$302,2,FALSE)</f>
        <v>155</v>
      </c>
      <c r="D21" s="7" t="str">
        <f>VLOOKUP(IONOMICS!C21,'Field Table'!A$2:E$661,3,FALSE)</f>
        <v>FS</v>
      </c>
      <c r="E21" s="7" t="str">
        <f>VLOOKUP(IONOMICS!C21,'Field Table'!A$2:E$661,4,FALSE)</f>
        <v>1</v>
      </c>
      <c r="F21" s="7" t="str">
        <f>VLOOKUP(IONOMICS!C21,'Field Table'!A$2:E$661,5,FALSE)</f>
        <v>10</v>
      </c>
      <c r="G21" s="11">
        <v>11.153358681875792</v>
      </c>
      <c r="H21" s="12" t="s">
        <v>333</v>
      </c>
      <c r="I21" s="12" t="s">
        <v>333</v>
      </c>
      <c r="J21" s="12" t="s">
        <v>333</v>
      </c>
      <c r="K21" s="12" t="s">
        <v>333</v>
      </c>
      <c r="L21" s="11">
        <v>0.17300380228136883</v>
      </c>
      <c r="M21" s="11">
        <v>4.2247570764681032E-2</v>
      </c>
      <c r="N21" s="12" t="s">
        <v>333</v>
      </c>
      <c r="O21" s="12">
        <v>3.1685678073510776E-2</v>
      </c>
      <c r="P21" s="12">
        <v>0.90832277144064222</v>
      </c>
      <c r="Q21" s="12">
        <v>8.0587241233629072</v>
      </c>
      <c r="R21" s="12">
        <v>5.8291085762568653E-2</v>
      </c>
      <c r="S21" s="12" t="s">
        <v>333</v>
      </c>
      <c r="T21" s="12">
        <v>0.15842839036755385</v>
      </c>
      <c r="U21" s="12">
        <v>3.301647655259822E-2</v>
      </c>
      <c r="V21" s="12">
        <v>64.733840304182507</v>
      </c>
      <c r="W21" s="12" t="s">
        <v>333</v>
      </c>
      <c r="X21" s="13">
        <v>1.9011406844106463E-4</v>
      </c>
      <c r="Y21" s="12">
        <v>0.60202788339670477</v>
      </c>
      <c r="Z21" s="12">
        <v>0.17955217574989438</v>
      </c>
      <c r="AA21" s="13">
        <v>4.420152091254753E-3</v>
      </c>
      <c r="AB21" s="12">
        <v>1.6793409378960711</v>
      </c>
      <c r="AC21" s="12" t="s">
        <v>333</v>
      </c>
      <c r="AD21" s="12" t="s">
        <v>333</v>
      </c>
      <c r="AE21" s="12">
        <v>63.45585128855091</v>
      </c>
      <c r="AF21" s="14">
        <v>9.4370511195606254E-3</v>
      </c>
      <c r="AG21" s="12">
        <v>8.8614279678918475</v>
      </c>
      <c r="AH21" s="12">
        <v>0.82382762991128</v>
      </c>
      <c r="AI21" s="12" t="s">
        <v>333</v>
      </c>
      <c r="AJ21" s="12" t="s">
        <v>333</v>
      </c>
      <c r="AK21" s="12">
        <v>2.4926066751161806</v>
      </c>
    </row>
    <row r="22" spans="1:37" x14ac:dyDescent="0.25">
      <c r="A22" s="7" t="s">
        <v>353</v>
      </c>
      <c r="B22" s="7" t="str">
        <f t="shared" si="0"/>
        <v>2768-21</v>
      </c>
      <c r="C22" s="7">
        <f>VLOOKUP(B22,'CEBAS-DEWOOD code'!A$2:B$302,2,FALSE)</f>
        <v>401</v>
      </c>
      <c r="D22" s="7" t="str">
        <f>VLOOKUP(IONOMICS!C22,'Field Table'!A$2:E$661,3,FALSE)</f>
        <v>FS</v>
      </c>
      <c r="E22" s="7" t="str">
        <f>VLOOKUP(IONOMICS!C22,'Field Table'!A$2:E$661,4,FALSE)</f>
        <v>4</v>
      </c>
      <c r="F22" s="7" t="str">
        <f>VLOOKUP(IONOMICS!C22,'Field Table'!A$2:E$661,5,FALSE)</f>
        <v>25</v>
      </c>
      <c r="G22" s="11">
        <v>10.458958517210945</v>
      </c>
      <c r="H22" s="12">
        <v>6.6195939982347754E-2</v>
      </c>
      <c r="I22" s="12" t="s">
        <v>333</v>
      </c>
      <c r="J22" s="12" t="s">
        <v>333</v>
      </c>
      <c r="K22" s="12" t="s">
        <v>333</v>
      </c>
      <c r="L22" s="11">
        <v>0.22032215357458074</v>
      </c>
      <c r="M22" s="11">
        <v>0.19858781994704325</v>
      </c>
      <c r="N22" s="12">
        <v>0.29788172992056489</v>
      </c>
      <c r="O22" s="12">
        <v>0.17652250661959401</v>
      </c>
      <c r="P22" s="12">
        <v>2.3499558693733449</v>
      </c>
      <c r="Q22" s="12">
        <v>20.531774051191526</v>
      </c>
      <c r="R22" s="12">
        <v>2.9446160635481028E-2</v>
      </c>
      <c r="S22" s="12" t="s">
        <v>333</v>
      </c>
      <c r="T22" s="12">
        <v>0.22065313327449251</v>
      </c>
      <c r="U22" s="12">
        <v>2.3565898740000001E-2</v>
      </c>
      <c r="V22" s="12">
        <v>92.740511915269195</v>
      </c>
      <c r="W22" s="12" t="s">
        <v>333</v>
      </c>
      <c r="X22" s="13">
        <v>3.4090909090909094E-4</v>
      </c>
      <c r="Y22" s="12">
        <v>1.7652250661959401</v>
      </c>
      <c r="Z22" s="12">
        <v>0.35304501323918802</v>
      </c>
      <c r="AA22" s="13">
        <v>8.4344660194174761E-3</v>
      </c>
      <c r="AB22" s="12">
        <v>2.1844660194174761</v>
      </c>
      <c r="AC22" s="12" t="s">
        <v>333</v>
      </c>
      <c r="AD22" s="12" t="s">
        <v>333</v>
      </c>
      <c r="AE22" s="12">
        <v>34.521182700794355</v>
      </c>
      <c r="AF22" s="14">
        <v>2.4646954986760811E-2</v>
      </c>
      <c r="AG22" s="12">
        <v>9.0688437775816411</v>
      </c>
      <c r="AH22" s="12">
        <v>1.2577228596646075</v>
      </c>
      <c r="AI22" s="12">
        <v>5.0970873786407767</v>
      </c>
      <c r="AJ22" s="12" t="s">
        <v>333</v>
      </c>
      <c r="AK22" s="12">
        <v>4.5564872021182712</v>
      </c>
    </row>
    <row r="23" spans="1:37" x14ac:dyDescent="0.25">
      <c r="A23" s="7" t="s">
        <v>354</v>
      </c>
      <c r="B23" s="7" t="str">
        <f t="shared" si="0"/>
        <v>2768-22</v>
      </c>
      <c r="C23" s="7">
        <f>VLOOKUP(B23,'CEBAS-DEWOOD code'!A$2:B$302,2,FALSE)</f>
        <v>1</v>
      </c>
      <c r="D23" s="7" t="str">
        <f>VLOOKUP(IONOMICS!C23,'Field Table'!A$2:E$661,3,FALSE)</f>
        <v>AA</v>
      </c>
      <c r="E23" s="7" t="str">
        <f>VLOOKUP(IONOMICS!C23,'Field Table'!A$2:E$661,4,FALSE)</f>
        <v>1</v>
      </c>
      <c r="F23" s="7" t="str">
        <f>VLOOKUP(IONOMICS!C23,'Field Table'!A$2:E$661,5,FALSE)</f>
        <v>25</v>
      </c>
      <c r="G23" s="11">
        <v>47.104105571847512</v>
      </c>
      <c r="H23" s="12" t="s">
        <v>333</v>
      </c>
      <c r="I23" s="12" t="s">
        <v>333</v>
      </c>
      <c r="J23" s="12" t="s">
        <v>333</v>
      </c>
      <c r="K23" s="12" t="s">
        <v>333</v>
      </c>
      <c r="L23" s="11">
        <v>6.8572825024437928E-2</v>
      </c>
      <c r="M23" s="11">
        <v>3.6656891495601168E-2</v>
      </c>
      <c r="N23" s="12" t="s">
        <v>333</v>
      </c>
      <c r="O23" s="12">
        <v>0.29325513196480935</v>
      </c>
      <c r="P23" s="12">
        <v>1.1363636363636362</v>
      </c>
      <c r="Q23" s="12">
        <v>34.775171065493645</v>
      </c>
      <c r="R23" s="12">
        <v>0.26344086021505375</v>
      </c>
      <c r="S23" s="12" t="s">
        <v>333</v>
      </c>
      <c r="T23" s="12">
        <v>0.23216031280547408</v>
      </c>
      <c r="U23" s="12">
        <v>1.8242913000977516E-2</v>
      </c>
      <c r="V23" s="12">
        <v>18.902737047898338</v>
      </c>
      <c r="W23" s="12" t="s">
        <v>333</v>
      </c>
      <c r="X23" s="13">
        <v>2.1871945259042031E-4</v>
      </c>
      <c r="Y23" s="12">
        <v>0.10997067448680352</v>
      </c>
      <c r="Z23" s="12">
        <v>0.34213098729227759</v>
      </c>
      <c r="AA23" s="13">
        <v>1.6092375366568918E-3</v>
      </c>
      <c r="AB23" s="12">
        <v>7.1480938416422291</v>
      </c>
      <c r="AC23" s="12" t="s">
        <v>333</v>
      </c>
      <c r="AD23" s="12" t="s">
        <v>333</v>
      </c>
      <c r="AE23" s="12">
        <v>75</v>
      </c>
      <c r="AF23" s="14">
        <v>4.8130498533724333E-3</v>
      </c>
      <c r="AG23" s="12">
        <v>3.6656891495601172</v>
      </c>
      <c r="AH23" s="12">
        <v>4.3377321603128047</v>
      </c>
      <c r="AI23" s="12" t="s">
        <v>333</v>
      </c>
      <c r="AJ23" s="12" t="s">
        <v>333</v>
      </c>
      <c r="AK23" s="12">
        <v>3.2502443792766371</v>
      </c>
    </row>
    <row r="24" spans="1:37" x14ac:dyDescent="0.25">
      <c r="A24" s="7" t="s">
        <v>355</v>
      </c>
      <c r="B24" s="7" t="str">
        <f t="shared" si="0"/>
        <v>2768-23</v>
      </c>
      <c r="C24" s="7">
        <f>VLOOKUP(B24,'CEBAS-DEWOOD code'!A$2:B$302,2,FALSE)</f>
        <v>361</v>
      </c>
      <c r="D24" s="7" t="str">
        <f>VLOOKUP(IONOMICS!C24,'Field Table'!A$2:E$661,3,FALSE)</f>
        <v>AA</v>
      </c>
      <c r="E24" s="7" t="str">
        <f>VLOOKUP(IONOMICS!C24,'Field Table'!A$2:E$661,4,FALSE)</f>
        <v>2</v>
      </c>
      <c r="F24" s="7" t="str">
        <f>VLOOKUP(IONOMICS!C24,'Field Table'!A$2:E$661,5,FALSE)</f>
        <v>25</v>
      </c>
      <c r="G24" s="11">
        <v>3.4872488408037094</v>
      </c>
      <c r="H24" s="12" t="s">
        <v>333</v>
      </c>
      <c r="I24" s="12" t="s">
        <v>333</v>
      </c>
      <c r="J24" s="12" t="s">
        <v>333</v>
      </c>
      <c r="K24" s="12" t="s">
        <v>333</v>
      </c>
      <c r="L24" s="11">
        <v>4.4783616692426594E-2</v>
      </c>
      <c r="M24" s="11">
        <v>5.7959814528593515E-2</v>
      </c>
      <c r="N24" s="12">
        <v>4.82998454404946E-2</v>
      </c>
      <c r="O24" s="12">
        <v>0.11591962905718703</v>
      </c>
      <c r="P24" s="12">
        <v>0.88871715610510049</v>
      </c>
      <c r="Q24" s="12">
        <v>6.6846986089644522</v>
      </c>
      <c r="R24" s="12">
        <v>6.3475656877897996E-2</v>
      </c>
      <c r="S24" s="12" t="s">
        <v>333</v>
      </c>
      <c r="T24" s="12">
        <v>0.20285935085007728</v>
      </c>
      <c r="U24" s="12">
        <v>8.5625965996908825E-3</v>
      </c>
      <c r="V24" s="12">
        <v>18.151081916537873</v>
      </c>
      <c r="W24" s="12" t="s">
        <v>333</v>
      </c>
      <c r="X24" s="13">
        <v>5.1777434312210205E-4</v>
      </c>
      <c r="Y24" s="12">
        <v>9.6599690880989197E-3</v>
      </c>
      <c r="Z24" s="12">
        <v>1.9319938176197839E-2</v>
      </c>
      <c r="AA24" s="13">
        <v>7.5830757341576512E-4</v>
      </c>
      <c r="AB24" s="12">
        <v>1.4103554868624422</v>
      </c>
      <c r="AC24" s="12" t="s">
        <v>333</v>
      </c>
      <c r="AD24" s="12" t="s">
        <v>333</v>
      </c>
      <c r="AE24" s="12">
        <v>3.6224884080370945</v>
      </c>
      <c r="AF24" s="14">
        <v>4.2445904173106655E-3</v>
      </c>
      <c r="AG24" s="12">
        <v>2.5598918083462134</v>
      </c>
      <c r="AH24" s="12">
        <v>1.6518547140649151</v>
      </c>
      <c r="AI24" s="12" t="s">
        <v>333</v>
      </c>
      <c r="AJ24" s="12" t="s">
        <v>333</v>
      </c>
      <c r="AK24" s="12">
        <v>3.313369397217929</v>
      </c>
    </row>
    <row r="25" spans="1:37" x14ac:dyDescent="0.25">
      <c r="A25" s="7" t="s">
        <v>356</v>
      </c>
      <c r="B25" s="7" t="str">
        <f t="shared" si="0"/>
        <v>2768-24</v>
      </c>
      <c r="C25" s="7">
        <f>VLOOKUP(B25,'CEBAS-DEWOOD code'!A$2:B$302,2,FALSE)</f>
        <v>1072</v>
      </c>
      <c r="D25" s="7" t="str">
        <f>VLOOKUP(IONOMICS!C25,'Field Table'!A$2:E$661,3,FALSE)</f>
        <v>FS</v>
      </c>
      <c r="E25" s="7" t="str">
        <f>VLOOKUP(IONOMICS!C25,'Field Table'!A$2:E$661,4,FALSE)</f>
        <v>4</v>
      </c>
      <c r="F25" s="7" t="str">
        <f>VLOOKUP(IONOMICS!C25,'Field Table'!A$2:E$661,5,FALSE)</f>
        <v>01</v>
      </c>
      <c r="G25" s="11">
        <v>34.869953416149066</v>
      </c>
      <c r="H25" s="12" t="s">
        <v>333</v>
      </c>
      <c r="I25" s="12" t="s">
        <v>333</v>
      </c>
      <c r="J25" s="12" t="s">
        <v>333</v>
      </c>
      <c r="K25" s="12" t="s">
        <v>333</v>
      </c>
      <c r="L25" s="11">
        <v>0.49776785714285715</v>
      </c>
      <c r="M25" s="11">
        <v>6.7934782608695649E-2</v>
      </c>
      <c r="N25" s="12">
        <v>4.8524844720496896E-2</v>
      </c>
      <c r="O25" s="12">
        <v>0.31055900621118016</v>
      </c>
      <c r="P25" s="12">
        <v>2.7368012422360248</v>
      </c>
      <c r="Q25" s="12">
        <v>20.652173913043477</v>
      </c>
      <c r="R25" s="12">
        <v>4.0925854037267083E-2</v>
      </c>
      <c r="S25" s="12" t="s">
        <v>333</v>
      </c>
      <c r="T25" s="12">
        <v>0.14557453416149069</v>
      </c>
      <c r="U25" s="12">
        <v>2.9473990683229815E-2</v>
      </c>
      <c r="V25" s="12">
        <v>129.75543478260869</v>
      </c>
      <c r="W25" s="12" t="s">
        <v>333</v>
      </c>
      <c r="X25" s="13">
        <v>2.2234083850931679E-3</v>
      </c>
      <c r="Y25" s="12">
        <v>0.51436335403726707</v>
      </c>
      <c r="Z25" s="12">
        <v>1.25194099378882</v>
      </c>
      <c r="AA25" s="13">
        <v>1.2121506211180126E-2</v>
      </c>
      <c r="AB25" s="12">
        <v>0.77639751552795033</v>
      </c>
      <c r="AC25" s="12" t="s">
        <v>333</v>
      </c>
      <c r="AD25" s="12" t="s">
        <v>333</v>
      </c>
      <c r="AE25" s="12">
        <v>326.28105590062114</v>
      </c>
      <c r="AF25" s="14">
        <v>2.2350543478260869E-2</v>
      </c>
      <c r="AG25" s="12">
        <v>35.636645962732928</v>
      </c>
      <c r="AH25" s="12">
        <v>1.5139751552795029</v>
      </c>
      <c r="AI25" s="12" t="s">
        <v>333</v>
      </c>
      <c r="AJ25" s="12" t="s">
        <v>333</v>
      </c>
      <c r="AK25" s="12">
        <v>10.869565217391306</v>
      </c>
    </row>
    <row r="26" spans="1:37" x14ac:dyDescent="0.25">
      <c r="A26" s="7" t="s">
        <v>357</v>
      </c>
      <c r="B26" s="7" t="str">
        <f t="shared" si="0"/>
        <v>2768-25</v>
      </c>
      <c r="C26" s="7">
        <f>VLOOKUP(B26,'CEBAS-DEWOOD code'!A$2:B$302,2,FALSE)</f>
        <v>410</v>
      </c>
      <c r="D26" s="7" t="str">
        <f>VLOOKUP(IONOMICS!C26,'Field Table'!A$2:E$661,3,FALSE)</f>
        <v>FS</v>
      </c>
      <c r="E26" s="7" t="str">
        <f>VLOOKUP(IONOMICS!C26,'Field Table'!A$2:E$661,4,FALSE)</f>
        <v>2</v>
      </c>
      <c r="F26" s="7" t="str">
        <f>VLOOKUP(IONOMICS!C26,'Field Table'!A$2:E$661,5,FALSE)</f>
        <v>10</v>
      </c>
      <c r="G26" s="11">
        <v>1.8974700399467377</v>
      </c>
      <c r="H26" s="12">
        <v>0.13315579227696403</v>
      </c>
      <c r="I26" s="12" t="s">
        <v>333</v>
      </c>
      <c r="J26" s="12" t="s">
        <v>333</v>
      </c>
      <c r="K26" s="12" t="s">
        <v>333</v>
      </c>
      <c r="L26" s="11">
        <v>0.1222814025743453</v>
      </c>
      <c r="M26" s="11">
        <v>0.19973368841544606</v>
      </c>
      <c r="N26" s="12">
        <v>0.12205947625388371</v>
      </c>
      <c r="O26" s="12">
        <v>2.2192632046160676E-2</v>
      </c>
      <c r="P26" s="12">
        <v>0.98757212605415001</v>
      </c>
      <c r="Q26" s="12">
        <v>6.458055925432757</v>
      </c>
      <c r="R26" s="12">
        <v>0.10788948069241013</v>
      </c>
      <c r="S26" s="12" t="s">
        <v>333</v>
      </c>
      <c r="T26" s="12">
        <v>0.13315579227696403</v>
      </c>
      <c r="U26" s="12">
        <v>3.3388814913448736E-2</v>
      </c>
      <c r="V26" s="12">
        <v>153.01819795827785</v>
      </c>
      <c r="W26" s="12" t="s">
        <v>333</v>
      </c>
      <c r="X26" s="13" t="s">
        <v>333</v>
      </c>
      <c r="Y26" s="12">
        <v>0.83222370173102533</v>
      </c>
      <c r="Z26" s="12">
        <v>0.16644474034620504</v>
      </c>
      <c r="AA26" s="13">
        <v>7.6165113182423442E-3</v>
      </c>
      <c r="AB26" s="12">
        <v>3.6506879715934311</v>
      </c>
      <c r="AC26" s="12" t="s">
        <v>333</v>
      </c>
      <c r="AD26" s="12" t="s">
        <v>333</v>
      </c>
      <c r="AE26" s="12">
        <v>8.3444296493564138</v>
      </c>
      <c r="AF26" s="14">
        <v>1.1140701287172658E-2</v>
      </c>
      <c r="AG26" s="12">
        <v>7.6009764758100316</v>
      </c>
      <c r="AH26" s="12">
        <v>0.47714158899245451</v>
      </c>
      <c r="AI26" s="12" t="s">
        <v>333</v>
      </c>
      <c r="AJ26" s="12" t="s">
        <v>333</v>
      </c>
      <c r="AK26" s="12">
        <v>3.6617842876165114</v>
      </c>
    </row>
    <row r="27" spans="1:37" x14ac:dyDescent="0.25">
      <c r="A27" s="7" t="s">
        <v>358</v>
      </c>
      <c r="B27" s="7" t="str">
        <f t="shared" si="0"/>
        <v>2768-26</v>
      </c>
      <c r="C27" s="7">
        <f>VLOOKUP(B27,'CEBAS-DEWOOD code'!A$2:B$302,2,FALSE)</f>
        <v>76</v>
      </c>
      <c r="D27" s="7" t="str">
        <f>VLOOKUP(IONOMICS!C27,'Field Table'!A$2:E$661,3,FALSE)</f>
        <v>FS</v>
      </c>
      <c r="E27" s="7" t="str">
        <f>VLOOKUP(IONOMICS!C27,'Field Table'!A$2:E$661,4,FALSE)</f>
        <v>1</v>
      </c>
      <c r="F27" s="7" t="str">
        <f>VLOOKUP(IONOMICS!C27,'Field Table'!A$2:E$661,5,FALSE)</f>
        <v>25</v>
      </c>
      <c r="G27" s="11">
        <v>12.842801175318314</v>
      </c>
      <c r="H27" s="12" t="s">
        <v>333</v>
      </c>
      <c r="I27" s="12" t="s">
        <v>333</v>
      </c>
      <c r="J27" s="12" t="s">
        <v>333</v>
      </c>
      <c r="K27" s="12" t="s">
        <v>333</v>
      </c>
      <c r="L27" s="11">
        <v>9.4637610186092083E-2</v>
      </c>
      <c r="M27" s="11">
        <v>7.3457394711067575E-2</v>
      </c>
      <c r="N27" s="12">
        <v>8.5700293829578833E-2</v>
      </c>
      <c r="O27" s="12">
        <v>0.33055827619980416</v>
      </c>
      <c r="P27" s="12">
        <v>1.444662095984329</v>
      </c>
      <c r="Q27" s="12">
        <v>18.217433888344761</v>
      </c>
      <c r="R27" s="12">
        <v>0.14569049951028404</v>
      </c>
      <c r="S27" s="12" t="s">
        <v>333</v>
      </c>
      <c r="T27" s="12">
        <v>0.28158667972575907</v>
      </c>
      <c r="U27" s="12">
        <v>2.6738491674828602E-2</v>
      </c>
      <c r="V27" s="12">
        <v>62.487757100881488</v>
      </c>
      <c r="W27" s="12" t="s">
        <v>333</v>
      </c>
      <c r="X27" s="13">
        <v>7.4265426052889331E-3</v>
      </c>
      <c r="Y27" s="12">
        <v>0.8202742409402547</v>
      </c>
      <c r="Z27" s="12">
        <v>0.18364348677766895</v>
      </c>
      <c r="AA27" s="13">
        <v>5.4113614103819792E-3</v>
      </c>
      <c r="AB27" s="12">
        <v>4.9951028403525957</v>
      </c>
      <c r="AC27" s="12" t="s">
        <v>333</v>
      </c>
      <c r="AD27" s="12" t="s">
        <v>333</v>
      </c>
      <c r="AE27" s="12">
        <v>19.931439764936339</v>
      </c>
      <c r="AF27" s="14">
        <v>1.0568070519098922E-2</v>
      </c>
      <c r="AG27" s="12">
        <v>7.2233104799216452</v>
      </c>
      <c r="AH27" s="12">
        <v>4.4809010773751226</v>
      </c>
      <c r="AI27" s="12" t="s">
        <v>333</v>
      </c>
      <c r="AJ27" s="12" t="s">
        <v>333</v>
      </c>
      <c r="AK27" s="12">
        <v>3.3055827619980414</v>
      </c>
    </row>
    <row r="28" spans="1:37" x14ac:dyDescent="0.25">
      <c r="A28" s="7" t="s">
        <v>359</v>
      </c>
      <c r="B28" s="7" t="str">
        <f t="shared" si="0"/>
        <v>2768-27</v>
      </c>
      <c r="C28" s="7">
        <f>VLOOKUP(B28,'CEBAS-DEWOOD code'!A$2:B$302,2,FALSE)</f>
        <v>1014</v>
      </c>
      <c r="D28" s="7" t="str">
        <f>VLOOKUP(IONOMICS!C28,'Field Table'!A$2:E$661,3,FALSE)</f>
        <v>AA</v>
      </c>
      <c r="E28" s="7" t="str">
        <f>VLOOKUP(IONOMICS!C28,'Field Table'!A$2:E$661,4,FALSE)</f>
        <v>2</v>
      </c>
      <c r="F28" s="7" t="str">
        <f>VLOOKUP(IONOMICS!C28,'Field Table'!A$2:E$661,5,FALSE)</f>
        <v>01</v>
      </c>
      <c r="G28" s="11">
        <v>27.463440111420613</v>
      </c>
      <c r="H28" s="12">
        <v>4.3523676880222843E-2</v>
      </c>
      <c r="I28" s="12" t="s">
        <v>333</v>
      </c>
      <c r="J28" s="12" t="s">
        <v>333</v>
      </c>
      <c r="K28" s="12" t="s">
        <v>333</v>
      </c>
      <c r="L28" s="11">
        <v>0.1129874651810585</v>
      </c>
      <c r="M28" s="11">
        <v>0.1653899721448468</v>
      </c>
      <c r="N28" s="12" t="s">
        <v>333</v>
      </c>
      <c r="O28" s="12">
        <v>0.1915041782729805</v>
      </c>
      <c r="P28" s="12">
        <v>2.1587743732590527</v>
      </c>
      <c r="Q28" s="12">
        <v>12.19533426183844</v>
      </c>
      <c r="R28" s="12">
        <v>6.3849233983286902E-2</v>
      </c>
      <c r="S28" s="12" t="s">
        <v>333</v>
      </c>
      <c r="T28" s="12">
        <v>0.1392757660167131</v>
      </c>
      <c r="U28" s="12">
        <v>1.7740250696378829E-2</v>
      </c>
      <c r="V28" s="12">
        <v>73.911908077994426</v>
      </c>
      <c r="W28" s="12" t="s">
        <v>333</v>
      </c>
      <c r="X28" s="13">
        <v>3.6472841225626741E-4</v>
      </c>
      <c r="Y28" s="12">
        <v>0.24373259052924787</v>
      </c>
      <c r="Z28" s="12">
        <v>0.2785515320334262</v>
      </c>
      <c r="AA28" s="13">
        <v>5.6841922005571033E-3</v>
      </c>
      <c r="AB28" s="12">
        <v>0.86176880222841235</v>
      </c>
      <c r="AC28" s="12" t="s">
        <v>333</v>
      </c>
      <c r="AD28" s="12" t="s">
        <v>333</v>
      </c>
      <c r="AE28" s="12">
        <v>26.54073816155989</v>
      </c>
      <c r="AF28" s="14">
        <v>9.6709610027855154E-3</v>
      </c>
      <c r="AG28" s="12">
        <v>4.2305013927576596</v>
      </c>
      <c r="AH28" s="12">
        <v>0.84435933147632303</v>
      </c>
      <c r="AI28" s="12" t="s">
        <v>333</v>
      </c>
      <c r="AJ28" s="12" t="s">
        <v>333</v>
      </c>
      <c r="AK28" s="12">
        <v>10.219359331476323</v>
      </c>
    </row>
    <row r="29" spans="1:37" x14ac:dyDescent="0.25">
      <c r="A29" s="7" t="s">
        <v>360</v>
      </c>
      <c r="B29" s="7" t="str">
        <f t="shared" si="0"/>
        <v>2768-28</v>
      </c>
      <c r="C29" s="7" t="e">
        <f>VLOOKUP(B29,'CEBAS-DEWOOD code'!A$2:B$302,2,FALSE)</f>
        <v>#N/A</v>
      </c>
      <c r="D29" s="7" t="e">
        <f>VLOOKUP(IONOMICS!C29,'Field Table'!A$2:E$661,3,FALSE)</f>
        <v>#N/A</v>
      </c>
      <c r="E29" s="7" t="e">
        <f>VLOOKUP(IONOMICS!C29,'Field Table'!A$2:E$661,4,FALSE)</f>
        <v>#N/A</v>
      </c>
      <c r="F29" s="7" t="e">
        <f>VLOOKUP(IONOMICS!C29,'Field Table'!A$2:E$661,5,FALSE)</f>
        <v>#N/A</v>
      </c>
      <c r="G29" s="11">
        <v>4.4871794871794872</v>
      </c>
      <c r="H29" s="12">
        <v>0.10508617065994116</v>
      </c>
      <c r="I29" s="12" t="s">
        <v>333</v>
      </c>
      <c r="J29" s="12" t="s">
        <v>333</v>
      </c>
      <c r="K29" s="12" t="s">
        <v>333</v>
      </c>
      <c r="L29" s="11">
        <v>0.10571668768390081</v>
      </c>
      <c r="M29" s="11">
        <v>0.10508617065994116</v>
      </c>
      <c r="N29" s="12" t="s">
        <v>333</v>
      </c>
      <c r="O29" s="12" t="s">
        <v>333</v>
      </c>
      <c r="P29" s="12">
        <v>1.1664564943253468</v>
      </c>
      <c r="Q29" s="12">
        <v>3.3417402269861287</v>
      </c>
      <c r="R29" s="12">
        <v>8.5834384195039914E-2</v>
      </c>
      <c r="S29" s="12" t="s">
        <v>333</v>
      </c>
      <c r="T29" s="12">
        <v>0.16813787305590586</v>
      </c>
      <c r="U29" s="12">
        <v>6.1664564943253473E-2</v>
      </c>
      <c r="V29" s="12">
        <v>40.500210172341319</v>
      </c>
      <c r="W29" s="12" t="s">
        <v>333</v>
      </c>
      <c r="X29" s="13">
        <v>1.0718789407313999E-4</v>
      </c>
      <c r="Y29" s="12">
        <v>0.66204287515762927</v>
      </c>
      <c r="Z29" s="12">
        <v>9.4577553593947039E-2</v>
      </c>
      <c r="AA29" s="13">
        <v>6.5048339638503578E-3</v>
      </c>
      <c r="AB29" s="12">
        <v>3.0369903320722988</v>
      </c>
      <c r="AC29" s="12" t="s">
        <v>333</v>
      </c>
      <c r="AD29" s="12" t="s">
        <v>333</v>
      </c>
      <c r="AE29" s="12">
        <v>26.944094157208912</v>
      </c>
      <c r="AF29" s="14">
        <v>1.0153425809163515E-2</v>
      </c>
      <c r="AG29" s="12">
        <v>9.4052122740647324</v>
      </c>
      <c r="AH29" s="12">
        <v>0.39932744850777641</v>
      </c>
      <c r="AI29" s="12" t="s">
        <v>333</v>
      </c>
      <c r="AJ29" s="12" t="s">
        <v>333</v>
      </c>
      <c r="AK29" s="12">
        <v>3.3837746952501049</v>
      </c>
    </row>
    <row r="30" spans="1:37" x14ac:dyDescent="0.25">
      <c r="A30" s="7" t="s">
        <v>361</v>
      </c>
      <c r="B30" s="7" t="str">
        <f t="shared" si="0"/>
        <v>2768-29</v>
      </c>
      <c r="C30" s="7">
        <f>VLOOKUP(B30,'CEBAS-DEWOOD code'!A$2:B$302,2,FALSE)</f>
        <v>189</v>
      </c>
      <c r="D30" s="7" t="str">
        <f>VLOOKUP(IONOMICS!C30,'Field Table'!A$2:E$661,3,FALSE)</f>
        <v>AA</v>
      </c>
      <c r="E30" s="7" t="str">
        <f>VLOOKUP(IONOMICS!C30,'Field Table'!A$2:E$661,4,FALSE)</f>
        <v>2</v>
      </c>
      <c r="F30" s="7" t="str">
        <f>VLOOKUP(IONOMICS!C30,'Field Table'!A$2:E$661,5,FALSE)</f>
        <v>10</v>
      </c>
      <c r="G30" s="11">
        <v>7.6106842297841206</v>
      </c>
      <c r="H30" s="12">
        <v>5.4884742041712405E-2</v>
      </c>
      <c r="I30" s="12" t="s">
        <v>333</v>
      </c>
      <c r="J30" s="12" t="s">
        <v>333</v>
      </c>
      <c r="K30" s="12" t="s">
        <v>333</v>
      </c>
      <c r="L30" s="11">
        <v>7.2639956092206359E-2</v>
      </c>
      <c r="M30" s="11">
        <v>7.3179656055616549E-2</v>
      </c>
      <c r="N30" s="12" t="s">
        <v>333</v>
      </c>
      <c r="O30" s="12">
        <v>2.7442371020856202E-2</v>
      </c>
      <c r="P30" s="12">
        <v>0.69520673252835719</v>
      </c>
      <c r="Q30" s="12">
        <v>1.6008049762166121</v>
      </c>
      <c r="R30" s="12">
        <v>0.11260519575557995</v>
      </c>
      <c r="S30" s="12" t="s">
        <v>333</v>
      </c>
      <c r="T30" s="12">
        <v>0.10062202707647275</v>
      </c>
      <c r="U30" s="12">
        <v>1.5120746432491767E-2</v>
      </c>
      <c r="V30" s="12">
        <v>26.07025246981339</v>
      </c>
      <c r="W30" s="12" t="s">
        <v>333</v>
      </c>
      <c r="X30" s="13">
        <v>1.1525795828759606E-4</v>
      </c>
      <c r="Y30" s="12">
        <v>7.3179656055616549E-2</v>
      </c>
      <c r="Z30" s="12">
        <v>6.4032199048664473E-2</v>
      </c>
      <c r="AA30" s="13">
        <v>1.5825100622027077E-3</v>
      </c>
      <c r="AB30" s="12">
        <v>2.0764727405781196</v>
      </c>
      <c r="AC30" s="12" t="s">
        <v>333</v>
      </c>
      <c r="AD30" s="12" t="s">
        <v>333</v>
      </c>
      <c r="AE30" s="12">
        <v>2.5246981339187706</v>
      </c>
      <c r="AF30" s="14">
        <v>5.2003293084522508E-3</v>
      </c>
      <c r="AG30" s="12">
        <v>4.5554335894621296</v>
      </c>
      <c r="AH30" s="12">
        <v>0.19209659714599342</v>
      </c>
      <c r="AI30" s="12" t="s">
        <v>333</v>
      </c>
      <c r="AJ30" s="12" t="s">
        <v>333</v>
      </c>
      <c r="AK30" s="12">
        <v>3.4760336626417856</v>
      </c>
    </row>
    <row r="31" spans="1:37" x14ac:dyDescent="0.25">
      <c r="A31" s="7" t="s">
        <v>362</v>
      </c>
      <c r="B31" s="7" t="str">
        <f t="shared" si="0"/>
        <v>2768-30</v>
      </c>
      <c r="C31" s="7">
        <f>VLOOKUP(B31,'CEBAS-DEWOOD code'!A$2:B$302,2,FALSE)</f>
        <v>1063</v>
      </c>
      <c r="D31" s="7" t="str">
        <f>VLOOKUP(IONOMICS!C31,'Field Table'!A$2:E$661,3,FALSE)</f>
        <v>AA</v>
      </c>
      <c r="E31" s="7" t="str">
        <f>VLOOKUP(IONOMICS!C31,'Field Table'!A$2:E$661,4,FALSE)</f>
        <v>4</v>
      </c>
      <c r="F31" s="7" t="str">
        <f>VLOOKUP(IONOMICS!C31,'Field Table'!A$2:E$661,5,FALSE)</f>
        <v>01</v>
      </c>
      <c r="G31" s="11">
        <v>102.39572989076464</v>
      </c>
      <c r="H31" s="12" t="s">
        <v>333</v>
      </c>
      <c r="I31" s="12" t="s">
        <v>333</v>
      </c>
      <c r="J31" s="12" t="s">
        <v>333</v>
      </c>
      <c r="K31" s="12" t="s">
        <v>333</v>
      </c>
      <c r="L31" s="11">
        <v>0.23286991062562068</v>
      </c>
      <c r="M31" s="11">
        <v>0.40963257199602782</v>
      </c>
      <c r="N31" s="12" t="s">
        <v>333</v>
      </c>
      <c r="O31" s="12">
        <v>0.45928500496524333</v>
      </c>
      <c r="P31" s="12">
        <v>2.8550148957298904</v>
      </c>
      <c r="Q31" s="12">
        <v>41.53426017874876</v>
      </c>
      <c r="R31" s="12">
        <v>1.4039225422045682E-2</v>
      </c>
      <c r="S31" s="12" t="s">
        <v>333</v>
      </c>
      <c r="T31" s="12">
        <v>9.9304865938430992E-2</v>
      </c>
      <c r="U31" s="12">
        <v>1.8247269116186692E-2</v>
      </c>
      <c r="V31" s="12">
        <v>104.22045680238332</v>
      </c>
      <c r="W31" s="12" t="s">
        <v>333</v>
      </c>
      <c r="X31" s="13">
        <v>1.4374379344587885E-3</v>
      </c>
      <c r="Y31" s="12">
        <v>0.3227408142999007</v>
      </c>
      <c r="Z31" s="12">
        <v>3.438430983118173</v>
      </c>
      <c r="AA31" s="13">
        <v>7.9568023833167818E-3</v>
      </c>
      <c r="AB31" s="12">
        <v>0.62065541211519371</v>
      </c>
      <c r="AC31" s="12" t="s">
        <v>333</v>
      </c>
      <c r="AD31" s="12" t="s">
        <v>333</v>
      </c>
      <c r="AE31" s="12">
        <v>87.984111221449851</v>
      </c>
      <c r="AF31" s="14">
        <v>1.9116186693147966E-2</v>
      </c>
      <c r="AG31" s="12">
        <v>10.327706057596822</v>
      </c>
      <c r="AH31" s="12">
        <v>2.7929493545183717</v>
      </c>
      <c r="AI31" s="12" t="s">
        <v>333</v>
      </c>
      <c r="AJ31" s="12" t="s">
        <v>333</v>
      </c>
      <c r="AK31" s="12">
        <v>19.401688182720953</v>
      </c>
    </row>
    <row r="32" spans="1:37" x14ac:dyDescent="0.25">
      <c r="A32" s="7" t="s">
        <v>363</v>
      </c>
      <c r="B32" s="7" t="str">
        <f t="shared" si="0"/>
        <v>2768-31</v>
      </c>
      <c r="C32" s="7">
        <f>VLOOKUP(B32,'CEBAS-DEWOOD code'!A$2:B$302,2,FALSE)</f>
        <v>380</v>
      </c>
      <c r="D32" s="7" t="str">
        <f>VLOOKUP(IONOMICS!C32,'Field Table'!A$2:E$661,3,FALSE)</f>
        <v>AA</v>
      </c>
      <c r="E32" s="7" t="str">
        <f>VLOOKUP(IONOMICS!C32,'Field Table'!A$2:E$661,4,FALSE)</f>
        <v>4</v>
      </c>
      <c r="F32" s="7" t="str">
        <f>VLOOKUP(IONOMICS!C32,'Field Table'!A$2:E$661,5,FALSE)</f>
        <v>25</v>
      </c>
      <c r="G32" s="11">
        <v>8.4267563527653202</v>
      </c>
      <c r="H32" s="12">
        <v>9.3423019431988046E-3</v>
      </c>
      <c r="I32" s="12" t="s">
        <v>333</v>
      </c>
      <c r="J32" s="12" t="s">
        <v>333</v>
      </c>
      <c r="K32" s="12" t="s">
        <v>333</v>
      </c>
      <c r="L32" s="11">
        <v>0.14088191330343799</v>
      </c>
      <c r="M32" s="11">
        <v>0.21487294469357249</v>
      </c>
      <c r="N32" s="12" t="s">
        <v>333</v>
      </c>
      <c r="O32" s="12">
        <v>9.3423019431988039E-2</v>
      </c>
      <c r="P32" s="12">
        <v>1.9245142002989537</v>
      </c>
      <c r="Q32" s="12">
        <v>6.4835575485799701</v>
      </c>
      <c r="R32" s="12">
        <v>0.12677503736920778</v>
      </c>
      <c r="S32" s="12" t="s">
        <v>333</v>
      </c>
      <c r="T32" s="12">
        <v>0.18684603886397608</v>
      </c>
      <c r="U32" s="12">
        <v>2.0898729446935726E-2</v>
      </c>
      <c r="V32" s="12">
        <v>53.671524663677133</v>
      </c>
      <c r="W32" s="12" t="s">
        <v>333</v>
      </c>
      <c r="X32" s="13">
        <v>8.0810911808669656E-4</v>
      </c>
      <c r="Y32" s="12">
        <v>0.52316890881913292</v>
      </c>
      <c r="Z32" s="12">
        <v>0.20553064275037369</v>
      </c>
      <c r="AA32" s="13">
        <v>2.8447309417040357E-3</v>
      </c>
      <c r="AB32" s="12">
        <v>1.4200298953662183</v>
      </c>
      <c r="AC32" s="12" t="s">
        <v>333</v>
      </c>
      <c r="AD32" s="12" t="s">
        <v>333</v>
      </c>
      <c r="AE32" s="12">
        <v>9.1834828101644241</v>
      </c>
      <c r="AF32" s="14">
        <v>7.9017189835575482E-3</v>
      </c>
      <c r="AG32" s="12">
        <v>10.650224215246636</v>
      </c>
      <c r="AH32" s="12">
        <v>0.41106128550074739</v>
      </c>
      <c r="AI32" s="12" t="s">
        <v>333</v>
      </c>
      <c r="AJ32" s="12" t="s">
        <v>333</v>
      </c>
      <c r="AK32" s="12">
        <v>6.2406576980568005</v>
      </c>
    </row>
    <row r="33" spans="1:37" x14ac:dyDescent="0.25">
      <c r="A33" s="7" t="s">
        <v>364</v>
      </c>
      <c r="B33" s="7" t="str">
        <f t="shared" si="0"/>
        <v>2768-32</v>
      </c>
      <c r="C33" s="7">
        <f>VLOOKUP(B33,'CEBAS-DEWOOD code'!A$2:B$302,2,FALSE)</f>
        <v>1005</v>
      </c>
      <c r="D33" s="7" t="str">
        <f>VLOOKUP(IONOMICS!C33,'Field Table'!A$2:E$661,3,FALSE)</f>
        <v>FS</v>
      </c>
      <c r="E33" s="7" t="str">
        <f>VLOOKUP(IONOMICS!C33,'Field Table'!A$2:E$661,4,FALSE)</f>
        <v>2</v>
      </c>
      <c r="F33" s="7" t="str">
        <f>VLOOKUP(IONOMICS!C33,'Field Table'!A$2:E$661,5,FALSE)</f>
        <v>01</v>
      </c>
      <c r="G33" s="11">
        <v>14.134972170686455</v>
      </c>
      <c r="H33" s="12">
        <v>4.6382189239332093E-2</v>
      </c>
      <c r="I33" s="12" t="s">
        <v>333</v>
      </c>
      <c r="J33" s="12" t="s">
        <v>333</v>
      </c>
      <c r="K33" s="12" t="s">
        <v>333</v>
      </c>
      <c r="L33" s="11">
        <v>0.26495825602968459</v>
      </c>
      <c r="M33" s="11">
        <v>6.9573283858998136E-2</v>
      </c>
      <c r="N33" s="12" t="s">
        <v>333</v>
      </c>
      <c r="O33" s="12">
        <v>0.24350649350649348</v>
      </c>
      <c r="P33" s="12">
        <v>2.1683673469387754</v>
      </c>
      <c r="Q33" s="12">
        <v>11.989795918367346</v>
      </c>
      <c r="R33" s="12">
        <v>8.2224025974025963E-2</v>
      </c>
      <c r="S33" s="12" t="s">
        <v>333</v>
      </c>
      <c r="T33" s="12">
        <v>0.24350649350649348</v>
      </c>
      <c r="U33" s="12">
        <v>3.0820964749536175E-2</v>
      </c>
      <c r="V33" s="12">
        <v>78.849721706864557</v>
      </c>
      <c r="W33" s="12" t="s">
        <v>333</v>
      </c>
      <c r="X33" s="13">
        <v>4.8817254174397025E-4</v>
      </c>
      <c r="Y33" s="12">
        <v>1.3218923933209648</v>
      </c>
      <c r="Z33" s="12">
        <v>0.68413729128014833</v>
      </c>
      <c r="AA33" s="13">
        <v>1.441326530612245E-2</v>
      </c>
      <c r="AB33" s="12">
        <v>2.8872912801484225</v>
      </c>
      <c r="AC33" s="12" t="s">
        <v>333</v>
      </c>
      <c r="AD33" s="12" t="s">
        <v>333</v>
      </c>
      <c r="AE33" s="12">
        <v>365.02782931354358</v>
      </c>
      <c r="AF33" s="14">
        <v>1.9399350649350649E-2</v>
      </c>
      <c r="AG33" s="12">
        <v>17.312152133580703</v>
      </c>
      <c r="AH33" s="12">
        <v>1.1131725417439702</v>
      </c>
      <c r="AI33" s="12" t="s">
        <v>333</v>
      </c>
      <c r="AJ33" s="12" t="s">
        <v>333</v>
      </c>
      <c r="AK33" s="12">
        <v>4.2323747680890538</v>
      </c>
    </row>
    <row r="34" spans="1:37" x14ac:dyDescent="0.25">
      <c r="A34" s="7" t="s">
        <v>365</v>
      </c>
      <c r="B34" s="7" t="str">
        <f t="shared" si="0"/>
        <v>2768-33</v>
      </c>
      <c r="C34" s="7">
        <f>VLOOKUP(B34,'CEBAS-DEWOOD code'!A$2:B$302,2,FALSE)</f>
        <v>110</v>
      </c>
      <c r="D34" s="7" t="str">
        <f>VLOOKUP(IONOMICS!C34,'Field Table'!A$2:E$661,3,FALSE)</f>
        <v>AA</v>
      </c>
      <c r="E34" s="7" t="str">
        <f>VLOOKUP(IONOMICS!C34,'Field Table'!A$2:E$661,4,FALSE)</f>
        <v>2</v>
      </c>
      <c r="F34" s="7" t="str">
        <f>VLOOKUP(IONOMICS!C34,'Field Table'!A$2:E$661,5,FALSE)</f>
        <v>25</v>
      </c>
      <c r="G34" s="11">
        <v>6.0918114143920592</v>
      </c>
      <c r="H34" s="12" t="s">
        <v>333</v>
      </c>
      <c r="I34" s="12" t="s">
        <v>333</v>
      </c>
      <c r="J34" s="12" t="s">
        <v>333</v>
      </c>
      <c r="K34" s="12" t="s">
        <v>333</v>
      </c>
      <c r="L34" s="11">
        <v>3.983870967741935E-2</v>
      </c>
      <c r="M34" s="11">
        <v>3.7220843672456573E-2</v>
      </c>
      <c r="N34" s="12" t="s">
        <v>333</v>
      </c>
      <c r="O34" s="12" t="s">
        <v>333</v>
      </c>
      <c r="P34" s="12">
        <v>0.79404466501240689</v>
      </c>
      <c r="Q34" s="12">
        <v>3.8585607940446645</v>
      </c>
      <c r="R34" s="12">
        <v>7.7679900744416872E-2</v>
      </c>
      <c r="S34" s="12" t="s">
        <v>333</v>
      </c>
      <c r="T34" s="12">
        <v>0.22332506203473942</v>
      </c>
      <c r="U34" s="12">
        <v>8.526054590570719E-3</v>
      </c>
      <c r="V34" s="12">
        <v>16.40198511166253</v>
      </c>
      <c r="W34" s="12" t="s">
        <v>333</v>
      </c>
      <c r="X34" s="13" t="s">
        <v>333</v>
      </c>
      <c r="Y34" s="12">
        <v>7.4441687344913146E-2</v>
      </c>
      <c r="Z34" s="12">
        <v>0.12406947890818859</v>
      </c>
      <c r="AA34" s="13">
        <v>6.4888337468982631E-4</v>
      </c>
      <c r="AB34" s="12">
        <v>1.5384615384615383</v>
      </c>
      <c r="AC34" s="12" t="s">
        <v>333</v>
      </c>
      <c r="AD34" s="12" t="s">
        <v>333</v>
      </c>
      <c r="AE34" s="12">
        <v>5.2729528535980146</v>
      </c>
      <c r="AF34" s="14">
        <v>4.4689826302729526E-3</v>
      </c>
      <c r="AG34" s="12">
        <v>2.6426799007444166</v>
      </c>
      <c r="AH34" s="12">
        <v>0.74441687344913143</v>
      </c>
      <c r="AI34" s="12" t="s">
        <v>333</v>
      </c>
      <c r="AJ34" s="12" t="s">
        <v>333</v>
      </c>
      <c r="AK34" s="12">
        <v>2.8039702233250616</v>
      </c>
    </row>
    <row r="35" spans="1:37" x14ac:dyDescent="0.25">
      <c r="A35" s="7" t="s">
        <v>366</v>
      </c>
      <c r="B35" s="7" t="str">
        <f t="shared" si="0"/>
        <v>2768-34</v>
      </c>
      <c r="C35" s="7" t="e">
        <f>VLOOKUP(B35,'CEBAS-DEWOOD code'!A$2:B$302,2,FALSE)</f>
        <v>#N/A</v>
      </c>
      <c r="D35" s="7" t="e">
        <f>VLOOKUP(IONOMICS!C35,'Field Table'!A$2:E$661,3,FALSE)</f>
        <v>#N/A</v>
      </c>
      <c r="E35" s="7" t="e">
        <f>VLOOKUP(IONOMICS!C35,'Field Table'!A$2:E$661,4,FALSE)</f>
        <v>#N/A</v>
      </c>
      <c r="F35" s="7" t="e">
        <f>VLOOKUP(IONOMICS!C35,'Field Table'!A$2:E$661,5,FALSE)</f>
        <v>#N/A</v>
      </c>
      <c r="G35" s="11">
        <v>8.1960784313725483</v>
      </c>
      <c r="H35" s="12">
        <v>0.11764705882352941</v>
      </c>
      <c r="I35" s="12" t="s">
        <v>333</v>
      </c>
      <c r="J35" s="12" t="s">
        <v>333</v>
      </c>
      <c r="K35" s="12" t="s">
        <v>333</v>
      </c>
      <c r="L35" s="11">
        <v>0.22813725490196077</v>
      </c>
      <c r="M35" s="11">
        <v>9.8039215686274508E-2</v>
      </c>
      <c r="N35" s="12">
        <v>4.9019607843137254E-2</v>
      </c>
      <c r="O35" s="12">
        <v>0.16666666666666666</v>
      </c>
      <c r="P35" s="12">
        <v>1.3627450980392155</v>
      </c>
      <c r="Q35" s="12">
        <v>2.5</v>
      </c>
      <c r="R35" s="12">
        <v>2.5205882352941179E-2</v>
      </c>
      <c r="S35" s="12" t="s">
        <v>333</v>
      </c>
      <c r="T35" s="12">
        <v>0.14705882352941177</v>
      </c>
      <c r="U35" s="12">
        <v>4.5892156862745101E-2</v>
      </c>
      <c r="V35" s="12">
        <v>87.049019607843135</v>
      </c>
      <c r="W35" s="12" t="s">
        <v>333</v>
      </c>
      <c r="X35" s="13">
        <v>5.4705882352941177E-4</v>
      </c>
      <c r="Y35" s="12">
        <v>0.1764705882352941</v>
      </c>
      <c r="Z35" s="12">
        <v>0.40196078431372551</v>
      </c>
      <c r="AA35" s="13">
        <v>3.0882352941176468E-3</v>
      </c>
      <c r="AB35" s="12">
        <v>0.46078431372549022</v>
      </c>
      <c r="AC35" s="12" t="s">
        <v>333</v>
      </c>
      <c r="AD35" s="12" t="s">
        <v>333</v>
      </c>
      <c r="AE35" s="12">
        <v>4.7254901960784315</v>
      </c>
      <c r="AF35" s="14">
        <v>8.8303921568627444E-3</v>
      </c>
      <c r="AG35" s="12">
        <v>11.313725490196079</v>
      </c>
      <c r="AH35" s="12">
        <v>0.39215686274509803</v>
      </c>
      <c r="AI35" s="12" t="s">
        <v>333</v>
      </c>
      <c r="AJ35" s="12" t="s">
        <v>333</v>
      </c>
      <c r="AK35" s="12">
        <v>6.6862745098039209</v>
      </c>
    </row>
    <row r="36" spans="1:37" x14ac:dyDescent="0.25">
      <c r="A36" s="7" t="s">
        <v>367</v>
      </c>
      <c r="B36" s="7" t="str">
        <f t="shared" si="0"/>
        <v>2768-35</v>
      </c>
      <c r="C36" s="7">
        <f>VLOOKUP(B36,'CEBAS-DEWOOD code'!A$2:B$302,2,FALSE)</f>
        <v>369</v>
      </c>
      <c r="D36" s="7" t="str">
        <f>VLOOKUP(IONOMICS!C36,'Field Table'!A$2:E$661,3,FALSE)</f>
        <v>AA</v>
      </c>
      <c r="E36" s="7" t="str">
        <f>VLOOKUP(IONOMICS!C36,'Field Table'!A$2:E$661,4,FALSE)</f>
        <v>2</v>
      </c>
      <c r="F36" s="7" t="str">
        <f>VLOOKUP(IONOMICS!C36,'Field Table'!A$2:E$661,5,FALSE)</f>
        <v>10</v>
      </c>
      <c r="G36" s="11">
        <v>4.4295862933556203</v>
      </c>
      <c r="H36" s="12" t="s">
        <v>333</v>
      </c>
      <c r="I36" s="12" t="s">
        <v>333</v>
      </c>
      <c r="J36" s="12" t="s">
        <v>333</v>
      </c>
      <c r="K36" s="12" t="s">
        <v>333</v>
      </c>
      <c r="L36" s="11">
        <v>3.6011282908483072E-2</v>
      </c>
      <c r="M36" s="11">
        <v>7.3129962390305045E-2</v>
      </c>
      <c r="N36" s="12" t="s">
        <v>333</v>
      </c>
      <c r="O36" s="12">
        <v>3.1341412452987875E-2</v>
      </c>
      <c r="P36" s="12">
        <v>0.86711241119933125</v>
      </c>
      <c r="Q36" s="12">
        <v>4.3877977434183038</v>
      </c>
      <c r="R36" s="12">
        <v>6.2755954868366062E-2</v>
      </c>
      <c r="S36" s="12" t="s">
        <v>333</v>
      </c>
      <c r="T36" s="12">
        <v>0.27162557459256165</v>
      </c>
      <c r="U36" s="12">
        <v>8.2699540325950685E-3</v>
      </c>
      <c r="V36" s="12">
        <v>16.391558712912662</v>
      </c>
      <c r="W36" s="12" t="s">
        <v>333</v>
      </c>
      <c r="X36" s="13" t="s">
        <v>333</v>
      </c>
      <c r="Y36" s="12" t="s">
        <v>333</v>
      </c>
      <c r="Z36" s="12">
        <v>0.11491851232762222</v>
      </c>
      <c r="AA36" s="13">
        <v>5.2183451734224822E-3</v>
      </c>
      <c r="AB36" s="12">
        <v>0.92979523610530712</v>
      </c>
      <c r="AC36" s="12" t="s">
        <v>333</v>
      </c>
      <c r="AD36" s="12" t="s">
        <v>333</v>
      </c>
      <c r="AE36" s="12">
        <v>8.8173840367739231</v>
      </c>
      <c r="AF36" s="14">
        <v>4.3000417885499373E-3</v>
      </c>
      <c r="AG36" s="12">
        <v>2.298370246552444</v>
      </c>
      <c r="AH36" s="12">
        <v>0.64772252402841612</v>
      </c>
      <c r="AI36" s="12" t="s">
        <v>333</v>
      </c>
      <c r="AJ36" s="12" t="s">
        <v>333</v>
      </c>
      <c r="AK36" s="12">
        <v>3.760969494358545</v>
      </c>
    </row>
    <row r="37" spans="1:37" x14ac:dyDescent="0.25">
      <c r="A37" s="7" t="s">
        <v>368</v>
      </c>
      <c r="B37" s="7" t="str">
        <f t="shared" si="0"/>
        <v>2768-36</v>
      </c>
      <c r="C37" s="7">
        <f>VLOOKUP(B37,'CEBAS-DEWOOD code'!A$2:B$302,2,FALSE)</f>
        <v>1038</v>
      </c>
      <c r="D37" s="7" t="str">
        <f>VLOOKUP(IONOMICS!C37,'Field Table'!A$2:E$661,3,FALSE)</f>
        <v>AA</v>
      </c>
      <c r="E37" s="7" t="str">
        <f>VLOOKUP(IONOMICS!C37,'Field Table'!A$2:E$661,4,FALSE)</f>
        <v>2</v>
      </c>
      <c r="F37" s="7" t="str">
        <f>VLOOKUP(IONOMICS!C37,'Field Table'!A$2:E$661,5,FALSE)</f>
        <v>01</v>
      </c>
      <c r="G37" s="11">
        <v>92.814437555358722</v>
      </c>
      <c r="H37" s="12" t="s">
        <v>333</v>
      </c>
      <c r="I37" s="12" t="s">
        <v>333</v>
      </c>
      <c r="J37" s="12" t="s">
        <v>333</v>
      </c>
      <c r="K37" s="12" t="s">
        <v>333</v>
      </c>
      <c r="L37" s="11">
        <v>0.34078830823737821</v>
      </c>
      <c r="M37" s="11">
        <v>0.47608503100088573</v>
      </c>
      <c r="N37" s="12">
        <v>1.1071744906997343E-2</v>
      </c>
      <c r="O37" s="12">
        <v>5.8458813108945975</v>
      </c>
      <c r="P37" s="12">
        <v>2.9229406554472988</v>
      </c>
      <c r="Q37" s="12">
        <v>54.140832595217006</v>
      </c>
      <c r="R37" s="12">
        <v>7.2752435783879549E-2</v>
      </c>
      <c r="S37" s="12" t="s">
        <v>333</v>
      </c>
      <c r="T37" s="12">
        <v>0.28786536758193093</v>
      </c>
      <c r="U37" s="12">
        <v>3.8319309123117803E-2</v>
      </c>
      <c r="V37" s="12">
        <v>103.29937998228522</v>
      </c>
      <c r="W37" s="12" t="s">
        <v>333</v>
      </c>
      <c r="X37" s="13">
        <v>4.4286979627989372E-4</v>
      </c>
      <c r="Y37" s="12">
        <v>0.62001771479185108</v>
      </c>
      <c r="Z37" s="12">
        <v>1.9596988485385296</v>
      </c>
      <c r="AA37" s="13">
        <v>1.2632860938883968E-2</v>
      </c>
      <c r="AB37" s="12">
        <v>1.4614703277236494</v>
      </c>
      <c r="AC37" s="12" t="s">
        <v>333</v>
      </c>
      <c r="AD37" s="12" t="s">
        <v>333</v>
      </c>
      <c r="AE37" s="12">
        <v>52.900797165633307</v>
      </c>
      <c r="AF37" s="14">
        <v>1.8954827280779452E-2</v>
      </c>
      <c r="AG37" s="12">
        <v>15.732949512843225</v>
      </c>
      <c r="AH37" s="12">
        <v>1.7604074402125776</v>
      </c>
      <c r="AI37" s="12" t="s">
        <v>333</v>
      </c>
      <c r="AJ37" s="12" t="s">
        <v>333</v>
      </c>
      <c r="AK37" s="12">
        <v>31.166961913197518</v>
      </c>
    </row>
    <row r="38" spans="1:37" x14ac:dyDescent="0.25">
      <c r="A38" s="7" t="s">
        <v>369</v>
      </c>
      <c r="B38" s="7" t="str">
        <f t="shared" si="0"/>
        <v>2768-37</v>
      </c>
      <c r="C38" s="7">
        <f>VLOOKUP(B38,'CEBAS-DEWOOD code'!A$2:B$302,2,FALSE)</f>
        <v>268</v>
      </c>
      <c r="D38" s="7" t="str">
        <f>VLOOKUP(IONOMICS!C38,'Field Table'!A$2:E$661,3,FALSE)</f>
        <v>FS</v>
      </c>
      <c r="E38" s="7" t="str">
        <f>VLOOKUP(IONOMICS!C38,'Field Table'!A$2:E$661,4,FALSE)</f>
        <v>2</v>
      </c>
      <c r="F38" s="7" t="str">
        <f>VLOOKUP(IONOMICS!C38,'Field Table'!A$2:E$661,5,FALSE)</f>
        <v>01</v>
      </c>
      <c r="G38" s="11">
        <v>10.279353993889131</v>
      </c>
      <c r="H38" s="12">
        <v>0.94936708860759478</v>
      </c>
      <c r="I38" s="12">
        <v>0.28371890004364908</v>
      </c>
      <c r="J38" s="12" t="s">
        <v>333</v>
      </c>
      <c r="K38" s="12" t="s">
        <v>333</v>
      </c>
      <c r="L38" s="11">
        <v>6.7263203841117419E-2</v>
      </c>
      <c r="M38" s="11">
        <v>0.75294631165429937</v>
      </c>
      <c r="N38" s="12">
        <v>0.42557835006547357</v>
      </c>
      <c r="O38" s="12">
        <v>0.32736796158882581</v>
      </c>
      <c r="P38" s="12">
        <v>1.4295067656045395</v>
      </c>
      <c r="Q38" s="12">
        <v>7.824094281972938</v>
      </c>
      <c r="R38" s="12">
        <v>0.10440855521606286</v>
      </c>
      <c r="S38" s="12" t="s">
        <v>333</v>
      </c>
      <c r="T38" s="12">
        <v>0.49105194238323874</v>
      </c>
      <c r="U38" s="12">
        <v>1.8408991706678306E-2</v>
      </c>
      <c r="V38" s="12">
        <v>30.117852466171978</v>
      </c>
      <c r="W38" s="12">
        <v>1.7241379310344829</v>
      </c>
      <c r="X38" s="13">
        <v>6.3945875163683987E-4</v>
      </c>
      <c r="Y38" s="12">
        <v>0.46922741161065035</v>
      </c>
      <c r="Z38" s="12">
        <v>1.7459624618070713</v>
      </c>
      <c r="AA38" s="13">
        <v>2.2206460061108685E-3</v>
      </c>
      <c r="AB38" s="12">
        <v>1.9205587079877784</v>
      </c>
      <c r="AC38" s="12">
        <v>1.7568747271933651</v>
      </c>
      <c r="AD38" s="12" t="s">
        <v>333</v>
      </c>
      <c r="AE38" s="12">
        <v>14.720646006110867</v>
      </c>
      <c r="AF38" s="14">
        <v>6.212352684417285E-3</v>
      </c>
      <c r="AG38" s="12">
        <v>3.7756438236577914</v>
      </c>
      <c r="AH38" s="12">
        <v>1.3094718463553032</v>
      </c>
      <c r="AI38" s="12" t="s">
        <v>333</v>
      </c>
      <c r="AJ38" s="12">
        <v>0.1636839807944129</v>
      </c>
      <c r="AK38" s="12">
        <v>4.8886948930597987</v>
      </c>
    </row>
    <row r="39" spans="1:37" x14ac:dyDescent="0.25">
      <c r="A39" s="7" t="s">
        <v>370</v>
      </c>
      <c r="B39" s="7" t="str">
        <f t="shared" si="0"/>
        <v>2768-38</v>
      </c>
      <c r="C39" s="7">
        <f>VLOOKUP(B39,'CEBAS-DEWOOD code'!A$2:B$302,2,FALSE)</f>
        <v>157</v>
      </c>
      <c r="D39" s="7" t="str">
        <f>VLOOKUP(IONOMICS!C39,'Field Table'!A$2:E$661,3,FALSE)</f>
        <v>FS</v>
      </c>
      <c r="E39" s="7" t="str">
        <f>VLOOKUP(IONOMICS!C39,'Field Table'!A$2:E$661,4,FALSE)</f>
        <v>4</v>
      </c>
      <c r="F39" s="7" t="str">
        <f>VLOOKUP(IONOMICS!C39,'Field Table'!A$2:E$661,5,FALSE)</f>
        <v>10</v>
      </c>
      <c r="G39" s="11">
        <v>3.8348623853211006</v>
      </c>
      <c r="H39" s="12">
        <v>0.14678899082568805</v>
      </c>
      <c r="I39" s="12">
        <v>9.1743119266055034E-3</v>
      </c>
      <c r="J39" s="12" t="s">
        <v>333</v>
      </c>
      <c r="K39" s="12" t="s">
        <v>333</v>
      </c>
      <c r="L39" s="11">
        <v>8.9045871559633019E-2</v>
      </c>
      <c r="M39" s="11">
        <v>0.14678899082568805</v>
      </c>
      <c r="N39" s="12">
        <v>8.2568807339449532E-2</v>
      </c>
      <c r="O39" s="12">
        <v>0.11009174311926605</v>
      </c>
      <c r="P39" s="12">
        <v>1.1192660550458715</v>
      </c>
      <c r="Q39" s="12">
        <v>2.8073394495412844</v>
      </c>
      <c r="R39" s="12">
        <v>3.81651376146789E-2</v>
      </c>
      <c r="S39" s="12" t="s">
        <v>333</v>
      </c>
      <c r="T39" s="12">
        <v>0.19266055045871558</v>
      </c>
      <c r="U39" s="12">
        <v>4.6605504587155962E-2</v>
      </c>
      <c r="V39" s="12">
        <v>32.311926605504581</v>
      </c>
      <c r="W39" s="12" t="s">
        <v>333</v>
      </c>
      <c r="X39" s="13">
        <v>1.5229357798165135E-4</v>
      </c>
      <c r="Y39" s="12">
        <v>0.44036697247706419</v>
      </c>
      <c r="Z39" s="12">
        <v>0.21100917431192656</v>
      </c>
      <c r="AA39" s="13">
        <v>3.9844036697247705E-3</v>
      </c>
      <c r="AB39" s="12">
        <v>1.5688073394495412</v>
      </c>
      <c r="AC39" s="12" t="s">
        <v>333</v>
      </c>
      <c r="AD39" s="12" t="s">
        <v>333</v>
      </c>
      <c r="AE39" s="12">
        <v>11.064220183486238</v>
      </c>
      <c r="AF39" s="14">
        <v>7.4816513761467888E-3</v>
      </c>
      <c r="AG39" s="12">
        <v>10.330275229357797</v>
      </c>
      <c r="AH39" s="12">
        <v>0.38532110091743116</v>
      </c>
      <c r="AI39" s="12" t="s">
        <v>333</v>
      </c>
      <c r="AJ39" s="12" t="s">
        <v>333</v>
      </c>
      <c r="AK39" s="12">
        <v>2.4311926605504586</v>
      </c>
    </row>
    <row r="40" spans="1:37" x14ac:dyDescent="0.25">
      <c r="A40" s="7" t="s">
        <v>371</v>
      </c>
      <c r="B40" s="7" t="str">
        <f t="shared" si="0"/>
        <v>2768-39</v>
      </c>
      <c r="C40" s="7">
        <f>VLOOKUP(B40,'CEBAS-DEWOOD code'!A$2:B$302,2,FALSE)</f>
        <v>1035</v>
      </c>
      <c r="D40" s="7" t="str">
        <f>VLOOKUP(IONOMICS!C40,'Field Table'!A$2:E$661,3,FALSE)</f>
        <v>FS</v>
      </c>
      <c r="E40" s="7" t="str">
        <f>VLOOKUP(IONOMICS!C40,'Field Table'!A$2:E$661,4,FALSE)</f>
        <v>2</v>
      </c>
      <c r="F40" s="7" t="str">
        <f>VLOOKUP(IONOMICS!C40,'Field Table'!A$2:E$661,5,FALSE)</f>
        <v>01</v>
      </c>
      <c r="G40" s="11">
        <v>11.705653021442494</v>
      </c>
      <c r="H40" s="12">
        <v>3.8986354775828458E-2</v>
      </c>
      <c r="I40" s="12" t="s">
        <v>333</v>
      </c>
      <c r="J40" s="12" t="s">
        <v>333</v>
      </c>
      <c r="K40" s="12" t="s">
        <v>333</v>
      </c>
      <c r="L40" s="11">
        <v>0.18430799220272906</v>
      </c>
      <c r="M40" s="11">
        <v>0.11695906432748537</v>
      </c>
      <c r="N40" s="12">
        <v>5.8479532163742687E-2</v>
      </c>
      <c r="O40" s="12">
        <v>0.17543859649122806</v>
      </c>
      <c r="P40" s="12">
        <v>2.2709551656920079</v>
      </c>
      <c r="Q40" s="12">
        <v>9.5224171539961002</v>
      </c>
      <c r="R40" s="12">
        <v>0.10380116959064328</v>
      </c>
      <c r="S40" s="12" t="s">
        <v>333</v>
      </c>
      <c r="T40" s="12">
        <v>0.26315789473684209</v>
      </c>
      <c r="U40" s="12">
        <v>2.127680311890838E-2</v>
      </c>
      <c r="V40" s="12">
        <v>58.382066276803116</v>
      </c>
      <c r="W40" s="12" t="s">
        <v>333</v>
      </c>
      <c r="X40" s="13">
        <v>6.734892787524366E-4</v>
      </c>
      <c r="Y40" s="12">
        <v>0.51656920077972712</v>
      </c>
      <c r="Z40" s="12">
        <v>0.36062378167641324</v>
      </c>
      <c r="AA40" s="13">
        <v>2.6978557504873293E-2</v>
      </c>
      <c r="AB40" s="12">
        <v>2.6705653021442495</v>
      </c>
      <c r="AC40" s="12" t="s">
        <v>333</v>
      </c>
      <c r="AD40" s="12" t="s">
        <v>333</v>
      </c>
      <c r="AE40" s="12">
        <v>344.05458089668616</v>
      </c>
      <c r="AF40" s="14">
        <v>1.9580896686159845E-2</v>
      </c>
      <c r="AG40" s="12">
        <v>10.847953216374268</v>
      </c>
      <c r="AH40" s="12">
        <v>0.49707602339181284</v>
      </c>
      <c r="AI40" s="12" t="s">
        <v>333</v>
      </c>
      <c r="AJ40" s="12" t="s">
        <v>333</v>
      </c>
      <c r="AK40" s="12">
        <v>4.2300194931773873</v>
      </c>
    </row>
    <row r="41" spans="1:37" x14ac:dyDescent="0.25">
      <c r="A41" s="7" t="s">
        <v>372</v>
      </c>
      <c r="B41" s="7" t="str">
        <f t="shared" si="0"/>
        <v>2768-40</v>
      </c>
      <c r="C41" s="7">
        <f>VLOOKUP(B41,'CEBAS-DEWOOD code'!A$2:B$302,2,FALSE)</f>
        <v>388</v>
      </c>
      <c r="D41" s="7" t="str">
        <f>VLOOKUP(IONOMICS!C41,'Field Table'!A$2:E$661,3,FALSE)</f>
        <v>AA</v>
      </c>
      <c r="E41" s="7" t="str">
        <f>VLOOKUP(IONOMICS!C41,'Field Table'!A$2:E$661,4,FALSE)</f>
        <v>4</v>
      </c>
      <c r="F41" s="7" t="str">
        <f>VLOOKUP(IONOMICS!C41,'Field Table'!A$2:E$661,5,FALSE)</f>
        <v>10</v>
      </c>
      <c r="G41" s="11">
        <v>10.37618335824614</v>
      </c>
      <c r="H41" s="12">
        <v>0.24912805181863482</v>
      </c>
      <c r="I41" s="12" t="s">
        <v>333</v>
      </c>
      <c r="J41" s="12" t="s">
        <v>333</v>
      </c>
      <c r="K41" s="12" t="s">
        <v>333</v>
      </c>
      <c r="L41" s="11">
        <v>9.2937219730941725E-2</v>
      </c>
      <c r="M41" s="11">
        <v>0.51071250622820141</v>
      </c>
      <c r="N41" s="12">
        <v>8.7194818136522162E-2</v>
      </c>
      <c r="O41" s="12">
        <v>0.18684603886397608</v>
      </c>
      <c r="P41" s="12">
        <v>1.3452914798206279</v>
      </c>
      <c r="Q41" s="12">
        <v>12.96711509715994</v>
      </c>
      <c r="R41" s="12">
        <v>4.4494270054808174E-2</v>
      </c>
      <c r="S41" s="12" t="s">
        <v>333</v>
      </c>
      <c r="T41" s="12">
        <v>0.12456402590931741</v>
      </c>
      <c r="U41" s="12">
        <v>2.4900348779272548E-2</v>
      </c>
      <c r="V41" s="12">
        <v>37.356751370204286</v>
      </c>
      <c r="W41" s="12" t="s">
        <v>333</v>
      </c>
      <c r="X41" s="13">
        <v>2.8400597907324369E-4</v>
      </c>
      <c r="Y41" s="12">
        <v>0.17438963627304432</v>
      </c>
      <c r="Z41" s="12">
        <v>0.44843049327354262</v>
      </c>
      <c r="AA41" s="13">
        <v>1.3714499252615844E-3</v>
      </c>
      <c r="AB41" s="12">
        <v>1.0463378176382661</v>
      </c>
      <c r="AC41" s="12" t="s">
        <v>333</v>
      </c>
      <c r="AD41" s="12" t="s">
        <v>333</v>
      </c>
      <c r="AE41" s="12">
        <v>10.762331838565023</v>
      </c>
      <c r="AF41" s="14">
        <v>7.1499750871948176E-3</v>
      </c>
      <c r="AG41" s="12">
        <v>7.2620827105132042</v>
      </c>
      <c r="AH41" s="12">
        <v>0.7847533632286996</v>
      </c>
      <c r="AI41" s="12" t="s">
        <v>333</v>
      </c>
      <c r="AJ41" s="12" t="s">
        <v>333</v>
      </c>
      <c r="AK41" s="12">
        <v>6.0039860488290993</v>
      </c>
    </row>
    <row r="42" spans="1:37" x14ac:dyDescent="0.25">
      <c r="A42" s="7" t="s">
        <v>373</v>
      </c>
      <c r="B42" s="7" t="str">
        <f t="shared" si="0"/>
        <v>2768-41</v>
      </c>
      <c r="C42" s="7">
        <f>VLOOKUP(B42,'CEBAS-DEWOOD code'!A$2:B$302,2,FALSE)</f>
        <v>166</v>
      </c>
      <c r="D42" s="7" t="str">
        <f>VLOOKUP(IONOMICS!C42,'Field Table'!A$2:E$661,3,FALSE)</f>
        <v>AA</v>
      </c>
      <c r="E42" s="7" t="str">
        <f>VLOOKUP(IONOMICS!C42,'Field Table'!A$2:E$661,4,FALSE)</f>
        <v>4</v>
      </c>
      <c r="F42" s="7" t="str">
        <f>VLOOKUP(IONOMICS!C42,'Field Table'!A$2:E$661,5,FALSE)</f>
        <v>10</v>
      </c>
      <c r="G42" s="11">
        <v>10.5732635585157</v>
      </c>
      <c r="H42" s="12">
        <v>8.3254043767840138E-2</v>
      </c>
      <c r="I42" s="12" t="s">
        <v>333</v>
      </c>
      <c r="J42" s="12" t="s">
        <v>333</v>
      </c>
      <c r="K42" s="12" t="s">
        <v>333</v>
      </c>
      <c r="L42" s="11">
        <v>7.987630827783064E-2</v>
      </c>
      <c r="M42" s="11">
        <v>0.19029495718363465</v>
      </c>
      <c r="N42" s="12">
        <v>5.9467174119885828E-2</v>
      </c>
      <c r="O42" s="12" t="s">
        <v>333</v>
      </c>
      <c r="P42" s="12">
        <v>1.9862036156041865</v>
      </c>
      <c r="Q42" s="12">
        <v>6.3035204567078971</v>
      </c>
      <c r="R42" s="12">
        <v>0.14985727878211227</v>
      </c>
      <c r="S42" s="12" t="s">
        <v>333</v>
      </c>
      <c r="T42" s="12">
        <v>8.3254043767840138E-2</v>
      </c>
      <c r="U42" s="12">
        <v>1.585394862036156E-2</v>
      </c>
      <c r="V42" s="12">
        <v>31.493815413891529</v>
      </c>
      <c r="W42" s="12" t="s">
        <v>333</v>
      </c>
      <c r="X42" s="13" t="s">
        <v>333</v>
      </c>
      <c r="Y42" s="12">
        <v>0.17840152235965748</v>
      </c>
      <c r="Z42" s="12">
        <v>0.26165556612749763</v>
      </c>
      <c r="AA42" s="13">
        <v>8.3955756422454814E-3</v>
      </c>
      <c r="AB42" s="12">
        <v>4.4362511893434826</v>
      </c>
      <c r="AC42" s="12" t="s">
        <v>333</v>
      </c>
      <c r="AD42" s="12" t="s">
        <v>333</v>
      </c>
      <c r="AE42" s="12">
        <v>8.68220742150333</v>
      </c>
      <c r="AF42" s="14">
        <v>7.9091341579448152E-3</v>
      </c>
      <c r="AG42" s="12">
        <v>4.709800190294958</v>
      </c>
      <c r="AH42" s="12">
        <v>0.45195052331113228</v>
      </c>
      <c r="AI42" s="12" t="s">
        <v>333</v>
      </c>
      <c r="AJ42" s="12" t="s">
        <v>333</v>
      </c>
      <c r="AK42" s="12">
        <v>6.2797335870599431</v>
      </c>
    </row>
    <row r="43" spans="1:37" x14ac:dyDescent="0.25">
      <c r="A43" s="7" t="s">
        <v>374</v>
      </c>
      <c r="B43" s="7" t="str">
        <f t="shared" si="0"/>
        <v>2768-42</v>
      </c>
      <c r="C43" s="7">
        <f>VLOOKUP(B43,'CEBAS-DEWOOD code'!A$2:B$302,2,FALSE)</f>
        <v>1044</v>
      </c>
      <c r="D43" s="7" t="str">
        <f>VLOOKUP(IONOMICS!C43,'Field Table'!A$2:E$661,3,FALSE)</f>
        <v>AA</v>
      </c>
      <c r="E43" s="7" t="str">
        <f>VLOOKUP(IONOMICS!C43,'Field Table'!A$2:E$661,4,FALSE)</f>
        <v>2</v>
      </c>
      <c r="F43" s="7" t="str">
        <f>VLOOKUP(IONOMICS!C43,'Field Table'!A$2:E$661,5,FALSE)</f>
        <v>01</v>
      </c>
      <c r="G43" s="11">
        <v>32.63239875389408</v>
      </c>
      <c r="H43" s="12">
        <v>0.18914107699154425</v>
      </c>
      <c r="I43" s="12" t="s">
        <v>333</v>
      </c>
      <c r="J43" s="12" t="s">
        <v>333</v>
      </c>
      <c r="K43" s="12" t="s">
        <v>333</v>
      </c>
      <c r="L43" s="11">
        <v>0.12961726746773475</v>
      </c>
      <c r="M43" s="11">
        <v>0.28927458834000891</v>
      </c>
      <c r="N43" s="12">
        <v>8.9007565643079656E-2</v>
      </c>
      <c r="O43" s="12">
        <v>0.20026702269692923</v>
      </c>
      <c r="P43" s="12">
        <v>2.1139296840231419</v>
      </c>
      <c r="Q43" s="12">
        <v>11.860258121940365</v>
      </c>
      <c r="R43" s="12">
        <v>3.9786381842456607E-2</v>
      </c>
      <c r="S43" s="12" t="s">
        <v>333</v>
      </c>
      <c r="T43" s="12">
        <v>0.26702269692923897</v>
      </c>
      <c r="U43" s="12">
        <v>2.0149087672452159E-2</v>
      </c>
      <c r="V43" s="12">
        <v>36.392968402314196</v>
      </c>
      <c r="W43" s="12" t="s">
        <v>333</v>
      </c>
      <c r="X43" s="13">
        <v>4.3057409879839782E-4</v>
      </c>
      <c r="Y43" s="12">
        <v>0.3115264797507788</v>
      </c>
      <c r="Z43" s="12">
        <v>0.73431241655540724</v>
      </c>
      <c r="AA43" s="13">
        <v>6.6266132621272808E-3</v>
      </c>
      <c r="AB43" s="12">
        <v>0.91232754784156656</v>
      </c>
      <c r="AC43" s="12" t="s">
        <v>333</v>
      </c>
      <c r="AD43" s="12" t="s">
        <v>333</v>
      </c>
      <c r="AE43" s="12">
        <v>22.085002225189143</v>
      </c>
      <c r="AF43" s="14">
        <v>9.5772140631953731E-3</v>
      </c>
      <c r="AG43" s="12">
        <v>6.5086782376502006</v>
      </c>
      <c r="AH43" s="12">
        <v>0.78994214508233207</v>
      </c>
      <c r="AI43" s="12" t="s">
        <v>333</v>
      </c>
      <c r="AJ43" s="12" t="s">
        <v>333</v>
      </c>
      <c r="AK43" s="12">
        <v>14.207832665776591</v>
      </c>
    </row>
    <row r="44" spans="1:37" x14ac:dyDescent="0.25">
      <c r="A44" s="7" t="s">
        <v>375</v>
      </c>
      <c r="B44" s="7" t="str">
        <f t="shared" si="0"/>
        <v>2768-43</v>
      </c>
      <c r="C44" s="7">
        <f>VLOOKUP(B44,'CEBAS-DEWOOD code'!A$2:B$302,2,FALSE)</f>
        <v>8</v>
      </c>
      <c r="D44" s="7" t="str">
        <f>VLOOKUP(IONOMICS!C44,'Field Table'!A$2:E$661,3,FALSE)</f>
        <v>AA</v>
      </c>
      <c r="E44" s="7" t="str">
        <f>VLOOKUP(IONOMICS!C44,'Field Table'!A$2:E$661,4,FALSE)</f>
        <v>2</v>
      </c>
      <c r="F44" s="7" t="str">
        <f>VLOOKUP(IONOMICS!C44,'Field Table'!A$2:E$661,5,FALSE)</f>
        <v>10</v>
      </c>
      <c r="G44" s="11">
        <v>11.10843373493976</v>
      </c>
      <c r="H44" s="12">
        <v>0.10843373493975904</v>
      </c>
      <c r="I44" s="12" t="s">
        <v>333</v>
      </c>
      <c r="J44" s="12" t="s">
        <v>333</v>
      </c>
      <c r="K44" s="12" t="s">
        <v>333</v>
      </c>
      <c r="L44" s="11">
        <v>4.9301204819277106E-2</v>
      </c>
      <c r="M44" s="11">
        <v>0.12048192771084339</v>
      </c>
      <c r="N44" s="12">
        <v>3.614457831325301E-2</v>
      </c>
      <c r="O44" s="12">
        <v>0.10843373493975904</v>
      </c>
      <c r="P44" s="12">
        <v>0.86746987951807231</v>
      </c>
      <c r="Q44" s="12">
        <v>4.3493975903614457</v>
      </c>
      <c r="R44" s="12">
        <v>6.5253012048192782E-2</v>
      </c>
      <c r="S44" s="12" t="s">
        <v>333</v>
      </c>
      <c r="T44" s="12">
        <v>0.14457831325301204</v>
      </c>
      <c r="U44" s="12">
        <v>1.3963855421686749E-2</v>
      </c>
      <c r="V44" s="12">
        <v>25.433734939759038</v>
      </c>
      <c r="W44" s="12" t="s">
        <v>333</v>
      </c>
      <c r="X44" s="13">
        <v>1.7228915662650604E-4</v>
      </c>
      <c r="Y44" s="12">
        <v>0.21686746987951808</v>
      </c>
      <c r="Z44" s="12">
        <v>0.45783132530120485</v>
      </c>
      <c r="AA44" s="13">
        <v>1.3084337349397591E-3</v>
      </c>
      <c r="AB44" s="12">
        <v>1.2771084337349399</v>
      </c>
      <c r="AC44" s="12" t="s">
        <v>333</v>
      </c>
      <c r="AD44" s="12" t="s">
        <v>333</v>
      </c>
      <c r="AE44" s="12">
        <v>7.3975903614457845</v>
      </c>
      <c r="AF44" s="14">
        <v>4.8987951807228924E-3</v>
      </c>
      <c r="AG44" s="12">
        <v>2.7228915662650599</v>
      </c>
      <c r="AH44" s="12">
        <v>0.74698795180722899</v>
      </c>
      <c r="AI44" s="12" t="s">
        <v>333</v>
      </c>
      <c r="AJ44" s="12" t="s">
        <v>333</v>
      </c>
      <c r="AK44" s="12">
        <v>2.6987951807228914</v>
      </c>
    </row>
    <row r="45" spans="1:37" x14ac:dyDescent="0.25">
      <c r="A45" s="7" t="s">
        <v>376</v>
      </c>
      <c r="B45" s="7" t="str">
        <f t="shared" si="0"/>
        <v>2768-44</v>
      </c>
      <c r="C45" s="7">
        <f>VLOOKUP(B45,'CEBAS-DEWOOD code'!A$2:B$302,2,FALSE)</f>
        <v>44</v>
      </c>
      <c r="D45" s="7" t="str">
        <f>VLOOKUP(IONOMICS!C45,'Field Table'!A$2:E$661,3,FALSE)</f>
        <v>AA</v>
      </c>
      <c r="E45" s="7" t="str">
        <f>VLOOKUP(IONOMICS!C45,'Field Table'!A$2:E$661,4,FALSE)</f>
        <v>2</v>
      </c>
      <c r="F45" s="7" t="str">
        <f>VLOOKUP(IONOMICS!C45,'Field Table'!A$2:E$661,5,FALSE)</f>
        <v>10</v>
      </c>
      <c r="G45" s="11">
        <v>13.798157453936348</v>
      </c>
      <c r="H45" s="12">
        <v>9.4221105527638183E-2</v>
      </c>
      <c r="I45" s="12" t="s">
        <v>333</v>
      </c>
      <c r="J45" s="12" t="s">
        <v>333</v>
      </c>
      <c r="K45" s="12" t="s">
        <v>333</v>
      </c>
      <c r="L45" s="11">
        <v>8.3134422110552747E-2</v>
      </c>
      <c r="M45" s="11">
        <v>9.4221105527638183E-2</v>
      </c>
      <c r="N45" s="12">
        <v>4.1876046901172526E-2</v>
      </c>
      <c r="O45" s="12">
        <v>0.11515912897822445</v>
      </c>
      <c r="P45" s="12">
        <v>1.1515912897822445</v>
      </c>
      <c r="Q45" s="12">
        <v>14.038944723618091</v>
      </c>
      <c r="R45" s="12">
        <v>0.13201423785594638</v>
      </c>
      <c r="S45" s="12" t="s">
        <v>333</v>
      </c>
      <c r="T45" s="12">
        <v>5.2345058626465664E-2</v>
      </c>
      <c r="U45" s="12">
        <v>2.1377721943048572E-2</v>
      </c>
      <c r="V45" s="12">
        <v>28.653685092127304</v>
      </c>
      <c r="W45" s="12" t="s">
        <v>333</v>
      </c>
      <c r="X45" s="13">
        <v>1.7996231155778895E-3</v>
      </c>
      <c r="Y45" s="12">
        <v>0.18844221105527637</v>
      </c>
      <c r="Z45" s="12">
        <v>5.2345058626465664E-2</v>
      </c>
      <c r="AA45" s="13">
        <v>7.8203517587939703E-4</v>
      </c>
      <c r="AB45" s="12">
        <v>2.4288107202680065</v>
      </c>
      <c r="AC45" s="12" t="s">
        <v>333</v>
      </c>
      <c r="AD45" s="12" t="s">
        <v>333</v>
      </c>
      <c r="AE45" s="12">
        <v>16.907453936348411</v>
      </c>
      <c r="AF45" s="14">
        <v>5.3287269681742038E-3</v>
      </c>
      <c r="AG45" s="12">
        <v>5.1612227805695134</v>
      </c>
      <c r="AH45" s="12">
        <v>0.30360134003350081</v>
      </c>
      <c r="AI45" s="12" t="s">
        <v>333</v>
      </c>
      <c r="AJ45" s="12" t="s">
        <v>333</v>
      </c>
      <c r="AK45" s="12">
        <v>3.3186767169179228</v>
      </c>
    </row>
    <row r="46" spans="1:37" x14ac:dyDescent="0.25">
      <c r="A46" s="7" t="s">
        <v>377</v>
      </c>
      <c r="B46" s="7" t="str">
        <f t="shared" si="0"/>
        <v>2768-45</v>
      </c>
      <c r="C46" s="7">
        <f>VLOOKUP(B46,'CEBAS-DEWOOD code'!A$2:B$302,2,FALSE)</f>
        <v>374</v>
      </c>
      <c r="D46" s="7" t="str">
        <f>VLOOKUP(IONOMICS!C46,'Field Table'!A$2:E$661,3,FALSE)</f>
        <v>FS</v>
      </c>
      <c r="E46" s="7" t="str">
        <f>VLOOKUP(IONOMICS!C46,'Field Table'!A$2:E$661,4,FALSE)</f>
        <v>2</v>
      </c>
      <c r="F46" s="7" t="str">
        <f>VLOOKUP(IONOMICS!C46,'Field Table'!A$2:E$661,5,FALSE)</f>
        <v>10</v>
      </c>
      <c r="G46" s="11">
        <v>9.4244604316546763</v>
      </c>
      <c r="H46" s="12">
        <v>7.1942446043165464E-2</v>
      </c>
      <c r="I46" s="12" t="s">
        <v>333</v>
      </c>
      <c r="J46" s="12" t="s">
        <v>333</v>
      </c>
      <c r="K46" s="12" t="s">
        <v>333</v>
      </c>
      <c r="L46" s="11">
        <v>9.2182254196642693E-2</v>
      </c>
      <c r="M46" s="11">
        <v>7.1942446043165464E-2</v>
      </c>
      <c r="N46" s="12">
        <v>4.7961630695443645E-2</v>
      </c>
      <c r="O46" s="12">
        <v>0.95923261390887304</v>
      </c>
      <c r="P46" s="12">
        <v>1.4268585131894487</v>
      </c>
      <c r="Q46" s="12">
        <v>43.477218225419662</v>
      </c>
      <c r="R46" s="12">
        <v>3.7613908872901683E-2</v>
      </c>
      <c r="S46" s="12" t="s">
        <v>333</v>
      </c>
      <c r="T46" s="12">
        <v>8.3932853717026371E-2</v>
      </c>
      <c r="U46" s="12">
        <v>4.316546762589929E-2</v>
      </c>
      <c r="V46" s="12">
        <v>28.741007194244606</v>
      </c>
      <c r="W46" s="12" t="s">
        <v>333</v>
      </c>
      <c r="X46" s="13">
        <v>1.6882494004796167E-3</v>
      </c>
      <c r="Y46" s="12">
        <v>0.53956834532374098</v>
      </c>
      <c r="Z46" s="12">
        <v>0.20383693045563547</v>
      </c>
      <c r="AA46" s="13">
        <v>4.5599520383693051E-3</v>
      </c>
      <c r="AB46" s="12">
        <v>1.7266187050359711</v>
      </c>
      <c r="AC46" s="12" t="s">
        <v>333</v>
      </c>
      <c r="AD46" s="12" t="s">
        <v>333</v>
      </c>
      <c r="AE46" s="12">
        <v>24.232613908872903</v>
      </c>
      <c r="AF46" s="14">
        <v>8.8045563549160669E-3</v>
      </c>
      <c r="AG46" s="12">
        <v>7.9256594724220628</v>
      </c>
      <c r="AH46" s="12">
        <v>0.76738609112709832</v>
      </c>
      <c r="AI46" s="12" t="s">
        <v>333</v>
      </c>
      <c r="AJ46" s="12" t="s">
        <v>333</v>
      </c>
      <c r="AK46" s="12">
        <v>2.4460431654676262</v>
      </c>
    </row>
    <row r="47" spans="1:37" x14ac:dyDescent="0.25">
      <c r="A47" s="7" t="s">
        <v>378</v>
      </c>
      <c r="B47" s="7" t="str">
        <f t="shared" si="0"/>
        <v>2768-46</v>
      </c>
      <c r="C47" s="7">
        <f>VLOOKUP(B47,'CEBAS-DEWOOD code'!A$2:B$302,2,FALSE)</f>
        <v>381</v>
      </c>
      <c r="D47" s="7" t="str">
        <f>VLOOKUP(IONOMICS!C47,'Field Table'!A$2:E$661,3,FALSE)</f>
        <v>FS</v>
      </c>
      <c r="E47" s="7" t="str">
        <f>VLOOKUP(IONOMICS!C47,'Field Table'!A$2:E$661,4,FALSE)</f>
        <v>1</v>
      </c>
      <c r="F47" s="7" t="str">
        <f>VLOOKUP(IONOMICS!C47,'Field Table'!A$2:E$661,5,FALSE)</f>
        <v>25</v>
      </c>
      <c r="G47" s="11">
        <v>6.8950177935943051</v>
      </c>
      <c r="H47" s="12">
        <v>0.13345195729537365</v>
      </c>
      <c r="I47" s="12" t="s">
        <v>333</v>
      </c>
      <c r="J47" s="12" t="s">
        <v>333</v>
      </c>
      <c r="K47" s="12" t="s">
        <v>333</v>
      </c>
      <c r="L47" s="11">
        <v>8.1841637010676149E-2</v>
      </c>
      <c r="M47" s="11">
        <v>0.12455516014234873</v>
      </c>
      <c r="N47" s="12">
        <v>5.3380782918149461E-2</v>
      </c>
      <c r="O47" s="12" t="s">
        <v>333</v>
      </c>
      <c r="P47" s="12">
        <v>1.3790035587188612</v>
      </c>
      <c r="Q47" s="12">
        <v>3.3807829181494657</v>
      </c>
      <c r="R47" s="12">
        <v>0.12153024911032027</v>
      </c>
      <c r="S47" s="12" t="s">
        <v>333</v>
      </c>
      <c r="T47" s="12">
        <v>7.1174377224199281E-2</v>
      </c>
      <c r="U47" s="12">
        <v>1.6272241992882561E-2</v>
      </c>
      <c r="V47" s="12">
        <v>59.857651245551594</v>
      </c>
      <c r="W47" s="12" t="s">
        <v>333</v>
      </c>
      <c r="X47" s="13" t="s">
        <v>333</v>
      </c>
      <c r="Y47" s="12">
        <v>1.8327402135231314</v>
      </c>
      <c r="Z47" s="12">
        <v>0.20462633451957291</v>
      </c>
      <c r="AA47" s="13">
        <v>4.0729537366548038E-3</v>
      </c>
      <c r="AB47" s="12">
        <v>3.8345195729537358</v>
      </c>
      <c r="AC47" s="12" t="s">
        <v>333</v>
      </c>
      <c r="AD47" s="12" t="s">
        <v>333</v>
      </c>
      <c r="AE47" s="12">
        <v>14.999999999999998</v>
      </c>
      <c r="AF47" s="14">
        <v>8.1752669039145912E-3</v>
      </c>
      <c r="AG47" s="12">
        <v>7.7046263345195722</v>
      </c>
      <c r="AH47" s="12">
        <v>0.39145907473309605</v>
      </c>
      <c r="AI47" s="12" t="s">
        <v>333</v>
      </c>
      <c r="AJ47" s="12" t="s">
        <v>333</v>
      </c>
      <c r="AK47" s="12">
        <v>6.1832740213523136</v>
      </c>
    </row>
    <row r="48" spans="1:37" x14ac:dyDescent="0.25">
      <c r="A48" s="7" t="s">
        <v>379</v>
      </c>
      <c r="B48" s="7" t="str">
        <f t="shared" si="0"/>
        <v>2768-47</v>
      </c>
      <c r="C48" s="7">
        <f>VLOOKUP(B48,'CEBAS-DEWOOD code'!A$2:B$302,2,FALSE)</f>
        <v>1007</v>
      </c>
      <c r="D48" s="7" t="str">
        <f>VLOOKUP(IONOMICS!C48,'Field Table'!A$2:E$661,3,FALSE)</f>
        <v>AA</v>
      </c>
      <c r="E48" s="7" t="str">
        <f>VLOOKUP(IONOMICS!C48,'Field Table'!A$2:E$661,4,FALSE)</f>
        <v>1</v>
      </c>
      <c r="F48" s="7" t="str">
        <f>VLOOKUP(IONOMICS!C48,'Field Table'!A$2:E$661,5,FALSE)</f>
        <v>01</v>
      </c>
      <c r="G48" s="11">
        <v>51.52182619142971</v>
      </c>
      <c r="H48" s="12">
        <v>0.12014417300760913</v>
      </c>
      <c r="I48" s="12" t="s">
        <v>333</v>
      </c>
      <c r="J48" s="12" t="s">
        <v>333</v>
      </c>
      <c r="K48" s="12" t="s">
        <v>333</v>
      </c>
      <c r="L48" s="11">
        <v>0.11003203844613536</v>
      </c>
      <c r="M48" s="11">
        <v>0.30036043251902284</v>
      </c>
      <c r="N48" s="12" t="s">
        <v>333</v>
      </c>
      <c r="O48" s="12">
        <v>0.23027633159791747</v>
      </c>
      <c r="P48" s="12">
        <v>3.1137364837805364</v>
      </c>
      <c r="Q48" s="12">
        <v>11.463756507809371</v>
      </c>
      <c r="R48" s="12">
        <v>0.1170404485382459</v>
      </c>
      <c r="S48" s="12" t="s">
        <v>333</v>
      </c>
      <c r="T48" s="12">
        <v>0.12014417300760913</v>
      </c>
      <c r="U48" s="12">
        <v>2.1195434521425711E-2</v>
      </c>
      <c r="V48" s="12">
        <v>98.027633159791748</v>
      </c>
      <c r="W48" s="12" t="s">
        <v>333</v>
      </c>
      <c r="X48" s="13">
        <v>1.1914297156587906E-4</v>
      </c>
      <c r="Y48" s="12">
        <v>3.0036043251902282E-2</v>
      </c>
      <c r="Z48" s="12">
        <v>0.23027633159791747</v>
      </c>
      <c r="AA48" s="13">
        <v>1.5378454144973968E-2</v>
      </c>
      <c r="AB48" s="12">
        <v>2.7733279935923107</v>
      </c>
      <c r="AC48" s="12" t="s">
        <v>333</v>
      </c>
      <c r="AD48" s="12" t="s">
        <v>333</v>
      </c>
      <c r="AE48" s="12">
        <v>26.551862234681618</v>
      </c>
      <c r="AF48" s="14">
        <v>1.1453744493392069E-2</v>
      </c>
      <c r="AG48" s="12">
        <v>5.5666800160192222</v>
      </c>
      <c r="AH48" s="12">
        <v>0.73087705246295553</v>
      </c>
      <c r="AI48" s="12" t="s">
        <v>333</v>
      </c>
      <c r="AJ48" s="12" t="s">
        <v>333</v>
      </c>
      <c r="AK48" s="12">
        <v>10.592711253504206</v>
      </c>
    </row>
    <row r="49" spans="1:37" x14ac:dyDescent="0.25">
      <c r="A49" s="7" t="s">
        <v>380</v>
      </c>
      <c r="B49" s="7" t="str">
        <f t="shared" si="0"/>
        <v>2768-48</v>
      </c>
      <c r="C49" s="7">
        <f>VLOOKUP(B49,'CEBAS-DEWOOD code'!A$2:B$302,2,FALSE)</f>
        <v>1084</v>
      </c>
      <c r="D49" s="7" t="str">
        <f>VLOOKUP(IONOMICS!C49,'Field Table'!A$2:E$661,3,FALSE)</f>
        <v>FS</v>
      </c>
      <c r="E49" s="7" t="str">
        <f>VLOOKUP(IONOMICS!C49,'Field Table'!A$2:E$661,4,FALSE)</f>
        <v>4</v>
      </c>
      <c r="F49" s="7" t="str">
        <f>VLOOKUP(IONOMICS!C49,'Field Table'!A$2:E$661,5,FALSE)</f>
        <v>01</v>
      </c>
      <c r="G49" s="11">
        <v>25.213675213675209</v>
      </c>
      <c r="H49" s="12">
        <v>9.2902266815310303E-2</v>
      </c>
      <c r="I49" s="12" t="s">
        <v>333</v>
      </c>
      <c r="J49" s="12" t="s">
        <v>333</v>
      </c>
      <c r="K49" s="12" t="s">
        <v>333</v>
      </c>
      <c r="L49" s="11">
        <v>0.3026755852842809</v>
      </c>
      <c r="M49" s="11">
        <v>0.14864362690449648</v>
      </c>
      <c r="N49" s="12">
        <v>2.7870680044593088E-2</v>
      </c>
      <c r="O49" s="12">
        <v>0.2601263470828688</v>
      </c>
      <c r="P49" s="12">
        <v>5.0538833147528797</v>
      </c>
      <c r="Q49" s="12">
        <v>11.464139725009289</v>
      </c>
      <c r="R49" s="12">
        <v>2.1302489780750652E-2</v>
      </c>
      <c r="S49" s="12" t="s">
        <v>333</v>
      </c>
      <c r="T49" s="12">
        <v>0.24154589371980675</v>
      </c>
      <c r="U49" s="12">
        <v>2.7331846897064291E-2</v>
      </c>
      <c r="V49" s="12">
        <v>124.5819397993311</v>
      </c>
      <c r="W49" s="12" t="s">
        <v>333</v>
      </c>
      <c r="X49" s="13" t="s">
        <v>333</v>
      </c>
      <c r="Y49" s="12">
        <v>0.49238201412114457</v>
      </c>
      <c r="Z49" s="12">
        <v>1.3842437755481234</v>
      </c>
      <c r="AA49" s="13">
        <v>1.3415087328130806E-2</v>
      </c>
      <c r="AB49" s="12">
        <v>0.53883314752879963</v>
      </c>
      <c r="AC49" s="12" t="s">
        <v>333</v>
      </c>
      <c r="AD49" s="12" t="s">
        <v>333</v>
      </c>
      <c r="AE49" s="12">
        <v>463.489409141583</v>
      </c>
      <c r="AF49" s="14">
        <v>1.9435154217762915E-2</v>
      </c>
      <c r="AG49" s="12">
        <v>18.0230397621702</v>
      </c>
      <c r="AH49" s="12">
        <v>0.72463768115942018</v>
      </c>
      <c r="AI49" s="12" t="s">
        <v>333</v>
      </c>
      <c r="AJ49" s="12" t="s">
        <v>333</v>
      </c>
      <c r="AK49" s="12">
        <v>9.615384615384615</v>
      </c>
    </row>
    <row r="50" spans="1:37" x14ac:dyDescent="0.25">
      <c r="A50" s="7" t="s">
        <v>381</v>
      </c>
      <c r="B50" s="7" t="str">
        <f t="shared" si="0"/>
        <v>2768-49</v>
      </c>
      <c r="C50" s="7">
        <f>VLOOKUP(B50,'CEBAS-DEWOOD code'!A$2:B$302,2,FALSE)</f>
        <v>1055</v>
      </c>
      <c r="D50" s="7" t="str">
        <f>VLOOKUP(IONOMICS!C50,'Field Table'!A$2:E$661,3,FALSE)</f>
        <v>AA</v>
      </c>
      <c r="E50" s="7" t="str">
        <f>VLOOKUP(IONOMICS!C50,'Field Table'!A$2:E$661,4,FALSE)</f>
        <v>1</v>
      </c>
      <c r="F50" s="7" t="str">
        <f>VLOOKUP(IONOMICS!C50,'Field Table'!A$2:E$661,5,FALSE)</f>
        <v>01</v>
      </c>
      <c r="G50" s="11">
        <v>74.751491053677938</v>
      </c>
      <c r="H50" s="12" t="s">
        <v>333</v>
      </c>
      <c r="I50" s="12" t="s">
        <v>333</v>
      </c>
      <c r="J50" s="12" t="s">
        <v>333</v>
      </c>
      <c r="K50" s="12" t="s">
        <v>333</v>
      </c>
      <c r="L50" s="11">
        <v>0.14135188866799206</v>
      </c>
      <c r="M50" s="11">
        <v>0.4671968190854871</v>
      </c>
      <c r="N50" s="12">
        <v>9.9403578528827041E-3</v>
      </c>
      <c r="O50" s="12">
        <v>0.21868787276341947</v>
      </c>
      <c r="P50" s="12">
        <v>3.3300198807157058</v>
      </c>
      <c r="Q50" s="12">
        <v>15.248508946322069</v>
      </c>
      <c r="R50" s="12">
        <v>0.13260437375745526</v>
      </c>
      <c r="S50" s="12" t="s">
        <v>333</v>
      </c>
      <c r="T50" s="12">
        <v>0.16898608349900596</v>
      </c>
      <c r="U50" s="12">
        <v>2.4910536779324054E-2</v>
      </c>
      <c r="V50" s="12">
        <v>125.74552683896619</v>
      </c>
      <c r="W50" s="12" t="s">
        <v>333</v>
      </c>
      <c r="X50" s="13">
        <v>6.9284294234592443E-4</v>
      </c>
      <c r="Y50" s="12">
        <v>0.31809145129224653</v>
      </c>
      <c r="Z50" s="12">
        <v>0.36779324055666002</v>
      </c>
      <c r="AA50" s="13">
        <v>1.8568588469184893E-2</v>
      </c>
      <c r="AB50" s="12">
        <v>2.7534791252485089</v>
      </c>
      <c r="AC50" s="12" t="s">
        <v>333</v>
      </c>
      <c r="AD50" s="12" t="s">
        <v>333</v>
      </c>
      <c r="AE50" s="12">
        <v>42.037773359840955</v>
      </c>
      <c r="AF50" s="14">
        <v>1.4294234592445328E-2</v>
      </c>
      <c r="AG50" s="12">
        <v>7.0477137176938376</v>
      </c>
      <c r="AH50" s="12">
        <v>0.95427435387673953</v>
      </c>
      <c r="AI50" s="12" t="s">
        <v>333</v>
      </c>
      <c r="AJ50" s="12" t="s">
        <v>333</v>
      </c>
      <c r="AK50" s="12">
        <v>13.230616302186878</v>
      </c>
    </row>
    <row r="51" spans="1:37" x14ac:dyDescent="0.25">
      <c r="A51" s="7" t="s">
        <v>382</v>
      </c>
      <c r="B51" s="7" t="str">
        <f t="shared" si="0"/>
        <v>2768-50</v>
      </c>
      <c r="C51" s="7">
        <f>VLOOKUP(B51,'CEBAS-DEWOOD code'!A$2:B$302,2,FALSE)</f>
        <v>326</v>
      </c>
      <c r="D51" s="7" t="str">
        <f>VLOOKUP(IONOMICS!C51,'Field Table'!A$2:E$661,3,FALSE)</f>
        <v>AA</v>
      </c>
      <c r="E51" s="7" t="str">
        <f>VLOOKUP(IONOMICS!C51,'Field Table'!A$2:E$661,4,FALSE)</f>
        <v>4</v>
      </c>
      <c r="F51" s="7" t="str">
        <f>VLOOKUP(IONOMICS!C51,'Field Table'!A$2:E$661,5,FALSE)</f>
        <v>25</v>
      </c>
      <c r="G51" s="11">
        <v>16.261950286806883</v>
      </c>
      <c r="H51" s="12">
        <v>7.6481835564053538E-2</v>
      </c>
      <c r="I51" s="12" t="s">
        <v>333</v>
      </c>
      <c r="J51" s="12" t="s">
        <v>333</v>
      </c>
      <c r="K51" s="12" t="s">
        <v>333</v>
      </c>
      <c r="L51" s="11">
        <v>0.10783938814531548</v>
      </c>
      <c r="M51" s="11">
        <v>0.18164435946462715</v>
      </c>
      <c r="N51" s="12" t="s">
        <v>333</v>
      </c>
      <c r="O51" s="12">
        <v>9.5602294455066919E-2</v>
      </c>
      <c r="P51" s="12">
        <v>1.9885277246653918</v>
      </c>
      <c r="Q51" s="12">
        <v>10.181644359464627</v>
      </c>
      <c r="R51" s="12">
        <v>4.4311663479923512E-2</v>
      </c>
      <c r="S51" s="12" t="s">
        <v>333</v>
      </c>
      <c r="T51" s="12">
        <v>0.25812619502868067</v>
      </c>
      <c r="U51" s="12">
        <v>1.3326959847036328E-2</v>
      </c>
      <c r="V51" s="12">
        <v>30.602294455066918</v>
      </c>
      <c r="W51" s="12" t="s">
        <v>333</v>
      </c>
      <c r="X51" s="13">
        <v>1.5009560229445505E-4</v>
      </c>
      <c r="Y51" s="12">
        <v>3.8240917782026769E-2</v>
      </c>
      <c r="Z51" s="12">
        <v>0.16252390057361374</v>
      </c>
      <c r="AA51" s="13">
        <v>4.7944550669216058E-3</v>
      </c>
      <c r="AB51" s="12">
        <v>1.0516252390057359</v>
      </c>
      <c r="AC51" s="12" t="s">
        <v>333</v>
      </c>
      <c r="AD51" s="12" t="s">
        <v>333</v>
      </c>
      <c r="AE51" s="12">
        <v>27.504780114722752</v>
      </c>
      <c r="AF51" s="14">
        <v>8.5219885277246655E-3</v>
      </c>
      <c r="AG51" s="12">
        <v>6.6252390057361374</v>
      </c>
      <c r="AH51" s="12">
        <v>1.8929254302103251</v>
      </c>
      <c r="AI51" s="12" t="s">
        <v>333</v>
      </c>
      <c r="AJ51" s="12" t="s">
        <v>333</v>
      </c>
      <c r="AK51" s="12">
        <v>6.281070745697896</v>
      </c>
    </row>
    <row r="52" spans="1:37" x14ac:dyDescent="0.25">
      <c r="A52" s="7" t="s">
        <v>383</v>
      </c>
      <c r="B52" s="7" t="str">
        <f t="shared" si="0"/>
        <v>2768-51</v>
      </c>
      <c r="C52" s="7">
        <f>VLOOKUP(B52,'CEBAS-DEWOOD code'!A$2:B$302,2,FALSE)</f>
        <v>372</v>
      </c>
      <c r="D52" s="7" t="str">
        <f>VLOOKUP(IONOMICS!C52,'Field Table'!A$2:E$661,3,FALSE)</f>
        <v>FS</v>
      </c>
      <c r="E52" s="7" t="str">
        <f>VLOOKUP(IONOMICS!C52,'Field Table'!A$2:E$661,4,FALSE)</f>
        <v>1</v>
      </c>
      <c r="F52" s="7" t="str">
        <f>VLOOKUP(IONOMICS!C52,'Field Table'!A$2:E$661,5,FALSE)</f>
        <v>10</v>
      </c>
      <c r="G52" s="11">
        <v>7.3703445875391571</v>
      </c>
      <c r="H52" s="12">
        <v>1.7403411068569439E-2</v>
      </c>
      <c r="I52" s="12" t="s">
        <v>333</v>
      </c>
      <c r="J52" s="12" t="s">
        <v>333</v>
      </c>
      <c r="K52" s="12" t="s">
        <v>333</v>
      </c>
      <c r="L52" s="11">
        <v>7.8489383919248173E-2</v>
      </c>
      <c r="M52" s="11">
        <v>9.5718760877131923E-2</v>
      </c>
      <c r="N52" s="12">
        <v>3.4806822137138878E-2</v>
      </c>
      <c r="O52" s="12">
        <v>0.13052558301427078</v>
      </c>
      <c r="P52" s="12">
        <v>1.148625130525583</v>
      </c>
      <c r="Q52" s="12">
        <v>24.791159067177166</v>
      </c>
      <c r="R52" s="12">
        <v>7.0379394361294811E-2</v>
      </c>
      <c r="S52" s="12" t="s">
        <v>333</v>
      </c>
      <c r="T52" s="12">
        <v>0.17403411068569441</v>
      </c>
      <c r="U52" s="12">
        <v>2.6757744517925515E-2</v>
      </c>
      <c r="V52" s="12">
        <v>55.734423947093624</v>
      </c>
      <c r="W52" s="12" t="s">
        <v>333</v>
      </c>
      <c r="X52" s="13">
        <v>7.7445179255133999E-5</v>
      </c>
      <c r="Y52" s="12">
        <v>0.87887225896275667</v>
      </c>
      <c r="Z52" s="12">
        <v>0.12182387747998606</v>
      </c>
      <c r="AA52" s="13">
        <v>4.8842673163940128E-3</v>
      </c>
      <c r="AB52" s="12">
        <v>2.3929690219282977</v>
      </c>
      <c r="AC52" s="12" t="s">
        <v>333</v>
      </c>
      <c r="AD52" s="12" t="s">
        <v>333</v>
      </c>
      <c r="AE52" s="12">
        <v>15.306300034806823</v>
      </c>
      <c r="AF52" s="14">
        <v>7.1971806474068903E-3</v>
      </c>
      <c r="AG52" s="12">
        <v>7.1005917159763312</v>
      </c>
      <c r="AH52" s="12">
        <v>2.6627218934911241</v>
      </c>
      <c r="AI52" s="12" t="s">
        <v>333</v>
      </c>
      <c r="AJ52" s="12" t="s">
        <v>333</v>
      </c>
      <c r="AK52" s="12">
        <v>2.2450400278454579</v>
      </c>
    </row>
    <row r="53" spans="1:37" x14ac:dyDescent="0.25">
      <c r="A53" s="7" t="s">
        <v>384</v>
      </c>
      <c r="B53" s="7" t="str">
        <f t="shared" si="0"/>
        <v>2768-52</v>
      </c>
      <c r="C53" s="7">
        <f>VLOOKUP(B53,'CEBAS-DEWOOD code'!A$2:B$302,2,FALSE)</f>
        <v>1032</v>
      </c>
      <c r="D53" s="7" t="str">
        <f>VLOOKUP(IONOMICS!C53,'Field Table'!A$2:E$661,3,FALSE)</f>
        <v>AA</v>
      </c>
      <c r="E53" s="7" t="str">
        <f>VLOOKUP(IONOMICS!C53,'Field Table'!A$2:E$661,4,FALSE)</f>
        <v>2</v>
      </c>
      <c r="F53" s="7" t="str">
        <f>VLOOKUP(IONOMICS!C53,'Field Table'!A$2:E$661,5,FALSE)</f>
        <v>01</v>
      </c>
      <c r="G53" s="11">
        <v>48.180991359708962</v>
      </c>
      <c r="H53" s="12" t="s">
        <v>333</v>
      </c>
      <c r="I53" s="12" t="s">
        <v>333</v>
      </c>
      <c r="J53" s="12" t="s">
        <v>333</v>
      </c>
      <c r="K53" s="12" t="s">
        <v>333</v>
      </c>
      <c r="L53" s="11">
        <v>0.13892678490222829</v>
      </c>
      <c r="M53" s="11">
        <v>0.20463847203274213</v>
      </c>
      <c r="N53" s="12">
        <v>3.4106412005457019E-2</v>
      </c>
      <c r="O53" s="12">
        <v>0.37517053206002726</v>
      </c>
      <c r="P53" s="12">
        <v>3.0695770804911322</v>
      </c>
      <c r="Q53" s="12">
        <v>22.180536607548884</v>
      </c>
      <c r="R53" s="12">
        <v>4.0757162346521145E-2</v>
      </c>
      <c r="S53" s="12" t="s">
        <v>333</v>
      </c>
      <c r="T53" s="12">
        <v>0.1591632560254661</v>
      </c>
      <c r="U53" s="12">
        <v>2.0259208731241471E-2</v>
      </c>
      <c r="V53" s="12">
        <v>68.042291950886764</v>
      </c>
      <c r="W53" s="12" t="s">
        <v>333</v>
      </c>
      <c r="X53" s="13">
        <v>1.2357889949977262E-3</v>
      </c>
      <c r="Y53" s="12">
        <v>0.54570259208731231</v>
      </c>
      <c r="Z53" s="12">
        <v>0.1591632560254661</v>
      </c>
      <c r="AA53" s="13">
        <v>8.1832651205093216E-3</v>
      </c>
      <c r="AB53" s="12">
        <v>0.79581628012733063</v>
      </c>
      <c r="AC53" s="12" t="s">
        <v>333</v>
      </c>
      <c r="AD53" s="12" t="s">
        <v>333</v>
      </c>
      <c r="AE53" s="12">
        <v>56.161891768985896</v>
      </c>
      <c r="AF53" s="14">
        <v>1.1448385629831741E-2</v>
      </c>
      <c r="AG53" s="12">
        <v>5.843565256934971</v>
      </c>
      <c r="AH53" s="12">
        <v>1.6712141882673941</v>
      </c>
      <c r="AI53" s="12" t="s">
        <v>333</v>
      </c>
      <c r="AJ53" s="12" t="s">
        <v>333</v>
      </c>
      <c r="AK53" s="12">
        <v>9.1291496134606636</v>
      </c>
    </row>
    <row r="54" spans="1:37" x14ac:dyDescent="0.25">
      <c r="A54" s="7" t="s">
        <v>385</v>
      </c>
      <c r="B54" s="7" t="str">
        <f t="shared" si="0"/>
        <v>2768-53</v>
      </c>
      <c r="C54" s="7">
        <f>VLOOKUP(B54,'CEBAS-DEWOOD code'!A$2:B$302,2,FALSE)</f>
        <v>1051</v>
      </c>
      <c r="D54" s="7" t="str">
        <f>VLOOKUP(IONOMICS!C54,'Field Table'!A$2:E$661,3,FALSE)</f>
        <v>AA</v>
      </c>
      <c r="E54" s="7" t="str">
        <f>VLOOKUP(IONOMICS!C54,'Field Table'!A$2:E$661,4,FALSE)</f>
        <v>4</v>
      </c>
      <c r="F54" s="7" t="str">
        <f>VLOOKUP(IONOMICS!C54,'Field Table'!A$2:E$661,5,FALSE)</f>
        <v>01</v>
      </c>
      <c r="G54" s="11">
        <v>72.181252048508696</v>
      </c>
      <c r="H54" s="12" t="s">
        <v>333</v>
      </c>
      <c r="I54" s="12" t="s">
        <v>333</v>
      </c>
      <c r="J54" s="12" t="s">
        <v>333</v>
      </c>
      <c r="K54" s="12" t="s">
        <v>333</v>
      </c>
      <c r="L54" s="11">
        <v>0.20190101606030811</v>
      </c>
      <c r="M54" s="11">
        <v>0.36873156342182889</v>
      </c>
      <c r="N54" s="12" t="s">
        <v>333</v>
      </c>
      <c r="O54" s="12">
        <v>0.44247787610619477</v>
      </c>
      <c r="P54" s="12">
        <v>3.6545394952474601</v>
      </c>
      <c r="Q54" s="12">
        <v>26.630612913798757</v>
      </c>
      <c r="R54" s="12">
        <v>6.5658800393313677E-2</v>
      </c>
      <c r="S54" s="12" t="s">
        <v>333</v>
      </c>
      <c r="T54" s="12">
        <v>0.19665683382497542</v>
      </c>
      <c r="U54" s="12">
        <v>3.2792527040314656E-2</v>
      </c>
      <c r="V54" s="12">
        <v>79.818092428711893</v>
      </c>
      <c r="W54" s="12" t="s">
        <v>333</v>
      </c>
      <c r="X54" s="13">
        <v>5.9078990494919694E-4</v>
      </c>
      <c r="Y54" s="12">
        <v>0.47525401507702392</v>
      </c>
      <c r="Z54" s="12">
        <v>0.73746312684365778</v>
      </c>
      <c r="AA54" s="13">
        <v>1.3266142248443134E-2</v>
      </c>
      <c r="AB54" s="12">
        <v>1.7617174696820714</v>
      </c>
      <c r="AC54" s="12" t="s">
        <v>333</v>
      </c>
      <c r="AD54" s="12" t="s">
        <v>333</v>
      </c>
      <c r="AE54" s="12">
        <v>63.495575221238951</v>
      </c>
      <c r="AF54" s="14">
        <v>1.8469354310062278E-2</v>
      </c>
      <c r="AG54" s="12">
        <v>9.2756473287446752</v>
      </c>
      <c r="AH54" s="12">
        <v>1.8682399213372667</v>
      </c>
      <c r="AI54" s="12" t="s">
        <v>333</v>
      </c>
      <c r="AJ54" s="12" t="s">
        <v>333</v>
      </c>
      <c r="AK54" s="12">
        <v>14.667322189446082</v>
      </c>
    </row>
    <row r="55" spans="1:37" x14ac:dyDescent="0.25">
      <c r="A55" s="7" t="s">
        <v>386</v>
      </c>
      <c r="B55" s="7" t="str">
        <f t="shared" si="0"/>
        <v>2768-54</v>
      </c>
      <c r="C55" s="7">
        <f>VLOOKUP(B55,'CEBAS-DEWOOD code'!A$2:B$302,2,FALSE)</f>
        <v>160</v>
      </c>
      <c r="D55" s="7" t="str">
        <f>VLOOKUP(IONOMICS!C55,'Field Table'!A$2:E$661,3,FALSE)</f>
        <v>AA</v>
      </c>
      <c r="E55" s="7" t="str">
        <f>VLOOKUP(IONOMICS!C55,'Field Table'!A$2:E$661,4,FALSE)</f>
        <v>4</v>
      </c>
      <c r="F55" s="7" t="str">
        <f>VLOOKUP(IONOMICS!C55,'Field Table'!A$2:E$661,5,FALSE)</f>
        <v>25</v>
      </c>
      <c r="G55" s="11">
        <v>18.122977346278315</v>
      </c>
      <c r="H55" s="12">
        <v>3.5958288385472853E-2</v>
      </c>
      <c r="I55" s="12" t="s">
        <v>333</v>
      </c>
      <c r="J55" s="12" t="s">
        <v>333</v>
      </c>
      <c r="K55" s="12" t="s">
        <v>333</v>
      </c>
      <c r="L55" s="11">
        <v>0.1266630708378281</v>
      </c>
      <c r="M55" s="11">
        <v>5.3937432578209273E-2</v>
      </c>
      <c r="N55" s="12">
        <v>2.6968716289104636E-2</v>
      </c>
      <c r="O55" s="12">
        <v>2.6968716289104636E-2</v>
      </c>
      <c r="P55" s="12">
        <v>1.5282272563825963</v>
      </c>
      <c r="Q55" s="12">
        <v>6.9129809421071551</v>
      </c>
      <c r="R55" s="12">
        <v>0.15327220424307803</v>
      </c>
      <c r="S55" s="12" t="s">
        <v>333</v>
      </c>
      <c r="T55" s="12">
        <v>0.11686443725278677</v>
      </c>
      <c r="U55" s="12">
        <v>2.6510248112189858E-2</v>
      </c>
      <c r="V55" s="12">
        <v>36.299892125134846</v>
      </c>
      <c r="W55" s="12" t="s">
        <v>333</v>
      </c>
      <c r="X55" s="13">
        <v>5.7236605537576415E-3</v>
      </c>
      <c r="Y55" s="12">
        <v>0.32362459546925565</v>
      </c>
      <c r="Z55" s="12">
        <v>0.13484358144552319</v>
      </c>
      <c r="AA55" s="13">
        <v>6.1821287306724195E-3</v>
      </c>
      <c r="AB55" s="12">
        <v>4.8363897878460982</v>
      </c>
      <c r="AC55" s="12" t="s">
        <v>333</v>
      </c>
      <c r="AD55" s="12" t="s">
        <v>333</v>
      </c>
      <c r="AE55" s="12">
        <v>16.199208917655518</v>
      </c>
      <c r="AF55" s="14">
        <v>1.237864077669903E-2</v>
      </c>
      <c r="AG55" s="12">
        <v>10.51779935275081</v>
      </c>
      <c r="AH55" s="12">
        <v>0.94390507011866231</v>
      </c>
      <c r="AI55" s="12" t="s">
        <v>333</v>
      </c>
      <c r="AJ55" s="12" t="s">
        <v>333</v>
      </c>
      <c r="AK55" s="12">
        <v>7.0298453793599425</v>
      </c>
    </row>
    <row r="56" spans="1:37" x14ac:dyDescent="0.25">
      <c r="A56" s="7" t="s">
        <v>387</v>
      </c>
      <c r="B56" s="7" t="str">
        <f t="shared" si="0"/>
        <v>2768-55</v>
      </c>
      <c r="C56" s="7">
        <f>VLOOKUP(B56,'CEBAS-DEWOOD code'!A$2:B$302,2,FALSE)</f>
        <v>371</v>
      </c>
      <c r="D56" s="7" t="str">
        <f>VLOOKUP(IONOMICS!C56,'Field Table'!A$2:E$661,3,FALSE)</f>
        <v>AA</v>
      </c>
      <c r="E56" s="7" t="str">
        <f>VLOOKUP(IONOMICS!C56,'Field Table'!A$2:E$661,4,FALSE)</f>
        <v>4</v>
      </c>
      <c r="F56" s="7" t="str">
        <f>VLOOKUP(IONOMICS!C56,'Field Table'!A$2:E$661,5,FALSE)</f>
        <v>10</v>
      </c>
      <c r="G56" s="11">
        <v>16.83920704845815</v>
      </c>
      <c r="H56" s="12">
        <v>0.13215859030837004</v>
      </c>
      <c r="I56" s="12" t="s">
        <v>333</v>
      </c>
      <c r="J56" s="12" t="s">
        <v>333</v>
      </c>
      <c r="K56" s="12" t="s">
        <v>333</v>
      </c>
      <c r="L56" s="11">
        <v>0.17345814977973567</v>
      </c>
      <c r="M56" s="11">
        <v>0.67180616740088106</v>
      </c>
      <c r="N56" s="12" t="s">
        <v>333</v>
      </c>
      <c r="O56" s="12">
        <v>0.18722466960352421</v>
      </c>
      <c r="P56" s="12">
        <v>3.0066079295154182</v>
      </c>
      <c r="Q56" s="12">
        <v>9.9008810572687231</v>
      </c>
      <c r="R56" s="12">
        <v>8.5176211453744481E-3</v>
      </c>
      <c r="S56" s="12" t="s">
        <v>333</v>
      </c>
      <c r="T56" s="12">
        <v>0.24229074889867841</v>
      </c>
      <c r="U56" s="12">
        <v>2.8469162995594714E-2</v>
      </c>
      <c r="V56" s="12">
        <v>73.975770925110126</v>
      </c>
      <c r="W56" s="12" t="s">
        <v>333</v>
      </c>
      <c r="X56" s="13">
        <v>5.2422907488986782E-4</v>
      </c>
      <c r="Y56" s="12">
        <v>0.13215859030837004</v>
      </c>
      <c r="Z56" s="12">
        <v>0.29735682819383263</v>
      </c>
      <c r="AA56" s="13">
        <v>2.201541850220264E-3</v>
      </c>
      <c r="AB56" s="12">
        <v>0.36343612334801761</v>
      </c>
      <c r="AC56" s="12" t="s">
        <v>333</v>
      </c>
      <c r="AD56" s="12" t="s">
        <v>333</v>
      </c>
      <c r="AE56" s="12">
        <v>16.464757709251099</v>
      </c>
      <c r="AF56" s="14">
        <v>9.8127753303964751E-3</v>
      </c>
      <c r="AG56" s="12">
        <v>11.541850220264317</v>
      </c>
      <c r="AH56" s="12">
        <v>1.2885462555066078</v>
      </c>
      <c r="AI56" s="12" t="s">
        <v>333</v>
      </c>
      <c r="AJ56" s="12" t="s">
        <v>333</v>
      </c>
      <c r="AK56" s="12">
        <v>10.93612334801762</v>
      </c>
    </row>
    <row r="57" spans="1:37" x14ac:dyDescent="0.25">
      <c r="A57" s="7" t="s">
        <v>388</v>
      </c>
      <c r="B57" s="7" t="str">
        <f t="shared" si="0"/>
        <v>2768-56</v>
      </c>
      <c r="C57" s="7">
        <f>VLOOKUP(B57,'CEBAS-DEWOOD code'!A$2:B$302,2,FALSE)</f>
        <v>6</v>
      </c>
      <c r="D57" s="7" t="str">
        <f>VLOOKUP(IONOMICS!C57,'Field Table'!A$2:E$661,3,FALSE)</f>
        <v>FS</v>
      </c>
      <c r="E57" s="7" t="str">
        <f>VLOOKUP(IONOMICS!C57,'Field Table'!A$2:E$661,4,FALSE)</f>
        <v>4</v>
      </c>
      <c r="F57" s="7" t="str">
        <f>VLOOKUP(IONOMICS!C57,'Field Table'!A$2:E$661,5,FALSE)</f>
        <v>25</v>
      </c>
      <c r="G57" s="11">
        <v>3.6691542288557213</v>
      </c>
      <c r="H57" s="12">
        <v>0.11401326699834163</v>
      </c>
      <c r="I57" s="12" t="s">
        <v>333</v>
      </c>
      <c r="J57" s="12" t="s">
        <v>333</v>
      </c>
      <c r="K57" s="12" t="s">
        <v>333</v>
      </c>
      <c r="L57" s="11">
        <v>0.20791873963515756</v>
      </c>
      <c r="M57" s="11">
        <v>6.2189054726368161E-2</v>
      </c>
      <c r="N57" s="12">
        <v>4.1459369817578771E-2</v>
      </c>
      <c r="O57" s="12">
        <v>0.22802653399668327</v>
      </c>
      <c r="P57" s="12">
        <v>1.3992537313432838</v>
      </c>
      <c r="Q57" s="12">
        <v>8.5924543946932008</v>
      </c>
      <c r="R57" s="12">
        <v>0.31063432835820898</v>
      </c>
      <c r="S57" s="12" t="s">
        <v>333</v>
      </c>
      <c r="T57" s="12">
        <v>0.33167495854063017</v>
      </c>
      <c r="U57" s="12">
        <v>4.6817993366500832E-2</v>
      </c>
      <c r="V57" s="12">
        <v>134.74295190713102</v>
      </c>
      <c r="W57" s="12" t="s">
        <v>333</v>
      </c>
      <c r="X57" s="13">
        <v>4.477611940298508E-4</v>
      </c>
      <c r="Y57" s="12">
        <v>1.2645107794361525</v>
      </c>
      <c r="Z57" s="12">
        <v>0.24875621890547264</v>
      </c>
      <c r="AA57" s="13">
        <v>6.3992537313432834E-3</v>
      </c>
      <c r="AB57" s="12">
        <v>12.914593698175789</v>
      </c>
      <c r="AC57" s="12" t="s">
        <v>333</v>
      </c>
      <c r="AD57" s="12" t="s">
        <v>333</v>
      </c>
      <c r="AE57" s="12">
        <v>30.182421227197349</v>
      </c>
      <c r="AF57" s="14">
        <v>1.5018656716417911E-2</v>
      </c>
      <c r="AG57" s="12">
        <v>12.116500829187398</v>
      </c>
      <c r="AH57" s="12">
        <v>0.57006633499170811</v>
      </c>
      <c r="AI57" s="12" t="s">
        <v>333</v>
      </c>
      <c r="AJ57" s="12" t="s">
        <v>333</v>
      </c>
      <c r="AK57" s="12">
        <v>2.8399668325041461</v>
      </c>
    </row>
    <row r="58" spans="1:37" x14ac:dyDescent="0.25">
      <c r="A58" s="7" t="s">
        <v>389</v>
      </c>
      <c r="B58" s="7" t="str">
        <f t="shared" si="0"/>
        <v>2768-57</v>
      </c>
      <c r="C58" s="7">
        <f>VLOOKUP(B58,'CEBAS-DEWOOD code'!A$2:B$302,2,FALSE)</f>
        <v>124</v>
      </c>
      <c r="D58" s="7" t="str">
        <f>VLOOKUP(IONOMICS!C58,'Field Table'!A$2:E$661,3,FALSE)</f>
        <v>FS</v>
      </c>
      <c r="E58" s="7" t="str">
        <f>VLOOKUP(IONOMICS!C58,'Field Table'!A$2:E$661,4,FALSE)</f>
        <v>1</v>
      </c>
      <c r="F58" s="7" t="str">
        <f>VLOOKUP(IONOMICS!C58,'Field Table'!A$2:E$661,5,FALSE)</f>
        <v>25</v>
      </c>
      <c r="G58" s="11">
        <v>34.180432020330372</v>
      </c>
      <c r="H58" s="12" t="s">
        <v>333</v>
      </c>
      <c r="I58" s="12" t="s">
        <v>333</v>
      </c>
      <c r="J58" s="12" t="s">
        <v>333</v>
      </c>
      <c r="K58" s="12" t="s">
        <v>333</v>
      </c>
      <c r="L58" s="11">
        <v>0.18985599322321048</v>
      </c>
      <c r="M58" s="11">
        <v>8.4709868699703511E-2</v>
      </c>
      <c r="N58" s="12">
        <v>3.1766200762388813E-2</v>
      </c>
      <c r="O58" s="12">
        <v>2.1177467174925878E-2</v>
      </c>
      <c r="P58" s="12">
        <v>1.217704362558238</v>
      </c>
      <c r="Q58" s="12">
        <v>14.220669207962727</v>
      </c>
      <c r="R58" s="12">
        <v>9.2916137229987303E-2</v>
      </c>
      <c r="S58" s="12" t="s">
        <v>333</v>
      </c>
      <c r="T58" s="12">
        <v>0.29648454044896227</v>
      </c>
      <c r="U58" s="12">
        <v>3.2528589580686149E-2</v>
      </c>
      <c r="V58" s="12">
        <v>64.665396018636173</v>
      </c>
      <c r="W58" s="12" t="s">
        <v>333</v>
      </c>
      <c r="X58" s="13">
        <v>7.8356628547225762E-5</v>
      </c>
      <c r="Y58" s="12">
        <v>0.88945362134688688</v>
      </c>
      <c r="Z58" s="12">
        <v>0.54002541296060991</v>
      </c>
      <c r="AA58" s="13">
        <v>7.1971622193985601E-3</v>
      </c>
      <c r="AB58" s="12">
        <v>3.5472257518000849</v>
      </c>
      <c r="AC58" s="12" t="s">
        <v>333</v>
      </c>
      <c r="AD58" s="12" t="s">
        <v>333</v>
      </c>
      <c r="AE58" s="12">
        <v>89.930114358322754</v>
      </c>
      <c r="AF58" s="14">
        <v>1.6020753917831428E-2</v>
      </c>
      <c r="AG58" s="12">
        <v>11.827615417196103</v>
      </c>
      <c r="AH58" s="12">
        <v>2.5624735281660311</v>
      </c>
      <c r="AI58" s="12" t="s">
        <v>333</v>
      </c>
      <c r="AJ58" s="12" t="s">
        <v>333</v>
      </c>
      <c r="AK58" s="12">
        <v>5.707327403642525</v>
      </c>
    </row>
    <row r="59" spans="1:37" x14ac:dyDescent="0.25">
      <c r="A59" s="7" t="s">
        <v>390</v>
      </c>
      <c r="B59" s="7" t="str">
        <f t="shared" si="0"/>
        <v>2768-58</v>
      </c>
      <c r="C59" s="7">
        <f>VLOOKUP(B59,'CEBAS-DEWOOD code'!A$2:B$302,2,FALSE)</f>
        <v>365</v>
      </c>
      <c r="D59" s="7" t="str">
        <f>VLOOKUP(IONOMICS!C59,'Field Table'!A$2:E$661,3,FALSE)</f>
        <v>FS</v>
      </c>
      <c r="E59" s="7" t="str">
        <f>VLOOKUP(IONOMICS!C59,'Field Table'!A$2:E$661,4,FALSE)</f>
        <v>4</v>
      </c>
      <c r="F59" s="7" t="str">
        <f>VLOOKUP(IONOMICS!C59,'Field Table'!A$2:E$661,5,FALSE)</f>
        <v>25</v>
      </c>
      <c r="G59" s="11">
        <v>14.432395016151359</v>
      </c>
      <c r="H59" s="12">
        <v>1.1536686663590217E-2</v>
      </c>
      <c r="I59" s="12" t="s">
        <v>333</v>
      </c>
      <c r="J59" s="12" t="s">
        <v>333</v>
      </c>
      <c r="K59" s="12" t="s">
        <v>333</v>
      </c>
      <c r="L59" s="11">
        <v>0.43412551915089986</v>
      </c>
      <c r="M59" s="11">
        <v>0.2076603599446239</v>
      </c>
      <c r="N59" s="12">
        <v>0.44993077988001839</v>
      </c>
      <c r="O59" s="12">
        <v>0.53068758652514991</v>
      </c>
      <c r="P59" s="12">
        <v>1.7420396862021228</v>
      </c>
      <c r="Q59" s="12">
        <v>132.09506229810799</v>
      </c>
      <c r="R59" s="12">
        <v>6.583987078910937E-2</v>
      </c>
      <c r="S59" s="12" t="s">
        <v>333</v>
      </c>
      <c r="T59" s="12">
        <v>0.38071065989847719</v>
      </c>
      <c r="U59" s="12">
        <v>0.13717120443008768</v>
      </c>
      <c r="V59" s="12">
        <v>326.9497000461468</v>
      </c>
      <c r="W59" s="12" t="s">
        <v>333</v>
      </c>
      <c r="X59" s="13">
        <v>1.4905399169358562E-3</v>
      </c>
      <c r="Y59" s="12">
        <v>1.5805260729118598</v>
      </c>
      <c r="Z59" s="12">
        <v>0.23073373327180435</v>
      </c>
      <c r="AA59" s="13">
        <v>1.8724042455006923E-3</v>
      </c>
      <c r="AB59" s="12">
        <v>2.3419473927088137</v>
      </c>
      <c r="AC59" s="12" t="s">
        <v>333</v>
      </c>
      <c r="AD59" s="12" t="s">
        <v>333</v>
      </c>
      <c r="AE59" s="12">
        <v>50.680664513151818</v>
      </c>
      <c r="AF59" s="14">
        <v>2.5080756806645128E-2</v>
      </c>
      <c r="AG59" s="12">
        <v>29.672358098754035</v>
      </c>
      <c r="AH59" s="12">
        <v>1.2805722196585141</v>
      </c>
      <c r="AI59" s="12">
        <v>14.963082602676511</v>
      </c>
      <c r="AJ59" s="12" t="s">
        <v>333</v>
      </c>
      <c r="AK59" s="12">
        <v>4.8569450853714811</v>
      </c>
    </row>
    <row r="60" spans="1:37" x14ac:dyDescent="0.25">
      <c r="A60" s="7" t="s">
        <v>391</v>
      </c>
      <c r="B60" s="7" t="str">
        <f t="shared" si="0"/>
        <v>2768-59</v>
      </c>
      <c r="C60" s="7">
        <f>VLOOKUP(B60,'CEBAS-DEWOOD code'!A$2:B$302,2,FALSE)</f>
        <v>175</v>
      </c>
      <c r="D60" s="7" t="str">
        <f>VLOOKUP(IONOMICS!C60,'Field Table'!A$2:E$661,3,FALSE)</f>
        <v>FS</v>
      </c>
      <c r="E60" s="7" t="str">
        <f>VLOOKUP(IONOMICS!C60,'Field Table'!A$2:E$661,4,FALSE)</f>
        <v>4</v>
      </c>
      <c r="F60" s="7" t="str">
        <f>VLOOKUP(IONOMICS!C60,'Field Table'!A$2:E$661,5,FALSE)</f>
        <v>25</v>
      </c>
      <c r="G60" s="11">
        <v>5.969887955182072</v>
      </c>
      <c r="H60" s="12" t="s">
        <v>333</v>
      </c>
      <c r="I60" s="12" t="s">
        <v>333</v>
      </c>
      <c r="J60" s="12" t="s">
        <v>333</v>
      </c>
      <c r="K60" s="12" t="s">
        <v>333</v>
      </c>
      <c r="L60" s="11">
        <v>0.21314775910364145</v>
      </c>
      <c r="M60" s="11">
        <v>0.13130252100840334</v>
      </c>
      <c r="N60" s="12">
        <v>5.2521008403361338E-2</v>
      </c>
      <c r="O60" s="12">
        <v>7.8781512605042014E-2</v>
      </c>
      <c r="P60" s="12">
        <v>1.4968487394957981</v>
      </c>
      <c r="Q60" s="12">
        <v>9.8739495798319314</v>
      </c>
      <c r="R60" s="12">
        <v>3.2808123249299721E-2</v>
      </c>
      <c r="S60" s="12" t="s">
        <v>333</v>
      </c>
      <c r="T60" s="12">
        <v>0.17507002801120447</v>
      </c>
      <c r="U60" s="12">
        <v>0.11922268907563023</v>
      </c>
      <c r="V60" s="12">
        <v>63.559173669467782</v>
      </c>
      <c r="W60" s="12" t="s">
        <v>333</v>
      </c>
      <c r="X60" s="13">
        <v>3.9565826330532211E-4</v>
      </c>
      <c r="Y60" s="12">
        <v>0.56897759103641454</v>
      </c>
      <c r="Z60" s="12">
        <v>0.10504201680672268</v>
      </c>
      <c r="AA60" s="13">
        <v>1.1099439775910363E-2</v>
      </c>
      <c r="AB60" s="12">
        <v>0.82282913165266103</v>
      </c>
      <c r="AC60" s="12" t="s">
        <v>333</v>
      </c>
      <c r="AD60" s="12" t="s">
        <v>333</v>
      </c>
      <c r="AE60" s="12">
        <v>19.765406162464984</v>
      </c>
      <c r="AF60" s="14">
        <v>1.2981442577030813E-2</v>
      </c>
      <c r="AG60" s="12">
        <v>15.152310924369745</v>
      </c>
      <c r="AH60" s="12">
        <v>1.1292016806722689</v>
      </c>
      <c r="AI60" s="12">
        <v>10.302871148459383</v>
      </c>
      <c r="AJ60" s="12" t="s">
        <v>333</v>
      </c>
      <c r="AK60" s="12">
        <v>3.615196078431373</v>
      </c>
    </row>
    <row r="61" spans="1:37" x14ac:dyDescent="0.25">
      <c r="A61" s="7" t="s">
        <v>392</v>
      </c>
      <c r="B61" s="7" t="str">
        <f t="shared" si="0"/>
        <v>2768-60</v>
      </c>
      <c r="C61" s="7">
        <f>VLOOKUP(B61,'CEBAS-DEWOOD code'!A$2:B$302,2,FALSE)</f>
        <v>116</v>
      </c>
      <c r="D61" s="7" t="str">
        <f>VLOOKUP(IONOMICS!C61,'Field Table'!A$2:E$661,3,FALSE)</f>
        <v>AA</v>
      </c>
      <c r="E61" s="7" t="str">
        <f>VLOOKUP(IONOMICS!C61,'Field Table'!A$2:E$661,4,FALSE)</f>
        <v>2</v>
      </c>
      <c r="F61" s="7" t="str">
        <f>VLOOKUP(IONOMICS!C61,'Field Table'!A$2:E$661,5,FALSE)</f>
        <v>10</v>
      </c>
      <c r="G61" s="11">
        <v>16.998327759197327</v>
      </c>
      <c r="H61" s="12">
        <v>3.3444816053511711E-2</v>
      </c>
      <c r="I61" s="12" t="s">
        <v>333</v>
      </c>
      <c r="J61" s="12" t="s">
        <v>333</v>
      </c>
      <c r="K61" s="12" t="s">
        <v>333</v>
      </c>
      <c r="L61" s="11">
        <v>5.5794314381270901E-2</v>
      </c>
      <c r="M61" s="11">
        <v>8.3612040133779278E-2</v>
      </c>
      <c r="N61" s="12" t="s">
        <v>333</v>
      </c>
      <c r="O61" s="12">
        <v>6.6889632107023422E-2</v>
      </c>
      <c r="P61" s="12">
        <v>0.88628762541806028</v>
      </c>
      <c r="Q61" s="12">
        <v>2.9849498327759201</v>
      </c>
      <c r="R61" s="12">
        <v>9.3561872909699001E-2</v>
      </c>
      <c r="S61" s="12" t="s">
        <v>333</v>
      </c>
      <c r="T61" s="12">
        <v>0.17558528428093645</v>
      </c>
      <c r="U61" s="12">
        <v>1.588628762541806E-2</v>
      </c>
      <c r="V61" s="12">
        <v>30.409698996655525</v>
      </c>
      <c r="W61" s="12" t="s">
        <v>333</v>
      </c>
      <c r="X61" s="13" t="s">
        <v>333</v>
      </c>
      <c r="Y61" s="12">
        <v>0.1254180602006689</v>
      </c>
      <c r="Z61" s="12">
        <v>0.41806020066889632</v>
      </c>
      <c r="AA61" s="13">
        <v>1.3712374581939801E-3</v>
      </c>
      <c r="AB61" s="12">
        <v>1.6053511705685619</v>
      </c>
      <c r="AC61" s="12" t="s">
        <v>333</v>
      </c>
      <c r="AD61" s="12" t="s">
        <v>333</v>
      </c>
      <c r="AE61" s="12">
        <v>90.384615384615387</v>
      </c>
      <c r="AF61" s="14">
        <v>4.7700668896321075E-3</v>
      </c>
      <c r="AG61" s="12">
        <v>3.1605351170568565</v>
      </c>
      <c r="AH61" s="12">
        <v>1.8478260869565217</v>
      </c>
      <c r="AI61" s="12" t="s">
        <v>333</v>
      </c>
      <c r="AJ61" s="12" t="s">
        <v>333</v>
      </c>
      <c r="AK61" s="12">
        <v>3.0183946488294313</v>
      </c>
    </row>
    <row r="62" spans="1:37" x14ac:dyDescent="0.25">
      <c r="A62" s="7" t="s">
        <v>393</v>
      </c>
      <c r="B62" s="7" t="str">
        <f t="shared" si="0"/>
        <v>2768-61</v>
      </c>
      <c r="C62" s="7">
        <f>VLOOKUP(B62,'CEBAS-DEWOOD code'!A$2:B$302,2,FALSE)</f>
        <v>122</v>
      </c>
      <c r="D62" s="7" t="str">
        <f>VLOOKUP(IONOMICS!C62,'Field Table'!A$2:E$661,3,FALSE)</f>
        <v>AA</v>
      </c>
      <c r="E62" s="7" t="str">
        <f>VLOOKUP(IONOMICS!C62,'Field Table'!A$2:E$661,4,FALSE)</f>
        <v>2</v>
      </c>
      <c r="F62" s="7" t="str">
        <f>VLOOKUP(IONOMICS!C62,'Field Table'!A$2:E$661,5,FALSE)</f>
        <v>25</v>
      </c>
      <c r="G62" s="11">
        <v>7.2358900144717797</v>
      </c>
      <c r="H62" s="12">
        <v>0.14471780028943559</v>
      </c>
      <c r="I62" s="12" t="s">
        <v>333</v>
      </c>
      <c r="J62" s="12" t="s">
        <v>333</v>
      </c>
      <c r="K62" s="12" t="s">
        <v>333</v>
      </c>
      <c r="L62" s="11">
        <v>5.473950795947901E-2</v>
      </c>
      <c r="M62" s="11">
        <v>4.8239266763145196E-2</v>
      </c>
      <c r="N62" s="12" t="s">
        <v>333</v>
      </c>
      <c r="O62" s="12">
        <v>9.6478533526290391E-2</v>
      </c>
      <c r="P62" s="12">
        <v>1.0733236854799806</v>
      </c>
      <c r="Q62" s="12">
        <v>3.4249879401833092</v>
      </c>
      <c r="R62" s="12">
        <v>0.13820549927641099</v>
      </c>
      <c r="S62" s="12" t="s">
        <v>333</v>
      </c>
      <c r="T62" s="12">
        <v>0.33767486734201635</v>
      </c>
      <c r="U62" s="12">
        <v>1.2252773757838882E-2</v>
      </c>
      <c r="V62" s="12">
        <v>20.164013506994692</v>
      </c>
      <c r="W62" s="12" t="s">
        <v>333</v>
      </c>
      <c r="X62" s="13" t="s">
        <v>333</v>
      </c>
      <c r="Y62" s="12">
        <v>0.14471780028943559</v>
      </c>
      <c r="Z62" s="12">
        <v>0.1085383502170767</v>
      </c>
      <c r="AA62" s="13">
        <v>7.5735648818137959E-4</v>
      </c>
      <c r="AB62" s="12">
        <v>2.6893391220453449</v>
      </c>
      <c r="AC62" s="12" t="s">
        <v>333</v>
      </c>
      <c r="AD62" s="12" t="s">
        <v>333</v>
      </c>
      <c r="AE62" s="12">
        <v>22.202122527737576</v>
      </c>
      <c r="AF62" s="14">
        <v>5.1700434153400861E-3</v>
      </c>
      <c r="AG62" s="12">
        <v>3.4973468403280275</v>
      </c>
      <c r="AH62" s="12">
        <v>0.73564881813796423</v>
      </c>
      <c r="AI62" s="12" t="s">
        <v>333</v>
      </c>
      <c r="AJ62" s="12" t="s">
        <v>333</v>
      </c>
      <c r="AK62" s="12">
        <v>2.9787747226242156</v>
      </c>
    </row>
    <row r="63" spans="1:37" x14ac:dyDescent="0.25">
      <c r="A63" s="7" t="s">
        <v>394</v>
      </c>
      <c r="B63" s="7" t="str">
        <f t="shared" si="0"/>
        <v>2768-62</v>
      </c>
      <c r="C63" s="7">
        <f>VLOOKUP(B63,'CEBAS-DEWOOD code'!A$2:B$302,2,FALSE)</f>
        <v>3</v>
      </c>
      <c r="D63" s="7" t="str">
        <f>VLOOKUP(IONOMICS!C63,'Field Table'!A$2:E$661,3,FALSE)</f>
        <v>AA</v>
      </c>
      <c r="E63" s="7" t="str">
        <f>VLOOKUP(IONOMICS!C63,'Field Table'!A$2:E$661,4,FALSE)</f>
        <v>4</v>
      </c>
      <c r="F63" s="7" t="str">
        <f>VLOOKUP(IONOMICS!C63,'Field Table'!A$2:E$661,5,FALSE)</f>
        <v>25</v>
      </c>
      <c r="G63" s="11">
        <v>13.565465729349736</v>
      </c>
      <c r="H63" s="12">
        <v>2.1968365553602813E-2</v>
      </c>
      <c r="I63" s="12" t="s">
        <v>333</v>
      </c>
      <c r="J63" s="12" t="s">
        <v>333</v>
      </c>
      <c r="K63" s="12" t="s">
        <v>333</v>
      </c>
      <c r="L63" s="11">
        <v>8.0338312829525485E-2</v>
      </c>
      <c r="M63" s="11">
        <v>0.12082601054481547</v>
      </c>
      <c r="N63" s="12" t="s">
        <v>333</v>
      </c>
      <c r="O63" s="12">
        <v>0.23066783831282953</v>
      </c>
      <c r="P63" s="12">
        <v>1.5487697715289981</v>
      </c>
      <c r="Q63" s="12">
        <v>6.2060632688927946</v>
      </c>
      <c r="R63" s="12">
        <v>5.8919156414762745E-2</v>
      </c>
      <c r="S63" s="12" t="s">
        <v>333</v>
      </c>
      <c r="T63" s="12">
        <v>0.13181019332161686</v>
      </c>
      <c r="U63" s="12">
        <v>1.5795254833040423E-2</v>
      </c>
      <c r="V63" s="12">
        <v>38.170035149384887</v>
      </c>
      <c r="W63" s="12" t="s">
        <v>333</v>
      </c>
      <c r="X63" s="13">
        <v>1.186291739894552E-4</v>
      </c>
      <c r="Y63" s="12" t="s">
        <v>333</v>
      </c>
      <c r="Z63" s="12">
        <v>0.21968365553602814</v>
      </c>
      <c r="AA63" s="13">
        <v>1.3598418277680139E-3</v>
      </c>
      <c r="AB63" s="12">
        <v>1.7464850615114236</v>
      </c>
      <c r="AC63" s="12" t="s">
        <v>333</v>
      </c>
      <c r="AD63" s="12" t="s">
        <v>333</v>
      </c>
      <c r="AE63" s="12">
        <v>10.138400702987697</v>
      </c>
      <c r="AF63" s="14">
        <v>7.583479789103691E-3</v>
      </c>
      <c r="AG63" s="12">
        <v>4.3497363796133577</v>
      </c>
      <c r="AH63" s="12">
        <v>1.9442003514938488</v>
      </c>
      <c r="AI63" s="12" t="s">
        <v>333</v>
      </c>
      <c r="AJ63" s="12" t="s">
        <v>333</v>
      </c>
      <c r="AK63" s="12">
        <v>4.4815465729349739</v>
      </c>
    </row>
    <row r="64" spans="1:37" x14ac:dyDescent="0.25">
      <c r="A64" s="7" t="s">
        <v>395</v>
      </c>
      <c r="B64" s="7" t="str">
        <f t="shared" si="0"/>
        <v>2768-63</v>
      </c>
      <c r="C64" s="7">
        <f>VLOOKUP(B64,'CEBAS-DEWOOD code'!A$2:B$302,2,FALSE)</f>
        <v>125</v>
      </c>
      <c r="D64" s="7" t="str">
        <f>VLOOKUP(IONOMICS!C64,'Field Table'!A$2:E$661,3,FALSE)</f>
        <v>FS</v>
      </c>
      <c r="E64" s="7" t="str">
        <f>VLOOKUP(IONOMICS!C64,'Field Table'!A$2:E$661,4,FALSE)</f>
        <v>2</v>
      </c>
      <c r="F64" s="7" t="str">
        <f>VLOOKUP(IONOMICS!C64,'Field Table'!A$2:E$661,5,FALSE)</f>
        <v>25</v>
      </c>
      <c r="G64" s="11">
        <v>7.725102319236016</v>
      </c>
      <c r="H64" s="12" t="s">
        <v>333</v>
      </c>
      <c r="I64" s="12" t="s">
        <v>333</v>
      </c>
      <c r="J64" s="12" t="s">
        <v>333</v>
      </c>
      <c r="K64" s="12" t="s">
        <v>333</v>
      </c>
      <c r="L64" s="11">
        <v>1.0905525238744884</v>
      </c>
      <c r="M64" s="11">
        <v>0.11937244201909958</v>
      </c>
      <c r="N64" s="12">
        <v>5.9686221009549789E-2</v>
      </c>
      <c r="O64" s="12">
        <v>0.11937244201909958</v>
      </c>
      <c r="P64" s="12">
        <v>1.3983628922237381</v>
      </c>
      <c r="Q64" s="12">
        <v>15.612210095497955</v>
      </c>
      <c r="R64" s="12">
        <v>0.23081514324693039</v>
      </c>
      <c r="S64" s="12" t="s">
        <v>333</v>
      </c>
      <c r="T64" s="12">
        <v>0.37517053206002726</v>
      </c>
      <c r="U64" s="12">
        <v>0.10231923601637107</v>
      </c>
      <c r="V64" s="12">
        <v>90.040927694406548</v>
      </c>
      <c r="W64" s="12" t="s">
        <v>333</v>
      </c>
      <c r="X64" s="13" t="s">
        <v>333</v>
      </c>
      <c r="Y64" s="12">
        <v>0.92087312414733968</v>
      </c>
      <c r="Z64" s="12">
        <v>0.11084583901773533</v>
      </c>
      <c r="AA64" s="13">
        <v>9.5924283765347878E-3</v>
      </c>
      <c r="AB64" s="12">
        <v>8.9358799454297415</v>
      </c>
      <c r="AC64" s="12" t="s">
        <v>333</v>
      </c>
      <c r="AD64" s="12" t="s">
        <v>333</v>
      </c>
      <c r="AE64" s="12">
        <v>15.322305593451567</v>
      </c>
      <c r="AF64" s="14">
        <v>2.1256821282401091E-2</v>
      </c>
      <c r="AG64" s="12">
        <v>41.891200545702588</v>
      </c>
      <c r="AH64" s="12">
        <v>0.1534788540245566</v>
      </c>
      <c r="AI64" s="12">
        <v>8.7141882673942703</v>
      </c>
      <c r="AJ64" s="12" t="s">
        <v>333</v>
      </c>
      <c r="AK64" s="12">
        <v>4.9539563437926324</v>
      </c>
    </row>
    <row r="65" spans="1:37" x14ac:dyDescent="0.25">
      <c r="A65" s="7" t="s">
        <v>396</v>
      </c>
      <c r="B65" s="7" t="str">
        <f t="shared" si="0"/>
        <v>2768-64</v>
      </c>
      <c r="C65" s="7">
        <f>VLOOKUP(B65,'CEBAS-DEWOOD code'!A$2:B$302,2,FALSE)</f>
        <v>119</v>
      </c>
      <c r="D65" s="7" t="str">
        <f>VLOOKUP(IONOMICS!C65,'Field Table'!A$2:E$661,3,FALSE)</f>
        <v>FS</v>
      </c>
      <c r="E65" s="7" t="str">
        <f>VLOOKUP(IONOMICS!C65,'Field Table'!A$2:E$661,4,FALSE)</f>
        <v>2</v>
      </c>
      <c r="F65" s="7" t="str">
        <f>VLOOKUP(IONOMICS!C65,'Field Table'!A$2:E$661,5,FALSE)</f>
        <v>10</v>
      </c>
      <c r="G65" s="11">
        <v>5.9903047091412738</v>
      </c>
      <c r="H65" s="12" t="s">
        <v>333</v>
      </c>
      <c r="I65" s="12" t="s">
        <v>333</v>
      </c>
      <c r="J65" s="12" t="s">
        <v>333</v>
      </c>
      <c r="K65" s="12" t="s">
        <v>333</v>
      </c>
      <c r="L65" s="11">
        <v>0.12811634349030473</v>
      </c>
      <c r="M65" s="11">
        <v>7.790858725761772E-2</v>
      </c>
      <c r="N65" s="12">
        <v>6.9252077562326875E-2</v>
      </c>
      <c r="O65" s="12">
        <v>0.121191135734072</v>
      </c>
      <c r="P65" s="12">
        <v>1.1599722991689752</v>
      </c>
      <c r="Q65" s="12">
        <v>3.358725761772853</v>
      </c>
      <c r="R65" s="12">
        <v>0.11080332409972299</v>
      </c>
      <c r="S65" s="12" t="s">
        <v>333</v>
      </c>
      <c r="T65" s="12">
        <v>0.19044321329639891</v>
      </c>
      <c r="U65" s="12">
        <v>4.8917936288088638E-2</v>
      </c>
      <c r="V65" s="12">
        <v>89.248614958448755</v>
      </c>
      <c r="W65" s="12" t="s">
        <v>333</v>
      </c>
      <c r="X65" s="13">
        <v>2.4497922437673132E-4</v>
      </c>
      <c r="Y65" s="12">
        <v>2.0775623268698058</v>
      </c>
      <c r="Z65" s="12">
        <v>8.6565096952908593E-2</v>
      </c>
      <c r="AA65" s="13">
        <v>7.6030124653739609E-3</v>
      </c>
      <c r="AB65" s="12">
        <v>2.2853185595567869</v>
      </c>
      <c r="AC65" s="12" t="s">
        <v>333</v>
      </c>
      <c r="AD65" s="12" t="s">
        <v>333</v>
      </c>
      <c r="AE65" s="12">
        <v>101.28116343490305</v>
      </c>
      <c r="AF65" s="14">
        <v>1.1971952908587258E-2</v>
      </c>
      <c r="AG65" s="12">
        <v>11.469875346260388</v>
      </c>
      <c r="AH65" s="12">
        <v>1.8092105263157894</v>
      </c>
      <c r="AI65" s="12" t="s">
        <v>333</v>
      </c>
      <c r="AJ65" s="12" t="s">
        <v>333</v>
      </c>
      <c r="AK65" s="12">
        <v>1.8698060941828256</v>
      </c>
    </row>
    <row r="66" spans="1:37" x14ac:dyDescent="0.25">
      <c r="A66" s="7" t="s">
        <v>397</v>
      </c>
      <c r="B66" s="7" t="str">
        <f t="shared" si="0"/>
        <v>2768-65</v>
      </c>
      <c r="C66" s="7">
        <f>VLOOKUP(B66,'CEBAS-DEWOOD code'!A$2:B$302,2,FALSE)</f>
        <v>360</v>
      </c>
      <c r="D66" s="7" t="str">
        <f>VLOOKUP(IONOMICS!C66,'Field Table'!A$2:E$661,3,FALSE)</f>
        <v>AA</v>
      </c>
      <c r="E66" s="7" t="str">
        <f>VLOOKUP(IONOMICS!C66,'Field Table'!A$2:E$661,4,FALSE)</f>
        <v>1</v>
      </c>
      <c r="F66" s="7" t="str">
        <f>VLOOKUP(IONOMICS!C66,'Field Table'!A$2:E$661,5,FALSE)</f>
        <v>25</v>
      </c>
      <c r="G66" s="11">
        <v>7.8384111068260696</v>
      </c>
      <c r="H66" s="12">
        <v>3.8565368299267259E-2</v>
      </c>
      <c r="I66" s="12" t="s">
        <v>333</v>
      </c>
      <c r="J66" s="12" t="s">
        <v>333</v>
      </c>
      <c r="K66" s="12" t="s">
        <v>333</v>
      </c>
      <c r="L66" s="11">
        <v>6.9976860779020447E-2</v>
      </c>
      <c r="M66" s="11">
        <v>0.1349787890474354</v>
      </c>
      <c r="N66" s="12" t="s">
        <v>333</v>
      </c>
      <c r="O66" s="12">
        <v>0.12533744697261862</v>
      </c>
      <c r="P66" s="12">
        <v>1.195526417277285</v>
      </c>
      <c r="Q66" s="12">
        <v>3.8565368299267262</v>
      </c>
      <c r="R66" s="12">
        <v>0.15734670266101045</v>
      </c>
      <c r="S66" s="12" t="s">
        <v>333</v>
      </c>
      <c r="T66" s="12">
        <v>0.17354415734670267</v>
      </c>
      <c r="U66" s="12">
        <v>1.5686463555726959E-2</v>
      </c>
      <c r="V66" s="12">
        <v>31.758580794446594</v>
      </c>
      <c r="W66" s="12" t="s">
        <v>333</v>
      </c>
      <c r="X66" s="13" t="s">
        <v>333</v>
      </c>
      <c r="Y66" s="12">
        <v>6.7489394523717702E-2</v>
      </c>
      <c r="Z66" s="12">
        <v>5.7848052448900893E-2</v>
      </c>
      <c r="AA66" s="13">
        <v>1.4789818742768997E-3</v>
      </c>
      <c r="AB66" s="12">
        <v>3.0659467797917475</v>
      </c>
      <c r="AC66" s="12" t="s">
        <v>333</v>
      </c>
      <c r="AD66" s="12" t="s">
        <v>333</v>
      </c>
      <c r="AE66" s="12">
        <v>15.946779791747012</v>
      </c>
      <c r="AF66" s="14">
        <v>5.8850752024681846E-3</v>
      </c>
      <c r="AG66" s="12">
        <v>4.7146162745854223</v>
      </c>
      <c r="AH66" s="12">
        <v>0.31816428846895495</v>
      </c>
      <c r="AI66" s="12" t="s">
        <v>333</v>
      </c>
      <c r="AJ66" s="12" t="s">
        <v>333</v>
      </c>
      <c r="AK66" s="12">
        <v>3.924026224450444</v>
      </c>
    </row>
    <row r="67" spans="1:37" x14ac:dyDescent="0.25">
      <c r="A67" s="7" t="s">
        <v>398</v>
      </c>
      <c r="B67" s="7" t="str">
        <f t="shared" ref="B67:B130" si="1">RIGHT(A67, LEN(A67)-7)</f>
        <v>2768-66</v>
      </c>
      <c r="C67" s="7">
        <f>VLOOKUP(B67,'CEBAS-DEWOOD code'!A$2:B$302,2,FALSE)</f>
        <v>1052</v>
      </c>
      <c r="D67" s="7" t="str">
        <f>VLOOKUP(IONOMICS!C67,'Field Table'!A$2:E$661,3,FALSE)</f>
        <v>FS</v>
      </c>
      <c r="E67" s="7" t="str">
        <f>VLOOKUP(IONOMICS!C67,'Field Table'!A$2:E$661,4,FALSE)</f>
        <v>1</v>
      </c>
      <c r="F67" s="7" t="str">
        <f>VLOOKUP(IONOMICS!C67,'Field Table'!A$2:E$661,5,FALSE)</f>
        <v>01</v>
      </c>
      <c r="G67" s="11">
        <v>7.9982706441850402</v>
      </c>
      <c r="H67" s="12">
        <v>2.1616947686986597E-2</v>
      </c>
      <c r="I67" s="12" t="s">
        <v>333</v>
      </c>
      <c r="J67" s="12" t="s">
        <v>333</v>
      </c>
      <c r="K67" s="12" t="s">
        <v>333</v>
      </c>
      <c r="L67" s="11">
        <v>0.20881971465629054</v>
      </c>
      <c r="M67" s="11">
        <v>6.4850843060959784E-2</v>
      </c>
      <c r="N67" s="12">
        <v>1.0808473843493299E-2</v>
      </c>
      <c r="O67" s="12">
        <v>7.5659316904453086E-2</v>
      </c>
      <c r="P67" s="12">
        <v>2.9074794638996972</v>
      </c>
      <c r="Q67" s="12">
        <v>6.6255944660613917</v>
      </c>
      <c r="R67" s="12">
        <v>0.13283614353653264</v>
      </c>
      <c r="S67" s="12" t="s">
        <v>333</v>
      </c>
      <c r="T67" s="12">
        <v>0.15131863380890617</v>
      </c>
      <c r="U67" s="12">
        <v>2.2622135754431474E-2</v>
      </c>
      <c r="V67" s="12">
        <v>99.189364461737995</v>
      </c>
      <c r="W67" s="12" t="s">
        <v>333</v>
      </c>
      <c r="X67" s="13" t="s">
        <v>333</v>
      </c>
      <c r="Y67" s="12">
        <v>0.45395590142671854</v>
      </c>
      <c r="Z67" s="12">
        <v>0.59446606139213132</v>
      </c>
      <c r="AA67" s="13">
        <v>3.0587980977086038E-2</v>
      </c>
      <c r="AB67" s="12">
        <v>3.2425421530479897</v>
      </c>
      <c r="AC67" s="12" t="s">
        <v>333</v>
      </c>
      <c r="AD67" s="12" t="s">
        <v>333</v>
      </c>
      <c r="AE67" s="12">
        <v>329.44228274967577</v>
      </c>
      <c r="AF67" s="14">
        <v>1.7769130998702982E-2</v>
      </c>
      <c r="AG67" s="12">
        <v>11.997405966277562</v>
      </c>
      <c r="AH67" s="12">
        <v>0.34587116299178555</v>
      </c>
      <c r="AI67" s="12" t="s">
        <v>333</v>
      </c>
      <c r="AJ67" s="12" t="s">
        <v>333</v>
      </c>
      <c r="AK67" s="12">
        <v>5.0475572849113703</v>
      </c>
    </row>
    <row r="68" spans="1:37" x14ac:dyDescent="0.25">
      <c r="A68" s="7" t="s">
        <v>399</v>
      </c>
      <c r="B68" s="7" t="str">
        <f t="shared" si="1"/>
        <v>2768-67</v>
      </c>
      <c r="C68" s="7">
        <f>VLOOKUP(B68,'CEBAS-DEWOOD code'!A$2:B$302,2,FALSE)</f>
        <v>338</v>
      </c>
      <c r="D68" s="7" t="str">
        <f>VLOOKUP(IONOMICS!C68,'Field Table'!A$2:E$661,3,FALSE)</f>
        <v>FS</v>
      </c>
      <c r="E68" s="7" t="str">
        <f>VLOOKUP(IONOMICS!C68,'Field Table'!A$2:E$661,4,FALSE)</f>
        <v>2</v>
      </c>
      <c r="F68" s="7" t="str">
        <f>VLOOKUP(IONOMICS!C68,'Field Table'!A$2:E$661,5,FALSE)</f>
        <v>10</v>
      </c>
      <c r="G68" s="11">
        <v>5.680256527714155</v>
      </c>
      <c r="H68" s="12">
        <v>8.0164910673385242E-2</v>
      </c>
      <c r="I68" s="12" t="s">
        <v>333</v>
      </c>
      <c r="J68" s="12" t="s">
        <v>333</v>
      </c>
      <c r="K68" s="12" t="s">
        <v>333</v>
      </c>
      <c r="L68" s="11">
        <v>0.1060696289509849</v>
      </c>
      <c r="M68" s="11">
        <v>0.10306917086578103</v>
      </c>
      <c r="N68" s="12">
        <v>1.1452130096197893E-2</v>
      </c>
      <c r="O68" s="12">
        <v>6.8712780577187355E-2</v>
      </c>
      <c r="P68" s="12">
        <v>3.905176362803481</v>
      </c>
      <c r="Q68" s="12">
        <v>23.419606046724692</v>
      </c>
      <c r="R68" s="12">
        <v>5.6619331195602383E-2</v>
      </c>
      <c r="S68" s="12" t="s">
        <v>333</v>
      </c>
      <c r="T68" s="12">
        <v>0.12597343105817682</v>
      </c>
      <c r="U68" s="12">
        <v>7.5618415025194688E-2</v>
      </c>
      <c r="V68" s="12">
        <v>46.312414109024274</v>
      </c>
      <c r="W68" s="12" t="s">
        <v>333</v>
      </c>
      <c r="X68" s="13">
        <v>2.412963811268896E-3</v>
      </c>
      <c r="Y68" s="12">
        <v>0.81310123683005053</v>
      </c>
      <c r="Z68" s="12">
        <v>0.27485112230874942</v>
      </c>
      <c r="AA68" s="13">
        <v>5.6138341731562071E-3</v>
      </c>
      <c r="AB68" s="12">
        <v>2.0842876775080166</v>
      </c>
      <c r="AC68" s="12" t="s">
        <v>333</v>
      </c>
      <c r="AD68" s="12" t="s">
        <v>333</v>
      </c>
      <c r="AE68" s="12">
        <v>22.297297297297302</v>
      </c>
      <c r="AF68" s="14">
        <v>1.0360742098030234E-2</v>
      </c>
      <c r="AG68" s="12">
        <v>9.1158955565735234</v>
      </c>
      <c r="AH68" s="12">
        <v>0.45808520384791573</v>
      </c>
      <c r="AI68" s="12" t="s">
        <v>333</v>
      </c>
      <c r="AJ68" s="12" t="s">
        <v>333</v>
      </c>
      <c r="AK68" s="12">
        <v>2.3591387998167659</v>
      </c>
    </row>
    <row r="69" spans="1:37" x14ac:dyDescent="0.25">
      <c r="A69" s="7" t="s">
        <v>400</v>
      </c>
      <c r="B69" s="7" t="str">
        <f t="shared" si="1"/>
        <v>2768-68</v>
      </c>
      <c r="C69" s="7">
        <f>VLOOKUP(B69,'CEBAS-DEWOOD code'!A$2:B$302,2,FALSE)</f>
        <v>347</v>
      </c>
      <c r="D69" s="7" t="str">
        <f>VLOOKUP(IONOMICS!C69,'Field Table'!A$2:E$661,3,FALSE)</f>
        <v>FS</v>
      </c>
      <c r="E69" s="7" t="str">
        <f>VLOOKUP(IONOMICS!C69,'Field Table'!A$2:E$661,4,FALSE)</f>
        <v>4</v>
      </c>
      <c r="F69" s="7" t="str">
        <f>VLOOKUP(IONOMICS!C69,'Field Table'!A$2:E$661,5,FALSE)</f>
        <v>25</v>
      </c>
      <c r="G69" s="11">
        <v>104.54702032380295</v>
      </c>
      <c r="H69" s="12">
        <v>1.722356183258698E-2</v>
      </c>
      <c r="I69" s="12" t="s">
        <v>333</v>
      </c>
      <c r="J69" s="12" t="s">
        <v>333</v>
      </c>
      <c r="K69" s="12" t="s">
        <v>333</v>
      </c>
      <c r="L69" s="11">
        <v>0.32371684464347233</v>
      </c>
      <c r="M69" s="11">
        <v>0.34447123665173962</v>
      </c>
      <c r="N69" s="12">
        <v>8.6117809162934902E-3</v>
      </c>
      <c r="O69" s="12">
        <v>0.36169479848432656</v>
      </c>
      <c r="P69" s="12">
        <v>3.5308301756803311</v>
      </c>
      <c r="Q69" s="12">
        <v>79.262831553565277</v>
      </c>
      <c r="R69" s="12">
        <v>5.9834653806407165E-2</v>
      </c>
      <c r="S69" s="12" t="s">
        <v>333</v>
      </c>
      <c r="T69" s="12">
        <v>0.18945918015845678</v>
      </c>
      <c r="U69" s="12">
        <v>0.11849810540819841</v>
      </c>
      <c r="V69" s="12">
        <v>282.29417843610059</v>
      </c>
      <c r="W69" s="12" t="s">
        <v>333</v>
      </c>
      <c r="X69" s="13">
        <v>3.5187736823975198E-3</v>
      </c>
      <c r="Y69" s="12">
        <v>0.71477781605235957</v>
      </c>
      <c r="Z69" s="12">
        <v>1.0420254908715121</v>
      </c>
      <c r="AA69" s="13">
        <v>2.0857733379262833E-2</v>
      </c>
      <c r="AB69" s="12">
        <v>1.7998622115053391</v>
      </c>
      <c r="AC69" s="12" t="s">
        <v>333</v>
      </c>
      <c r="AD69" s="12" t="s">
        <v>333</v>
      </c>
      <c r="AE69" s="12">
        <v>170.16879090595936</v>
      </c>
      <c r="AF69" s="14">
        <v>2.95039614192215E-2</v>
      </c>
      <c r="AG69" s="12">
        <v>22.209782983120913</v>
      </c>
      <c r="AH69" s="12">
        <v>5.1842921116086806</v>
      </c>
      <c r="AI69" s="12">
        <v>13.158801240096452</v>
      </c>
      <c r="AJ69" s="12">
        <v>5.1670685497760938E-2</v>
      </c>
      <c r="AK69" s="12">
        <v>5.9851877368239759</v>
      </c>
    </row>
    <row r="70" spans="1:37" x14ac:dyDescent="0.25">
      <c r="A70" s="7" t="s">
        <v>401</v>
      </c>
      <c r="B70" s="7" t="str">
        <f t="shared" si="1"/>
        <v>2768-69</v>
      </c>
      <c r="C70" s="7">
        <f>VLOOKUP(B70,'CEBAS-DEWOOD code'!A$2:B$302,2,FALSE)</f>
        <v>182</v>
      </c>
      <c r="D70" s="7" t="str">
        <f>VLOOKUP(IONOMICS!C70,'Field Table'!A$2:E$661,3,FALSE)</f>
        <v>AA</v>
      </c>
      <c r="E70" s="7" t="str">
        <f>VLOOKUP(IONOMICS!C70,'Field Table'!A$2:E$661,4,FALSE)</f>
        <v>1</v>
      </c>
      <c r="F70" s="7" t="str">
        <f>VLOOKUP(IONOMICS!C70,'Field Table'!A$2:E$661,5,FALSE)</f>
        <v>25</v>
      </c>
      <c r="G70" s="11">
        <v>6.1709373986376903</v>
      </c>
      <c r="H70" s="12" t="s">
        <v>333</v>
      </c>
      <c r="I70" s="12" t="s">
        <v>333</v>
      </c>
      <c r="J70" s="12" t="s">
        <v>333</v>
      </c>
      <c r="K70" s="12" t="s">
        <v>333</v>
      </c>
      <c r="L70" s="11">
        <v>6.2917612714888091E-2</v>
      </c>
      <c r="M70" s="11">
        <v>4.8653908530651956E-2</v>
      </c>
      <c r="N70" s="12" t="s">
        <v>333</v>
      </c>
      <c r="O70" s="12">
        <v>4.05449237755433E-2</v>
      </c>
      <c r="P70" s="12">
        <v>0.7298086279597793</v>
      </c>
      <c r="Q70" s="12">
        <v>2.7732727862471616</v>
      </c>
      <c r="R70" s="12">
        <v>7.8567953292247805E-2</v>
      </c>
      <c r="S70" s="12" t="s">
        <v>333</v>
      </c>
      <c r="T70" s="12">
        <v>0.12163477132662989</v>
      </c>
      <c r="U70" s="12">
        <v>1.6290950373013299E-2</v>
      </c>
      <c r="V70" s="12">
        <v>21.034706454751866</v>
      </c>
      <c r="W70" s="12" t="s">
        <v>333</v>
      </c>
      <c r="X70" s="13">
        <v>9.2442426208238726E-5</v>
      </c>
      <c r="Y70" s="12" t="s">
        <v>333</v>
      </c>
      <c r="Z70" s="12">
        <v>0.34868634446967239</v>
      </c>
      <c r="AA70" s="13">
        <v>1.0736295815763864E-3</v>
      </c>
      <c r="AB70" s="12">
        <v>1.3460914693480375</v>
      </c>
      <c r="AC70" s="12" t="s">
        <v>333</v>
      </c>
      <c r="AD70" s="12" t="s">
        <v>333</v>
      </c>
      <c r="AE70" s="12">
        <v>7.5656827765163799</v>
      </c>
      <c r="AF70" s="14">
        <v>5.2675964969185855E-3</v>
      </c>
      <c r="AG70" s="12">
        <v>4.4518326305546534</v>
      </c>
      <c r="AH70" s="12">
        <v>0.36490431397988965</v>
      </c>
      <c r="AI70" s="12" t="s">
        <v>333</v>
      </c>
      <c r="AJ70" s="12" t="s">
        <v>333</v>
      </c>
      <c r="AK70" s="12">
        <v>2.3597145637366204</v>
      </c>
    </row>
    <row r="71" spans="1:37" x14ac:dyDescent="0.25">
      <c r="A71" s="7" t="s">
        <v>402</v>
      </c>
      <c r="B71" s="7" t="str">
        <f t="shared" si="1"/>
        <v>2768-71</v>
      </c>
      <c r="C71" s="7">
        <f>VLOOKUP(B71,'CEBAS-DEWOOD code'!A$2:B$302,2,FALSE)</f>
        <v>142</v>
      </c>
      <c r="D71" s="7" t="str">
        <f>VLOOKUP(IONOMICS!C71,'Field Table'!A$2:E$661,3,FALSE)</f>
        <v>AA</v>
      </c>
      <c r="E71" s="7" t="str">
        <f>VLOOKUP(IONOMICS!C71,'Field Table'!A$2:E$661,4,FALSE)</f>
        <v>4</v>
      </c>
      <c r="F71" s="7" t="str">
        <f>VLOOKUP(IONOMICS!C71,'Field Table'!A$2:E$661,5,FALSE)</f>
        <v>10</v>
      </c>
      <c r="G71" s="11">
        <v>26.04628261939931</v>
      </c>
      <c r="H71" s="12">
        <v>9.8473658296405711E-2</v>
      </c>
      <c r="I71" s="12" t="s">
        <v>333</v>
      </c>
      <c r="J71" s="12" t="s">
        <v>333</v>
      </c>
      <c r="K71" s="12" t="s">
        <v>333</v>
      </c>
      <c r="L71" s="11">
        <v>0.14327917282127031</v>
      </c>
      <c r="M71" s="11">
        <v>0.33234859675036932</v>
      </c>
      <c r="N71" s="12" t="s">
        <v>333</v>
      </c>
      <c r="O71" s="12">
        <v>0.25849335302806498</v>
      </c>
      <c r="P71" s="12">
        <v>2.0802560315115706</v>
      </c>
      <c r="Q71" s="12">
        <v>12.961595273264402</v>
      </c>
      <c r="R71" s="12">
        <v>8.7986213687838502E-2</v>
      </c>
      <c r="S71" s="12" t="s">
        <v>333</v>
      </c>
      <c r="T71" s="12">
        <v>0.19694731659281142</v>
      </c>
      <c r="U71" s="12">
        <v>2.535696701132447E-2</v>
      </c>
      <c r="V71" s="12">
        <v>50.283111767602158</v>
      </c>
      <c r="W71" s="12" t="s">
        <v>333</v>
      </c>
      <c r="X71" s="13">
        <v>4.1962087641555876E-3</v>
      </c>
      <c r="Y71" s="12">
        <v>0.2461841457410143</v>
      </c>
      <c r="Z71" s="12">
        <v>0.25849335302806498</v>
      </c>
      <c r="AA71" s="13">
        <v>4.9532250123092069E-3</v>
      </c>
      <c r="AB71" s="12">
        <v>1.9694731659281144</v>
      </c>
      <c r="AC71" s="12" t="s">
        <v>333</v>
      </c>
      <c r="AD71" s="12" t="s">
        <v>333</v>
      </c>
      <c r="AE71" s="12">
        <v>31.056129985228957</v>
      </c>
      <c r="AF71" s="14">
        <v>1.1723289020187102E-2</v>
      </c>
      <c r="AG71" s="12">
        <v>7.9025110782865573</v>
      </c>
      <c r="AH71" s="12">
        <v>0.99704579025110773</v>
      </c>
      <c r="AI71" s="12" t="s">
        <v>333</v>
      </c>
      <c r="AJ71" s="12" t="s">
        <v>333</v>
      </c>
      <c r="AK71" s="12">
        <v>6.3023141309699655</v>
      </c>
    </row>
    <row r="72" spans="1:37" x14ac:dyDescent="0.25">
      <c r="A72" s="7" t="s">
        <v>403</v>
      </c>
      <c r="B72" s="7" t="str">
        <f t="shared" si="1"/>
        <v>2768-72</v>
      </c>
      <c r="C72" s="7">
        <f>VLOOKUP(B72,'CEBAS-DEWOOD code'!A$2:B$302,2,FALSE)</f>
        <v>1028</v>
      </c>
      <c r="D72" s="7" t="str">
        <f>VLOOKUP(IONOMICS!C72,'Field Table'!A$2:E$661,3,FALSE)</f>
        <v>FS</v>
      </c>
      <c r="E72" s="7" t="str">
        <f>VLOOKUP(IONOMICS!C72,'Field Table'!A$2:E$661,4,FALSE)</f>
        <v>1</v>
      </c>
      <c r="F72" s="7" t="str">
        <f>VLOOKUP(IONOMICS!C72,'Field Table'!A$2:E$661,5,FALSE)</f>
        <v>01</v>
      </c>
      <c r="G72" s="11">
        <v>12.544326241134751</v>
      </c>
      <c r="H72" s="12">
        <v>0.12411347517730496</v>
      </c>
      <c r="I72" s="12" t="s">
        <v>333</v>
      </c>
      <c r="J72" s="12" t="s">
        <v>333</v>
      </c>
      <c r="K72" s="12" t="s">
        <v>333</v>
      </c>
      <c r="L72" s="11">
        <v>0.23714539007092203</v>
      </c>
      <c r="M72" s="11">
        <v>9.7517730496453917E-2</v>
      </c>
      <c r="N72" s="12">
        <v>3.5460992907801421E-2</v>
      </c>
      <c r="O72" s="12">
        <v>7.0921985815602842E-2</v>
      </c>
      <c r="P72" s="12">
        <v>2.4202127659574471</v>
      </c>
      <c r="Q72" s="12">
        <v>8.8031914893617031</v>
      </c>
      <c r="R72" s="12">
        <v>0.10824468085106385</v>
      </c>
      <c r="S72" s="12" t="s">
        <v>333</v>
      </c>
      <c r="T72" s="12">
        <v>0.18617021276595747</v>
      </c>
      <c r="U72" s="12">
        <v>2.0567375886524825E-2</v>
      </c>
      <c r="V72" s="12">
        <v>94.592198581560282</v>
      </c>
      <c r="W72" s="12" t="s">
        <v>333</v>
      </c>
      <c r="X72" s="13">
        <v>3.4663120567375892E-4</v>
      </c>
      <c r="Y72" s="12">
        <v>0.93085106382978733</v>
      </c>
      <c r="Z72" s="12">
        <v>0.6914893617021276</v>
      </c>
      <c r="AA72" s="13">
        <v>1.8874113475177305E-2</v>
      </c>
      <c r="AB72" s="12">
        <v>2.792553191489362</v>
      </c>
      <c r="AC72" s="12" t="s">
        <v>333</v>
      </c>
      <c r="AD72" s="12" t="s">
        <v>333</v>
      </c>
      <c r="AE72" s="12">
        <v>521.54255319148933</v>
      </c>
      <c r="AF72" s="14">
        <v>1.7925531914893617E-2</v>
      </c>
      <c r="AG72" s="12">
        <v>16.099290780141846</v>
      </c>
      <c r="AH72" s="12">
        <v>0.54078014184397172</v>
      </c>
      <c r="AI72" s="12" t="s">
        <v>333</v>
      </c>
      <c r="AJ72" s="12" t="s">
        <v>333</v>
      </c>
      <c r="AK72" s="12">
        <v>6.25</v>
      </c>
    </row>
    <row r="73" spans="1:37" x14ac:dyDescent="0.25">
      <c r="A73" s="7" t="s">
        <v>404</v>
      </c>
      <c r="B73" s="7" t="str">
        <f t="shared" si="1"/>
        <v>2768-73</v>
      </c>
      <c r="C73" s="7">
        <f>VLOOKUP(B73,'CEBAS-DEWOOD code'!A$2:B$302,2,FALSE)</f>
        <v>341</v>
      </c>
      <c r="D73" s="7" t="str">
        <f>VLOOKUP(IONOMICS!C73,'Field Table'!A$2:E$661,3,FALSE)</f>
        <v>FS</v>
      </c>
      <c r="E73" s="7" t="str">
        <f>VLOOKUP(IONOMICS!C73,'Field Table'!A$2:E$661,4,FALSE)</f>
        <v>4</v>
      </c>
      <c r="F73" s="7" t="str">
        <f>VLOOKUP(IONOMICS!C73,'Field Table'!A$2:E$661,5,FALSE)</f>
        <v>10</v>
      </c>
      <c r="G73" s="11">
        <v>3.4046214355948869</v>
      </c>
      <c r="H73" s="12">
        <v>8.6037364798426733E-2</v>
      </c>
      <c r="I73" s="12" t="s">
        <v>333</v>
      </c>
      <c r="J73" s="12" t="s">
        <v>333</v>
      </c>
      <c r="K73" s="12" t="s">
        <v>333</v>
      </c>
      <c r="L73" s="11">
        <v>0.24139626352015736</v>
      </c>
      <c r="M73" s="11">
        <v>0.12291052114060964</v>
      </c>
      <c r="N73" s="12">
        <v>2.4582104228121928E-2</v>
      </c>
      <c r="O73" s="12">
        <v>0.13520157325467061</v>
      </c>
      <c r="P73" s="12">
        <v>1.8190757128810227</v>
      </c>
      <c r="Q73" s="12">
        <v>7.7802359882005891</v>
      </c>
      <c r="R73" s="12">
        <v>0.153023598820059</v>
      </c>
      <c r="S73" s="12" t="s">
        <v>333</v>
      </c>
      <c r="T73" s="12">
        <v>0.29498525073746312</v>
      </c>
      <c r="U73" s="12">
        <v>5.909537856440511E-2</v>
      </c>
      <c r="V73" s="12">
        <v>168.75614552605705</v>
      </c>
      <c r="W73" s="12" t="s">
        <v>333</v>
      </c>
      <c r="X73" s="13">
        <v>4.8918387413962637E-4</v>
      </c>
      <c r="Y73" s="12">
        <v>1.0201573254670599</v>
      </c>
      <c r="Z73" s="12">
        <v>0.19665683382497542</v>
      </c>
      <c r="AA73" s="13">
        <v>9.2809734513274334E-3</v>
      </c>
      <c r="AB73" s="12">
        <v>5.5063913470993109</v>
      </c>
      <c r="AC73" s="12" t="s">
        <v>333</v>
      </c>
      <c r="AD73" s="12" t="s">
        <v>333</v>
      </c>
      <c r="AE73" s="12">
        <v>18.190757128810226</v>
      </c>
      <c r="AF73" s="14">
        <v>1.5929203539823009E-2</v>
      </c>
      <c r="AG73" s="12">
        <v>15.744837758112093</v>
      </c>
      <c r="AH73" s="12">
        <v>0.33185840707964603</v>
      </c>
      <c r="AI73" s="12" t="s">
        <v>333</v>
      </c>
      <c r="AJ73" s="12" t="s">
        <v>333</v>
      </c>
      <c r="AK73" s="12">
        <v>2.691740412979351</v>
      </c>
    </row>
    <row r="74" spans="1:37" x14ac:dyDescent="0.25">
      <c r="A74" s="7" t="s">
        <v>405</v>
      </c>
      <c r="B74" s="7" t="str">
        <f t="shared" si="1"/>
        <v>2768-74</v>
      </c>
      <c r="C74" s="7">
        <f>VLOOKUP(B74,'CEBAS-DEWOOD code'!A$2:B$302,2,FALSE)</f>
        <v>121</v>
      </c>
      <c r="D74" s="7" t="str">
        <f>VLOOKUP(IONOMICS!C74,'Field Table'!A$2:E$661,3,FALSE)</f>
        <v>AA</v>
      </c>
      <c r="E74" s="7" t="str">
        <f>VLOOKUP(IONOMICS!C74,'Field Table'!A$2:E$661,4,FALSE)</f>
        <v>1</v>
      </c>
      <c r="F74" s="7" t="str">
        <f>VLOOKUP(IONOMICS!C74,'Field Table'!A$2:E$661,5,FALSE)</f>
        <v>25</v>
      </c>
      <c r="G74" s="11">
        <v>7.1827904715605255</v>
      </c>
      <c r="H74" s="12" t="s">
        <v>333</v>
      </c>
      <c r="I74" s="12" t="s">
        <v>333</v>
      </c>
      <c r="J74" s="12" t="s">
        <v>333</v>
      </c>
      <c r="K74" s="12" t="s">
        <v>333</v>
      </c>
      <c r="L74" s="11">
        <v>6.6346621293145364E-2</v>
      </c>
      <c r="M74" s="11">
        <v>3.6460865337870685E-2</v>
      </c>
      <c r="N74" s="12">
        <v>3.6460865337870685E-2</v>
      </c>
      <c r="O74" s="12">
        <v>0.15799708313077299</v>
      </c>
      <c r="P74" s="12">
        <v>0.81429265921244542</v>
      </c>
      <c r="Q74" s="12">
        <v>3.5853184248906174</v>
      </c>
      <c r="R74" s="12">
        <v>0.19883325230918814</v>
      </c>
      <c r="S74" s="12" t="s">
        <v>333</v>
      </c>
      <c r="T74" s="12">
        <v>0.32814778804083622</v>
      </c>
      <c r="U74" s="12">
        <v>1.8740884783665535E-2</v>
      </c>
      <c r="V74" s="12">
        <v>25.935828877005349</v>
      </c>
      <c r="W74" s="12" t="s">
        <v>333</v>
      </c>
      <c r="X74" s="13" t="s">
        <v>333</v>
      </c>
      <c r="Y74" s="12">
        <v>0.18230432668935342</v>
      </c>
      <c r="Z74" s="12">
        <v>0.21876519202722411</v>
      </c>
      <c r="AA74" s="13">
        <v>1.6771998055420518E-3</v>
      </c>
      <c r="AB74" s="12">
        <v>4.4846864365580945</v>
      </c>
      <c r="AC74" s="12" t="s">
        <v>333</v>
      </c>
      <c r="AD74" s="12" t="s">
        <v>333</v>
      </c>
      <c r="AE74" s="12">
        <v>20.077783179387463</v>
      </c>
      <c r="AF74" s="14">
        <v>5.4618376276130299E-3</v>
      </c>
      <c r="AG74" s="12">
        <v>3.9985415653864855</v>
      </c>
      <c r="AH74" s="12">
        <v>0.60768108896451145</v>
      </c>
      <c r="AI74" s="12" t="s">
        <v>333</v>
      </c>
      <c r="AJ74" s="12" t="s">
        <v>333</v>
      </c>
      <c r="AK74" s="12">
        <v>3.9134662129314535</v>
      </c>
    </row>
    <row r="75" spans="1:37" x14ac:dyDescent="0.25">
      <c r="A75" s="7" t="s">
        <v>406</v>
      </c>
      <c r="B75" s="7" t="str">
        <f t="shared" si="1"/>
        <v>2768-75</v>
      </c>
      <c r="C75" s="7">
        <f>VLOOKUP(B75,'CEBAS-DEWOOD code'!A$2:B$302,2,FALSE)</f>
        <v>354</v>
      </c>
      <c r="D75" s="7" t="str">
        <f>VLOOKUP(IONOMICS!C75,'Field Table'!A$2:E$661,3,FALSE)</f>
        <v>FS</v>
      </c>
      <c r="E75" s="7" t="str">
        <f>VLOOKUP(IONOMICS!C75,'Field Table'!A$2:E$661,4,FALSE)</f>
        <v>1</v>
      </c>
      <c r="F75" s="7" t="str">
        <f>VLOOKUP(IONOMICS!C75,'Field Table'!A$2:E$661,5,FALSE)</f>
        <v>10</v>
      </c>
      <c r="G75" s="11">
        <v>1.7809139784946237</v>
      </c>
      <c r="H75" s="12">
        <v>2.2401433691756272E-2</v>
      </c>
      <c r="I75" s="12" t="s">
        <v>333</v>
      </c>
      <c r="J75" s="12" t="s">
        <v>333</v>
      </c>
      <c r="K75" s="12" t="s">
        <v>333</v>
      </c>
      <c r="L75" s="11">
        <v>8.584229390681003E-2</v>
      </c>
      <c r="M75" s="11">
        <v>6.7204301075268813E-2</v>
      </c>
      <c r="N75" s="12" t="s">
        <v>333</v>
      </c>
      <c r="O75" s="12" t="s">
        <v>333</v>
      </c>
      <c r="P75" s="12">
        <v>1.1424731182795698</v>
      </c>
      <c r="Q75" s="12">
        <v>8.3893369175627228</v>
      </c>
      <c r="R75" s="12">
        <v>6.6465053763440862E-2</v>
      </c>
      <c r="S75" s="12" t="s">
        <v>333</v>
      </c>
      <c r="T75" s="12">
        <v>0.14560931899641577</v>
      </c>
      <c r="U75" s="12">
        <v>2.5795250896057345E-2</v>
      </c>
      <c r="V75" s="12">
        <v>54.054659498207883</v>
      </c>
      <c r="W75" s="12" t="s">
        <v>333</v>
      </c>
      <c r="X75" s="13">
        <v>1.2096774193548387E-4</v>
      </c>
      <c r="Y75" s="12">
        <v>0.87365591397849451</v>
      </c>
      <c r="Z75" s="12">
        <v>0.17921146953405018</v>
      </c>
      <c r="AA75" s="13">
        <v>4.2865143369175624E-3</v>
      </c>
      <c r="AB75" s="12">
        <v>2.251344086021505</v>
      </c>
      <c r="AC75" s="12" t="s">
        <v>333</v>
      </c>
      <c r="AD75" s="12" t="s">
        <v>333</v>
      </c>
      <c r="AE75" s="12">
        <v>16.353046594982079</v>
      </c>
      <c r="AF75" s="14">
        <v>6.9612455197132625E-3</v>
      </c>
      <c r="AG75" s="12">
        <v>6.2051971326164876</v>
      </c>
      <c r="AH75" s="12">
        <v>0.59363799283154117</v>
      </c>
      <c r="AI75" s="12" t="s">
        <v>333</v>
      </c>
      <c r="AJ75" s="12" t="s">
        <v>333</v>
      </c>
      <c r="AK75" s="12">
        <v>1.6801075268817203</v>
      </c>
    </row>
    <row r="76" spans="1:37" x14ac:dyDescent="0.25">
      <c r="A76" s="7" t="s">
        <v>407</v>
      </c>
      <c r="B76" s="7" t="str">
        <f t="shared" si="1"/>
        <v>2768-76</v>
      </c>
      <c r="C76" s="7">
        <f>VLOOKUP(B76,'CEBAS-DEWOOD code'!A$2:B$302,2,FALSE)</f>
        <v>1039</v>
      </c>
      <c r="D76" s="7" t="str">
        <f>VLOOKUP(IONOMICS!C76,'Field Table'!A$2:E$661,3,FALSE)</f>
        <v>AA</v>
      </c>
      <c r="E76" s="7" t="str">
        <f>VLOOKUP(IONOMICS!C76,'Field Table'!A$2:E$661,4,FALSE)</f>
        <v>4</v>
      </c>
      <c r="F76" s="7" t="str">
        <f>VLOOKUP(IONOMICS!C76,'Field Table'!A$2:E$661,5,FALSE)</f>
        <v>01</v>
      </c>
      <c r="G76" s="11">
        <v>96.794280442804435</v>
      </c>
      <c r="H76" s="12">
        <v>0.28828413284132842</v>
      </c>
      <c r="I76" s="12" t="s">
        <v>333</v>
      </c>
      <c r="J76" s="12" t="s">
        <v>333</v>
      </c>
      <c r="K76" s="12" t="s">
        <v>333</v>
      </c>
      <c r="L76" s="11">
        <v>0.3081180811808118</v>
      </c>
      <c r="M76" s="11">
        <v>0.69188191881918815</v>
      </c>
      <c r="N76" s="12" t="s">
        <v>333</v>
      </c>
      <c r="O76" s="12">
        <v>0.2767527675276753</v>
      </c>
      <c r="P76" s="12">
        <v>3.5862546125461257</v>
      </c>
      <c r="Q76" s="12">
        <v>52.652214022140228</v>
      </c>
      <c r="R76" s="12">
        <v>1.1750461254612547E-2</v>
      </c>
      <c r="S76" s="12" t="s">
        <v>333</v>
      </c>
      <c r="T76" s="12">
        <v>0.11531365313653137</v>
      </c>
      <c r="U76" s="12">
        <v>1.8173431734317343E-2</v>
      </c>
      <c r="V76" s="12">
        <v>105.88099630996311</v>
      </c>
      <c r="W76" s="12" t="s">
        <v>333</v>
      </c>
      <c r="X76" s="13">
        <v>3.9898523985239855E-4</v>
      </c>
      <c r="Y76" s="12">
        <v>0.36900369003690037</v>
      </c>
      <c r="Z76" s="12">
        <v>5.0392066420664205</v>
      </c>
      <c r="AA76" s="13">
        <v>7.5369003690036905E-3</v>
      </c>
      <c r="AB76" s="12">
        <v>0.48431734317343172</v>
      </c>
      <c r="AC76" s="12" t="s">
        <v>333</v>
      </c>
      <c r="AD76" s="12" t="s">
        <v>333</v>
      </c>
      <c r="AE76" s="12">
        <v>109.22509225092251</v>
      </c>
      <c r="AF76" s="14">
        <v>1.9695571955719561E-2</v>
      </c>
      <c r="AG76" s="12">
        <v>15.106088560885611</v>
      </c>
      <c r="AH76" s="12">
        <v>3.0212177121771222</v>
      </c>
      <c r="AI76" s="12" t="s">
        <v>333</v>
      </c>
      <c r="AJ76" s="12" t="s">
        <v>333</v>
      </c>
      <c r="AK76" s="12">
        <v>23.639298892988929</v>
      </c>
    </row>
    <row r="77" spans="1:37" x14ac:dyDescent="0.25">
      <c r="A77" s="7" t="s">
        <v>408</v>
      </c>
      <c r="B77" s="7" t="str">
        <f t="shared" si="1"/>
        <v>2768-77</v>
      </c>
      <c r="C77" s="7">
        <f>VLOOKUP(B77,'CEBAS-DEWOOD code'!A$2:B$302,2,FALSE)</f>
        <v>1056</v>
      </c>
      <c r="D77" s="7" t="str">
        <f>VLOOKUP(IONOMICS!C77,'Field Table'!A$2:E$661,3,FALSE)</f>
        <v>AA</v>
      </c>
      <c r="E77" s="7" t="str">
        <f>VLOOKUP(IONOMICS!C77,'Field Table'!A$2:E$661,4,FALSE)</f>
        <v>2</v>
      </c>
      <c r="F77" s="7" t="str">
        <f>VLOOKUP(IONOMICS!C77,'Field Table'!A$2:E$661,5,FALSE)</f>
        <v>01</v>
      </c>
      <c r="G77" s="11">
        <v>44.536163522012579</v>
      </c>
      <c r="H77" s="12">
        <v>6.8789308176100614E-2</v>
      </c>
      <c r="I77" s="12" t="s">
        <v>333</v>
      </c>
      <c r="J77" s="12" t="s">
        <v>333</v>
      </c>
      <c r="K77" s="12" t="s">
        <v>333</v>
      </c>
      <c r="L77" s="11">
        <v>0.17413522012578614</v>
      </c>
      <c r="M77" s="11">
        <v>0.23584905660377356</v>
      </c>
      <c r="N77" s="12">
        <v>9.8270440251572323E-3</v>
      </c>
      <c r="O77" s="12">
        <v>2.2012578616352196</v>
      </c>
      <c r="P77" s="12">
        <v>2.6827830188679243</v>
      </c>
      <c r="Q77" s="12">
        <v>28.714622641509436</v>
      </c>
      <c r="R77" s="12">
        <v>7.0135613207547173E-2</v>
      </c>
      <c r="S77" s="12" t="s">
        <v>333</v>
      </c>
      <c r="T77" s="12">
        <v>0.26533018867924529</v>
      </c>
      <c r="U77" s="12">
        <v>1.7786949685534591E-2</v>
      </c>
      <c r="V77" s="12">
        <v>72.651336477987414</v>
      </c>
      <c r="W77" s="12" t="s">
        <v>333</v>
      </c>
      <c r="X77" s="13">
        <v>2.2897012578616355E-4</v>
      </c>
      <c r="Y77" s="12">
        <v>0.41273584905660371</v>
      </c>
      <c r="Z77" s="12">
        <v>0.57979559748427667</v>
      </c>
      <c r="AA77" s="13">
        <v>1.2244496855345911E-2</v>
      </c>
      <c r="AB77" s="12">
        <v>1.1792452830188678</v>
      </c>
      <c r="AC77" s="12" t="s">
        <v>333</v>
      </c>
      <c r="AD77" s="12" t="s">
        <v>333</v>
      </c>
      <c r="AE77" s="12">
        <v>53.488600628930811</v>
      </c>
      <c r="AF77" s="14">
        <v>1.2853773584905661E-2</v>
      </c>
      <c r="AG77" s="12">
        <v>7.8223270440251573</v>
      </c>
      <c r="AH77" s="12">
        <v>1.4150943396226414</v>
      </c>
      <c r="AI77" s="12" t="s">
        <v>333</v>
      </c>
      <c r="AJ77" s="12" t="s">
        <v>333</v>
      </c>
      <c r="AK77" s="12">
        <v>11.930031446540879</v>
      </c>
    </row>
    <row r="78" spans="1:37" x14ac:dyDescent="0.25">
      <c r="A78" s="7" t="s">
        <v>409</v>
      </c>
      <c r="B78" s="7" t="str">
        <f t="shared" si="1"/>
        <v>2768-78</v>
      </c>
      <c r="C78" s="7">
        <f>VLOOKUP(B78,'CEBAS-DEWOOD code'!A$2:B$302,2,FALSE)</f>
        <v>118</v>
      </c>
      <c r="D78" s="7" t="str">
        <f>VLOOKUP(IONOMICS!C78,'Field Table'!A$2:E$661,3,FALSE)</f>
        <v>FS</v>
      </c>
      <c r="E78" s="7" t="str">
        <f>VLOOKUP(IONOMICS!C78,'Field Table'!A$2:E$661,4,FALSE)</f>
        <v>1</v>
      </c>
      <c r="F78" s="7" t="str">
        <f>VLOOKUP(IONOMICS!C78,'Field Table'!A$2:E$661,5,FALSE)</f>
        <v>10</v>
      </c>
      <c r="G78" s="11">
        <v>3.8124452234881678</v>
      </c>
      <c r="H78" s="12">
        <v>0.17528483786152499</v>
      </c>
      <c r="I78" s="12" t="s">
        <v>333</v>
      </c>
      <c r="J78" s="12" t="s">
        <v>333</v>
      </c>
      <c r="K78" s="12" t="s">
        <v>333</v>
      </c>
      <c r="L78" s="11">
        <v>5.6299298860648564E-2</v>
      </c>
      <c r="M78" s="11">
        <v>6.5731814198071864E-2</v>
      </c>
      <c r="N78" s="12">
        <v>3.2865907099035932E-2</v>
      </c>
      <c r="O78" s="12" t="s">
        <v>333</v>
      </c>
      <c r="P78" s="12">
        <v>10.780017528483787</v>
      </c>
      <c r="Q78" s="12">
        <v>1.7857142857142858</v>
      </c>
      <c r="R78" s="12">
        <v>7.9371165644171779E-2</v>
      </c>
      <c r="S78" s="12" t="s">
        <v>333</v>
      </c>
      <c r="T78" s="12">
        <v>0.36152497808939532</v>
      </c>
      <c r="U78" s="12">
        <v>3.0598159509202461E-2</v>
      </c>
      <c r="V78" s="12">
        <v>27.651183172655568</v>
      </c>
      <c r="W78" s="12" t="s">
        <v>333</v>
      </c>
      <c r="X78" s="13" t="s">
        <v>333</v>
      </c>
      <c r="Y78" s="12">
        <v>0.317703768624014</v>
      </c>
      <c r="Z78" s="12">
        <v>8.7642418930762495E-2</v>
      </c>
      <c r="AA78" s="13">
        <v>8.3840929009640665E-3</v>
      </c>
      <c r="AB78" s="12">
        <v>2.3663453111305874</v>
      </c>
      <c r="AC78" s="12" t="s">
        <v>333</v>
      </c>
      <c r="AD78" s="12" t="s">
        <v>333</v>
      </c>
      <c r="AE78" s="12">
        <v>28.648115687992991</v>
      </c>
      <c r="AF78" s="14">
        <v>9.9517966695880818E-3</v>
      </c>
      <c r="AG78" s="12">
        <v>4.1739702015775642</v>
      </c>
      <c r="AH78" s="12">
        <v>9.8597721297107796E-2</v>
      </c>
      <c r="AI78" s="12" t="s">
        <v>333</v>
      </c>
      <c r="AJ78" s="12" t="s">
        <v>333</v>
      </c>
      <c r="AK78" s="12">
        <v>7.0771253286590721</v>
      </c>
    </row>
    <row r="79" spans="1:37" x14ac:dyDescent="0.25">
      <c r="A79" s="7" t="s">
        <v>410</v>
      </c>
      <c r="B79" s="7" t="str">
        <f t="shared" si="1"/>
        <v>2768-79</v>
      </c>
      <c r="C79" s="7">
        <f>VLOOKUP(B79,'CEBAS-DEWOOD code'!A$2:B$302,2,FALSE)</f>
        <v>1002</v>
      </c>
      <c r="D79" s="7" t="str">
        <f>VLOOKUP(IONOMICS!C79,'Field Table'!A$2:E$661,3,FALSE)</f>
        <v>AA</v>
      </c>
      <c r="E79" s="7" t="str">
        <f>VLOOKUP(IONOMICS!C79,'Field Table'!A$2:E$661,4,FALSE)</f>
        <v>2</v>
      </c>
      <c r="F79" s="7" t="str">
        <f>VLOOKUP(IONOMICS!C79,'Field Table'!A$2:E$661,5,FALSE)</f>
        <v>01</v>
      </c>
      <c r="G79" s="11">
        <v>62.782081508925565</v>
      </c>
      <c r="H79" s="12">
        <v>8.4203435500168414E-3</v>
      </c>
      <c r="I79" s="12" t="s">
        <v>333</v>
      </c>
      <c r="J79" s="12" t="s">
        <v>333</v>
      </c>
      <c r="K79" s="12" t="s">
        <v>333</v>
      </c>
      <c r="L79" s="11">
        <v>0.13969349949477938</v>
      </c>
      <c r="M79" s="11">
        <v>0.44627820815089259</v>
      </c>
      <c r="N79" s="12" t="s">
        <v>333</v>
      </c>
      <c r="O79" s="12">
        <v>0.22734927585045472</v>
      </c>
      <c r="P79" s="12">
        <v>3.1828898619063661</v>
      </c>
      <c r="Q79" s="12">
        <v>14.971370831929944</v>
      </c>
      <c r="R79" s="12">
        <v>0.10533849781071067</v>
      </c>
      <c r="S79" s="12" t="s">
        <v>333</v>
      </c>
      <c r="T79" s="12">
        <v>0.32839339845065674</v>
      </c>
      <c r="U79" s="12">
        <v>2.2802290333445607E-2</v>
      </c>
      <c r="V79" s="12">
        <v>118.89525092623778</v>
      </c>
      <c r="W79" s="12" t="s">
        <v>333</v>
      </c>
      <c r="X79" s="13">
        <v>2.2734927585045471E-4</v>
      </c>
      <c r="Y79" s="12">
        <v>0.16840687100033683</v>
      </c>
      <c r="Z79" s="12">
        <v>0.21892893230043786</v>
      </c>
      <c r="AA79" s="13">
        <v>1.3826204109127653E-2</v>
      </c>
      <c r="AB79" s="12">
        <v>2.3997979117547996</v>
      </c>
      <c r="AC79" s="12" t="s">
        <v>333</v>
      </c>
      <c r="AD79" s="12" t="s">
        <v>333</v>
      </c>
      <c r="AE79" s="12">
        <v>32.595149882115194</v>
      </c>
      <c r="AF79" s="14">
        <v>1.2116874368474233E-2</v>
      </c>
      <c r="AG79" s="12">
        <v>6.7531155271135059</v>
      </c>
      <c r="AH79" s="12">
        <v>0.89255641630178517</v>
      </c>
      <c r="AI79" s="12" t="s">
        <v>333</v>
      </c>
      <c r="AJ79" s="12" t="s">
        <v>333</v>
      </c>
      <c r="AK79" s="12">
        <v>13.110474907376222</v>
      </c>
    </row>
    <row r="80" spans="1:37" x14ac:dyDescent="0.25">
      <c r="A80" s="7" t="s">
        <v>411</v>
      </c>
      <c r="B80" s="7" t="str">
        <f t="shared" si="1"/>
        <v>2768-80</v>
      </c>
      <c r="C80" s="7">
        <f>VLOOKUP(B80,'CEBAS-DEWOOD code'!A$2:B$302,2,FALSE)</f>
        <v>398</v>
      </c>
      <c r="D80" s="7" t="str">
        <f>VLOOKUP(IONOMICS!C80,'Field Table'!A$2:E$661,3,FALSE)</f>
        <v>AA</v>
      </c>
      <c r="E80" s="7" t="str">
        <f>VLOOKUP(IONOMICS!C80,'Field Table'!A$2:E$661,4,FALSE)</f>
        <v>4</v>
      </c>
      <c r="F80" s="7" t="str">
        <f>VLOOKUP(IONOMICS!C80,'Field Table'!A$2:E$661,5,FALSE)</f>
        <v>25</v>
      </c>
      <c r="G80" s="11">
        <v>34.32963279248505</v>
      </c>
      <c r="H80" s="12">
        <v>0.20281810418445773</v>
      </c>
      <c r="I80" s="12" t="s">
        <v>333</v>
      </c>
      <c r="J80" s="12" t="s">
        <v>333</v>
      </c>
      <c r="K80" s="12" t="s">
        <v>333</v>
      </c>
      <c r="L80" s="11">
        <v>9.8217335610589249E-2</v>
      </c>
      <c r="M80" s="11">
        <v>0.34158838599487618</v>
      </c>
      <c r="N80" s="12" t="s">
        <v>333</v>
      </c>
      <c r="O80" s="12">
        <v>0.1174210076857387</v>
      </c>
      <c r="P80" s="12">
        <v>2.8928266438941077</v>
      </c>
      <c r="Q80" s="12">
        <v>22.171221178479932</v>
      </c>
      <c r="R80" s="12">
        <v>4.3509820666097349E-2</v>
      </c>
      <c r="S80" s="12" t="s">
        <v>333</v>
      </c>
      <c r="T80" s="12">
        <v>0.19214346712211786</v>
      </c>
      <c r="U80" s="12">
        <v>1.0728010247651579E-2</v>
      </c>
      <c r="V80" s="12">
        <v>43.424423569598638</v>
      </c>
      <c r="W80" s="12" t="s">
        <v>333</v>
      </c>
      <c r="X80" s="13">
        <v>2.0858240819812126E-3</v>
      </c>
      <c r="Y80" s="12">
        <v>0.22416737830913749</v>
      </c>
      <c r="Z80" s="12">
        <v>0.37361229718189587</v>
      </c>
      <c r="AA80" s="13">
        <v>6.8808710503842864E-3</v>
      </c>
      <c r="AB80" s="12">
        <v>1.1742100768573867</v>
      </c>
      <c r="AC80" s="12" t="s">
        <v>333</v>
      </c>
      <c r="AD80" s="12" t="s">
        <v>333</v>
      </c>
      <c r="AE80" s="12">
        <v>35.333048676345008</v>
      </c>
      <c r="AF80" s="14">
        <v>1.2948334756618277E-2</v>
      </c>
      <c r="AG80" s="12">
        <v>4.8569598633646454</v>
      </c>
      <c r="AH80" s="12">
        <v>0.59777967549103328</v>
      </c>
      <c r="AI80" s="12" t="s">
        <v>333</v>
      </c>
      <c r="AJ80" s="12" t="s">
        <v>333</v>
      </c>
      <c r="AK80" s="12">
        <v>30.166524338172504</v>
      </c>
    </row>
    <row r="81" spans="1:37" x14ac:dyDescent="0.25">
      <c r="A81" s="7" t="s">
        <v>412</v>
      </c>
      <c r="B81" s="7" t="str">
        <f t="shared" si="1"/>
        <v>2768-81</v>
      </c>
      <c r="C81" s="7">
        <f>VLOOKUP(B81,'CEBAS-DEWOOD code'!A$2:B$302,2,FALSE)</f>
        <v>34</v>
      </c>
      <c r="D81" s="7" t="str">
        <f>VLOOKUP(IONOMICS!C81,'Field Table'!A$2:E$661,3,FALSE)</f>
        <v>AA</v>
      </c>
      <c r="E81" s="7" t="str">
        <f>VLOOKUP(IONOMICS!C81,'Field Table'!A$2:E$661,4,FALSE)</f>
        <v>4</v>
      </c>
      <c r="F81" s="7" t="str">
        <f>VLOOKUP(IONOMICS!C81,'Field Table'!A$2:E$661,5,FALSE)</f>
        <v>01</v>
      </c>
      <c r="G81" s="11">
        <v>7.4475212148280487</v>
      </c>
      <c r="H81" s="12">
        <v>7.8159892809289852E-2</v>
      </c>
      <c r="I81" s="12" t="s">
        <v>333</v>
      </c>
      <c r="J81" s="12" t="s">
        <v>333</v>
      </c>
      <c r="K81" s="12" t="s">
        <v>333</v>
      </c>
      <c r="L81" s="11">
        <v>5.2903081732916489E-2</v>
      </c>
      <c r="M81" s="11">
        <v>0.12282268870031264</v>
      </c>
      <c r="N81" s="12" t="s">
        <v>333</v>
      </c>
      <c r="O81" s="12">
        <v>0.2121482804823582</v>
      </c>
      <c r="P81" s="12">
        <v>2.1438142027690934</v>
      </c>
      <c r="Q81" s="12">
        <v>3.8410004466279593</v>
      </c>
      <c r="R81" s="12">
        <v>9.0330504689593569E-2</v>
      </c>
      <c r="S81" s="12" t="s">
        <v>333</v>
      </c>
      <c r="T81" s="12">
        <v>0.25681107637338096</v>
      </c>
      <c r="U81" s="12">
        <v>1.1924966502903082E-2</v>
      </c>
      <c r="V81" s="12">
        <v>37.338097364895042</v>
      </c>
      <c r="W81" s="12" t="s">
        <v>333</v>
      </c>
      <c r="X81" s="13">
        <v>4.2764627065654319E-4</v>
      </c>
      <c r="Y81" s="12">
        <v>0.26797677534613668</v>
      </c>
      <c r="Z81" s="12">
        <v>0.26797677534613668</v>
      </c>
      <c r="AA81" s="13">
        <v>1.7373827601607861E-3</v>
      </c>
      <c r="AB81" s="12">
        <v>1.4738722644037519</v>
      </c>
      <c r="AC81" s="12" t="s">
        <v>333</v>
      </c>
      <c r="AD81" s="12" t="s">
        <v>333</v>
      </c>
      <c r="AE81" s="12">
        <v>6.3644484144707461</v>
      </c>
      <c r="AF81" s="14">
        <v>5.7190710138454665E-3</v>
      </c>
      <c r="AG81" s="12">
        <v>3.2380527020991519</v>
      </c>
      <c r="AH81" s="12">
        <v>0.51362215274676193</v>
      </c>
      <c r="AI81" s="12" t="s">
        <v>333</v>
      </c>
      <c r="AJ81" s="12" t="s">
        <v>333</v>
      </c>
      <c r="AK81" s="12">
        <v>4.8905761500669946</v>
      </c>
    </row>
    <row r="82" spans="1:37" x14ac:dyDescent="0.25">
      <c r="A82" s="7" t="s">
        <v>413</v>
      </c>
      <c r="B82" s="7" t="str">
        <f t="shared" si="1"/>
        <v>2768-82</v>
      </c>
      <c r="C82" s="7">
        <f>VLOOKUP(B82,'CEBAS-DEWOOD code'!A$2:B$302,2,FALSE)</f>
        <v>358</v>
      </c>
      <c r="D82" s="7" t="str">
        <f>VLOOKUP(IONOMICS!C82,'Field Table'!A$2:E$661,3,FALSE)</f>
        <v>FS</v>
      </c>
      <c r="E82" s="7" t="str">
        <f>VLOOKUP(IONOMICS!C82,'Field Table'!A$2:E$661,4,FALSE)</f>
        <v>4</v>
      </c>
      <c r="F82" s="7" t="str">
        <f>VLOOKUP(IONOMICS!C82,'Field Table'!A$2:E$661,5,FALSE)</f>
        <v>10</v>
      </c>
      <c r="G82" s="11">
        <v>26.152707275803724</v>
      </c>
      <c r="H82" s="12">
        <v>7.4027072758037216E-2</v>
      </c>
      <c r="I82" s="12" t="s">
        <v>333</v>
      </c>
      <c r="J82" s="12" t="s">
        <v>333</v>
      </c>
      <c r="K82" s="12" t="s">
        <v>333</v>
      </c>
      <c r="L82" s="11">
        <v>0.25412436548223349</v>
      </c>
      <c r="M82" s="11">
        <v>0.10575296108291032</v>
      </c>
      <c r="N82" s="12" t="s">
        <v>333</v>
      </c>
      <c r="O82" s="12">
        <v>0.14805414551607443</v>
      </c>
      <c r="P82" s="12">
        <v>1.9247038917089678</v>
      </c>
      <c r="Q82" s="12">
        <v>17.829949238578681</v>
      </c>
      <c r="R82" s="12">
        <v>1.2796108291032149E-2</v>
      </c>
      <c r="S82" s="12" t="s">
        <v>333</v>
      </c>
      <c r="T82" s="12">
        <v>0.13747884940778343</v>
      </c>
      <c r="U82" s="12">
        <v>3.7034686971235187E-2</v>
      </c>
      <c r="V82" s="12">
        <v>111.25211505922167</v>
      </c>
      <c r="W82" s="12" t="s">
        <v>333</v>
      </c>
      <c r="X82" s="13">
        <v>1.0067681895093064E-3</v>
      </c>
      <c r="Y82" s="12">
        <v>0.58164128595600673</v>
      </c>
      <c r="Z82" s="12">
        <v>0.51818950930626062</v>
      </c>
      <c r="AA82" s="13">
        <v>7.5465313028764804E-3</v>
      </c>
      <c r="AB82" s="12">
        <v>0.41243654822335019</v>
      </c>
      <c r="AC82" s="12" t="s">
        <v>333</v>
      </c>
      <c r="AD82" s="12" t="s">
        <v>333</v>
      </c>
      <c r="AE82" s="12">
        <v>78.405245346869719</v>
      </c>
      <c r="AF82" s="14">
        <v>1.8876903553299493E-2</v>
      </c>
      <c r="AG82" s="12">
        <v>17.861675126903553</v>
      </c>
      <c r="AH82" s="12">
        <v>1.4911167512690355</v>
      </c>
      <c r="AI82" s="12" t="s">
        <v>333</v>
      </c>
      <c r="AJ82" s="12" t="s">
        <v>333</v>
      </c>
      <c r="AK82" s="12">
        <v>3.7225042301184432</v>
      </c>
    </row>
    <row r="83" spans="1:37" x14ac:dyDescent="0.25">
      <c r="A83" s="7" t="s">
        <v>414</v>
      </c>
      <c r="B83" s="7" t="str">
        <f t="shared" si="1"/>
        <v>2768-83</v>
      </c>
      <c r="C83" s="7">
        <f>VLOOKUP(B83,'CEBAS-DEWOOD code'!A$2:B$302,2,FALSE)</f>
        <v>708</v>
      </c>
      <c r="D83" s="7" t="e">
        <f>VLOOKUP(IONOMICS!C83,'Field Table'!A$2:E$661,3,FALSE)</f>
        <v>#N/A</v>
      </c>
      <c r="E83" s="7" t="e">
        <f>VLOOKUP(IONOMICS!C83,'Field Table'!A$2:E$661,4,FALSE)</f>
        <v>#N/A</v>
      </c>
      <c r="F83" s="7" t="e">
        <f>VLOOKUP(IONOMICS!C83,'Field Table'!A$2:E$661,5,FALSE)</f>
        <v>#N/A</v>
      </c>
      <c r="G83" s="11">
        <v>6.5538391640163569</v>
      </c>
      <c r="H83" s="12">
        <v>0.14766015447523853</v>
      </c>
      <c r="I83" s="12" t="s">
        <v>333</v>
      </c>
      <c r="J83" s="12" t="s">
        <v>333</v>
      </c>
      <c r="K83" s="12" t="s">
        <v>333</v>
      </c>
      <c r="L83" s="11">
        <v>6.3187187641980919E-2</v>
      </c>
      <c r="M83" s="11">
        <v>0.26124488868696044</v>
      </c>
      <c r="N83" s="12" t="s">
        <v>333</v>
      </c>
      <c r="O83" s="12">
        <v>4.5433893684688781E-2</v>
      </c>
      <c r="P83" s="12">
        <v>1.2948659700136305</v>
      </c>
      <c r="Q83" s="12">
        <v>2.850976828714221</v>
      </c>
      <c r="R83" s="12">
        <v>7.5658791458427993E-2</v>
      </c>
      <c r="S83" s="12" t="s">
        <v>333</v>
      </c>
      <c r="T83" s="12">
        <v>0.34075420263516581</v>
      </c>
      <c r="U83" s="12">
        <v>1.5106769650159021E-2</v>
      </c>
      <c r="V83" s="12">
        <v>43.525670149931848</v>
      </c>
      <c r="W83" s="12" t="s">
        <v>333</v>
      </c>
      <c r="X83" s="13">
        <v>6.3607451158564286E-5</v>
      </c>
      <c r="Y83" s="12">
        <v>3.4075420263516586E-2</v>
      </c>
      <c r="Z83" s="12">
        <v>0.34075420263516581</v>
      </c>
      <c r="AA83" s="13">
        <v>1.8832348932303498E-3</v>
      </c>
      <c r="AB83" s="12">
        <v>1.749204906860518</v>
      </c>
      <c r="AC83" s="12" t="s">
        <v>333</v>
      </c>
      <c r="AD83" s="12" t="s">
        <v>333</v>
      </c>
      <c r="AE83" s="12">
        <v>10.313493866424354</v>
      </c>
      <c r="AF83" s="14">
        <v>5.870059064061791E-3</v>
      </c>
      <c r="AG83" s="12">
        <v>4.19127669241254</v>
      </c>
      <c r="AH83" s="12">
        <v>0.86324398000908686</v>
      </c>
      <c r="AI83" s="12" t="s">
        <v>333</v>
      </c>
      <c r="AJ83" s="12" t="s">
        <v>333</v>
      </c>
      <c r="AK83" s="12">
        <v>7.2353475692866898</v>
      </c>
    </row>
    <row r="84" spans="1:37" x14ac:dyDescent="0.25">
      <c r="A84" s="7" t="s">
        <v>415</v>
      </c>
      <c r="B84" s="7" t="str">
        <f t="shared" si="1"/>
        <v>2768-84</v>
      </c>
      <c r="C84" s="7">
        <f>VLOOKUP(B84,'CEBAS-DEWOOD code'!A$2:B$302,2,FALSE)</f>
        <v>1060</v>
      </c>
      <c r="D84" s="7" t="str">
        <f>VLOOKUP(IONOMICS!C84,'Field Table'!A$2:E$661,3,FALSE)</f>
        <v>FS</v>
      </c>
      <c r="E84" s="7" t="str">
        <f>VLOOKUP(IONOMICS!C84,'Field Table'!A$2:E$661,4,FALSE)</f>
        <v>4</v>
      </c>
      <c r="F84" s="7" t="str">
        <f>VLOOKUP(IONOMICS!C84,'Field Table'!A$2:E$661,5,FALSE)</f>
        <v>01</v>
      </c>
      <c r="G84" s="11">
        <v>12.943731117824775</v>
      </c>
      <c r="H84" s="12" t="s">
        <v>333</v>
      </c>
      <c r="I84" s="12" t="s">
        <v>333</v>
      </c>
      <c r="J84" s="12" t="s">
        <v>333</v>
      </c>
      <c r="K84" s="12" t="s">
        <v>333</v>
      </c>
      <c r="L84" s="11">
        <v>0.20081193353474322</v>
      </c>
      <c r="M84" s="11">
        <v>9.4410876132930532E-2</v>
      </c>
      <c r="N84" s="12">
        <v>3.776435045317221E-2</v>
      </c>
      <c r="O84" s="12">
        <v>0.24546827794561937</v>
      </c>
      <c r="P84" s="12">
        <v>1.9259818731117826</v>
      </c>
      <c r="Q84" s="12">
        <v>8.9312688821752282</v>
      </c>
      <c r="R84" s="12">
        <v>4.765861027190333E-2</v>
      </c>
      <c r="S84" s="12" t="s">
        <v>333</v>
      </c>
      <c r="T84" s="12">
        <v>0.12273413897280969</v>
      </c>
      <c r="U84" s="12">
        <v>3.7339501510574025E-2</v>
      </c>
      <c r="V84" s="12">
        <v>101.96374622356497</v>
      </c>
      <c r="W84" s="12" t="s">
        <v>333</v>
      </c>
      <c r="X84" s="13">
        <v>2.360271903323263E-4</v>
      </c>
      <c r="Y84" s="12">
        <v>0.67031722054380682</v>
      </c>
      <c r="Z84" s="12">
        <v>0.52870090634441091</v>
      </c>
      <c r="AA84" s="13">
        <v>1.9873489425981872E-2</v>
      </c>
      <c r="AB84" s="12">
        <v>0.95354984894259831</v>
      </c>
      <c r="AC84" s="12" t="s">
        <v>333</v>
      </c>
      <c r="AD84" s="12" t="s">
        <v>333</v>
      </c>
      <c r="AE84" s="12">
        <v>378.02114803625381</v>
      </c>
      <c r="AF84" s="14">
        <v>1.7116691842900305E-2</v>
      </c>
      <c r="AG84" s="12">
        <v>14.180513595166163</v>
      </c>
      <c r="AH84" s="12">
        <v>0.59478851963746227</v>
      </c>
      <c r="AI84" s="12" t="s">
        <v>333</v>
      </c>
      <c r="AJ84" s="12" t="s">
        <v>333</v>
      </c>
      <c r="AK84" s="12">
        <v>10.139728096676738</v>
      </c>
    </row>
    <row r="85" spans="1:37" x14ac:dyDescent="0.25">
      <c r="A85" s="7" t="s">
        <v>416</v>
      </c>
      <c r="B85" s="7" t="str">
        <f t="shared" si="1"/>
        <v>2768-85</v>
      </c>
      <c r="C85" s="7">
        <f>VLOOKUP(B85,'CEBAS-DEWOOD code'!A$2:B$302,2,FALSE)</f>
        <v>1022</v>
      </c>
      <c r="D85" s="7" t="str">
        <f>VLOOKUP(IONOMICS!C85,'Field Table'!A$2:E$661,3,FALSE)</f>
        <v>FS</v>
      </c>
      <c r="E85" s="7" t="str">
        <f>VLOOKUP(IONOMICS!C85,'Field Table'!A$2:E$661,4,FALSE)</f>
        <v>1</v>
      </c>
      <c r="F85" s="7" t="str">
        <f>VLOOKUP(IONOMICS!C85,'Field Table'!A$2:E$661,5,FALSE)</f>
        <v>01</v>
      </c>
      <c r="G85" s="11">
        <v>15.906210392902409</v>
      </c>
      <c r="H85" s="12">
        <v>0.10561892691170259</v>
      </c>
      <c r="I85" s="12" t="s">
        <v>333</v>
      </c>
      <c r="J85" s="12" t="s">
        <v>333</v>
      </c>
      <c r="K85" s="12" t="s">
        <v>333</v>
      </c>
      <c r="L85" s="11">
        <v>0.3028094634558513</v>
      </c>
      <c r="M85" s="11">
        <v>9.5057034220532313E-2</v>
      </c>
      <c r="N85" s="12">
        <v>6.3371356147021551E-2</v>
      </c>
      <c r="O85" s="12">
        <v>0.45416138572032111</v>
      </c>
      <c r="P85" s="12">
        <v>2.703844528939586</v>
      </c>
      <c r="Q85" s="12">
        <v>12.896070975918885</v>
      </c>
      <c r="R85" s="12">
        <v>0.10487959442332066</v>
      </c>
      <c r="S85" s="12" t="s">
        <v>333</v>
      </c>
      <c r="T85" s="12">
        <v>3.1685678073510776E-2</v>
      </c>
      <c r="U85" s="12">
        <v>2.8305872412336293E-2</v>
      </c>
      <c r="V85" s="12">
        <v>75.306294888043936</v>
      </c>
      <c r="W85" s="12" t="s">
        <v>333</v>
      </c>
      <c r="X85" s="13">
        <v>3.7283481199831006E-4</v>
      </c>
      <c r="Y85" s="12">
        <v>0.78158005914659912</v>
      </c>
      <c r="Z85" s="12">
        <v>0.67596113223489651</v>
      </c>
      <c r="AA85" s="13">
        <v>2.7376425855513312E-2</v>
      </c>
      <c r="AB85" s="12">
        <v>2.629911280101394</v>
      </c>
      <c r="AC85" s="12" t="s">
        <v>333</v>
      </c>
      <c r="AD85" s="12" t="s">
        <v>333</v>
      </c>
      <c r="AE85" s="12">
        <v>546.04985213350233</v>
      </c>
      <c r="AF85" s="14">
        <v>2.1387832699619774E-2</v>
      </c>
      <c r="AG85" s="12">
        <v>20.268272074355721</v>
      </c>
      <c r="AH85" s="12">
        <v>0.67596113223489651</v>
      </c>
      <c r="AI85" s="12" t="s">
        <v>333</v>
      </c>
      <c r="AJ85" s="12" t="s">
        <v>333</v>
      </c>
      <c r="AK85" s="12">
        <v>7.2665821715251377</v>
      </c>
    </row>
    <row r="86" spans="1:37" x14ac:dyDescent="0.25">
      <c r="A86" s="7" t="s">
        <v>417</v>
      </c>
      <c r="B86" s="7" t="str">
        <f t="shared" si="1"/>
        <v>2768-86</v>
      </c>
      <c r="C86" s="7">
        <f>VLOOKUP(B86,'CEBAS-DEWOOD code'!A$2:B$302,2,FALSE)</f>
        <v>73</v>
      </c>
      <c r="D86" s="7" t="str">
        <f>VLOOKUP(IONOMICS!C86,'Field Table'!A$2:E$661,3,FALSE)</f>
        <v>AA</v>
      </c>
      <c r="E86" s="7" t="str">
        <f>VLOOKUP(IONOMICS!C86,'Field Table'!A$2:E$661,4,FALSE)</f>
        <v>1</v>
      </c>
      <c r="F86" s="7" t="str">
        <f>VLOOKUP(IONOMICS!C86,'Field Table'!A$2:E$661,5,FALSE)</f>
        <v>25</v>
      </c>
      <c r="G86" s="11">
        <v>11.998361998361998</v>
      </c>
      <c r="H86" s="12">
        <v>6.142506142506142E-2</v>
      </c>
      <c r="I86" s="12" t="s">
        <v>333</v>
      </c>
      <c r="J86" s="12" t="s">
        <v>333</v>
      </c>
      <c r="K86" s="12" t="s">
        <v>333</v>
      </c>
      <c r="L86" s="11">
        <v>7.77027027027027E-2</v>
      </c>
      <c r="M86" s="11">
        <v>5.1187551187551188E-2</v>
      </c>
      <c r="N86" s="12">
        <v>1.0237510237510237E-2</v>
      </c>
      <c r="O86" s="12">
        <v>0.12285012285012284</v>
      </c>
      <c r="P86" s="12">
        <v>0.83947583947583959</v>
      </c>
      <c r="Q86" s="12">
        <v>7.5859950859950862</v>
      </c>
      <c r="R86" s="12">
        <v>0.16011466011466013</v>
      </c>
      <c r="S86" s="12" t="s">
        <v>333</v>
      </c>
      <c r="T86" s="12">
        <v>0.28665028665028663</v>
      </c>
      <c r="U86" s="12">
        <v>1.8703931203931205E-2</v>
      </c>
      <c r="V86" s="12">
        <v>32.217444717444714</v>
      </c>
      <c r="W86" s="12" t="s">
        <v>333</v>
      </c>
      <c r="X86" s="13" t="s">
        <v>333</v>
      </c>
      <c r="Y86" s="12" t="s">
        <v>333</v>
      </c>
      <c r="Z86" s="12">
        <v>0.28665028665028663</v>
      </c>
      <c r="AA86" s="13">
        <v>1.9307944307944307E-3</v>
      </c>
      <c r="AB86" s="12">
        <v>3.665028665028665</v>
      </c>
      <c r="AC86" s="12" t="s">
        <v>333</v>
      </c>
      <c r="AD86" s="12" t="s">
        <v>333</v>
      </c>
      <c r="AE86" s="12">
        <v>12.059787059787059</v>
      </c>
      <c r="AF86" s="14">
        <v>5.3245290745290745E-3</v>
      </c>
      <c r="AG86" s="12">
        <v>4.770679770679771</v>
      </c>
      <c r="AH86" s="12">
        <v>1.8120393120393121</v>
      </c>
      <c r="AI86" s="12" t="s">
        <v>333</v>
      </c>
      <c r="AJ86" s="12" t="s">
        <v>333</v>
      </c>
      <c r="AK86" s="12">
        <v>3.4295659295659298</v>
      </c>
    </row>
    <row r="87" spans="1:37" x14ac:dyDescent="0.25">
      <c r="A87" s="7" t="s">
        <v>418</v>
      </c>
      <c r="B87" s="7" t="str">
        <f t="shared" si="1"/>
        <v>2768-87</v>
      </c>
      <c r="C87" s="7">
        <f>VLOOKUP(B87,'CEBAS-DEWOOD code'!A$2:B$302,2,FALSE)</f>
        <v>46</v>
      </c>
      <c r="D87" s="7" t="str">
        <f>VLOOKUP(IONOMICS!C87,'Field Table'!A$2:E$661,3,FALSE)</f>
        <v>FS</v>
      </c>
      <c r="E87" s="7" t="str">
        <f>VLOOKUP(IONOMICS!C87,'Field Table'!A$2:E$661,4,FALSE)</f>
        <v>1</v>
      </c>
      <c r="F87" s="7" t="str">
        <f>VLOOKUP(IONOMICS!C87,'Field Table'!A$2:E$661,5,FALSE)</f>
        <v>10</v>
      </c>
      <c r="G87" s="11">
        <v>2.8335860500379075</v>
      </c>
      <c r="H87" s="12" t="s">
        <v>333</v>
      </c>
      <c r="I87" s="12" t="s">
        <v>333</v>
      </c>
      <c r="J87" s="12" t="s">
        <v>333</v>
      </c>
      <c r="K87" s="12" t="s">
        <v>333</v>
      </c>
      <c r="L87" s="11">
        <v>0.12670583775587566</v>
      </c>
      <c r="M87" s="11">
        <v>0.18953752843062929</v>
      </c>
      <c r="N87" s="12">
        <v>6.6338134950720246E-2</v>
      </c>
      <c r="O87" s="12">
        <v>4.7384382107657323E-2</v>
      </c>
      <c r="P87" s="12">
        <v>0.93821076573161499</v>
      </c>
      <c r="Q87" s="12">
        <v>2.246019711902957</v>
      </c>
      <c r="R87" s="12">
        <v>5.4131918119787722E-2</v>
      </c>
      <c r="S87" s="12" t="s">
        <v>333</v>
      </c>
      <c r="T87" s="12">
        <v>5.6861258529188781E-2</v>
      </c>
      <c r="U87" s="12">
        <v>3.6457543593631542E-2</v>
      </c>
      <c r="V87" s="12">
        <v>61.988248673237301</v>
      </c>
      <c r="W87" s="12" t="s">
        <v>333</v>
      </c>
      <c r="X87" s="13" t="s">
        <v>333</v>
      </c>
      <c r="Y87" s="12">
        <v>1.4783927217589081</v>
      </c>
      <c r="Z87" s="12">
        <v>1.8953752843062929E-2</v>
      </c>
      <c r="AA87" s="13">
        <v>5.610310841546627E-3</v>
      </c>
      <c r="AB87" s="12">
        <v>2.0375284306292647</v>
      </c>
      <c r="AC87" s="12" t="s">
        <v>333</v>
      </c>
      <c r="AD87" s="12" t="s">
        <v>333</v>
      </c>
      <c r="AE87" s="12">
        <v>6.9086429112964378</v>
      </c>
      <c r="AF87" s="14">
        <v>9.4863532979529951E-3</v>
      </c>
      <c r="AG87" s="12">
        <v>11.552312357846855</v>
      </c>
      <c r="AH87" s="12">
        <v>0.18953752843062929</v>
      </c>
      <c r="AI87" s="12" t="s">
        <v>333</v>
      </c>
      <c r="AJ87" s="12" t="s">
        <v>333</v>
      </c>
      <c r="AK87" s="12">
        <v>2.8051554207733131</v>
      </c>
    </row>
    <row r="88" spans="1:37" x14ac:dyDescent="0.25">
      <c r="A88" s="7" t="s">
        <v>419</v>
      </c>
      <c r="B88" s="7" t="str">
        <f t="shared" si="1"/>
        <v>2768-88</v>
      </c>
      <c r="C88" s="7">
        <f>VLOOKUP(B88,'CEBAS-DEWOOD code'!A$2:B$302,2,FALSE)</f>
        <v>1077</v>
      </c>
      <c r="D88" s="7" t="str">
        <f>VLOOKUP(IONOMICS!C88,'Field Table'!A$2:E$661,3,FALSE)</f>
        <v>FS</v>
      </c>
      <c r="E88" s="7" t="str">
        <f>VLOOKUP(IONOMICS!C88,'Field Table'!A$2:E$661,4,FALSE)</f>
        <v>2</v>
      </c>
      <c r="F88" s="7" t="str">
        <f>VLOOKUP(IONOMICS!C88,'Field Table'!A$2:E$661,5,FALSE)</f>
        <v>01</v>
      </c>
      <c r="G88" s="11">
        <v>9.4449737970462113</v>
      </c>
      <c r="H88" s="12">
        <v>0.10719390185802763</v>
      </c>
      <c r="I88" s="12" t="s">
        <v>333</v>
      </c>
      <c r="J88" s="12" t="s">
        <v>333</v>
      </c>
      <c r="K88" s="12" t="s">
        <v>333</v>
      </c>
      <c r="L88" s="11">
        <v>0.23106241067174843</v>
      </c>
      <c r="M88" s="11">
        <v>8.3373034778465929E-2</v>
      </c>
      <c r="N88" s="12" t="s">
        <v>333</v>
      </c>
      <c r="O88" s="12">
        <v>0.13101476893758932</v>
      </c>
      <c r="P88" s="12">
        <v>2.5964745116722252</v>
      </c>
      <c r="Q88" s="12">
        <v>9.1591233920914714</v>
      </c>
      <c r="R88" s="12">
        <v>0.12065269175798</v>
      </c>
      <c r="S88" s="12" t="s">
        <v>333</v>
      </c>
      <c r="T88" s="12">
        <v>0.13101476893758932</v>
      </c>
      <c r="U88" s="12">
        <v>4.2532158170557416E-2</v>
      </c>
      <c r="V88" s="12">
        <v>91.912815626488808</v>
      </c>
      <c r="W88" s="12" t="s">
        <v>333</v>
      </c>
      <c r="X88" s="13" t="s">
        <v>333</v>
      </c>
      <c r="Y88" s="12">
        <v>0.75035731300619346</v>
      </c>
      <c r="Z88" s="12">
        <v>0.69080514530728909</v>
      </c>
      <c r="AA88" s="13">
        <v>3.8006193425440683E-2</v>
      </c>
      <c r="AB88" s="12">
        <v>3.3944735588375416</v>
      </c>
      <c r="AC88" s="12" t="s">
        <v>333</v>
      </c>
      <c r="AD88" s="12" t="s">
        <v>333</v>
      </c>
      <c r="AE88" s="12">
        <v>429.96665078608862</v>
      </c>
      <c r="AF88" s="14">
        <v>2.1557884707003337E-2</v>
      </c>
      <c r="AG88" s="12">
        <v>14.518818484992853</v>
      </c>
      <c r="AH88" s="12">
        <v>0.464506908051453</v>
      </c>
      <c r="AI88" s="12" t="s">
        <v>333</v>
      </c>
      <c r="AJ88" s="12" t="s">
        <v>333</v>
      </c>
      <c r="AK88" s="12">
        <v>7.0628870890900428</v>
      </c>
    </row>
    <row r="89" spans="1:37" x14ac:dyDescent="0.25">
      <c r="A89" s="7" t="s">
        <v>420</v>
      </c>
      <c r="B89" s="7" t="str">
        <f t="shared" si="1"/>
        <v>2768-89</v>
      </c>
      <c r="C89" s="7">
        <f>VLOOKUP(B89,'CEBAS-DEWOOD code'!A$2:B$302,2,FALSE)</f>
        <v>148</v>
      </c>
      <c r="D89" s="7" t="str">
        <f>VLOOKUP(IONOMICS!C89,'Field Table'!A$2:E$661,3,FALSE)</f>
        <v>AA</v>
      </c>
      <c r="E89" s="7" t="str">
        <f>VLOOKUP(IONOMICS!C89,'Field Table'!A$2:E$661,4,FALSE)</f>
        <v>4</v>
      </c>
      <c r="F89" s="7" t="str">
        <f>VLOOKUP(IONOMICS!C89,'Field Table'!A$2:E$661,5,FALSE)</f>
        <v>25</v>
      </c>
      <c r="G89" s="11">
        <v>15.301819795827784</v>
      </c>
      <c r="H89" s="12">
        <v>0.17754105636928541</v>
      </c>
      <c r="I89" s="12" t="s">
        <v>333</v>
      </c>
      <c r="J89" s="12" t="s">
        <v>333</v>
      </c>
      <c r="K89" s="12" t="s">
        <v>333</v>
      </c>
      <c r="L89" s="11">
        <v>0.2011762094984465</v>
      </c>
      <c r="M89" s="11">
        <v>0.22192632046160676</v>
      </c>
      <c r="N89" s="12" t="s">
        <v>333</v>
      </c>
      <c r="O89" s="12">
        <v>9.986684420772303E-2</v>
      </c>
      <c r="P89" s="12">
        <v>2.7518863737239236</v>
      </c>
      <c r="Q89" s="12">
        <v>6.1806480248557483</v>
      </c>
      <c r="R89" s="12">
        <v>0.24178872614292052</v>
      </c>
      <c r="S89" s="12" t="s">
        <v>333</v>
      </c>
      <c r="T89" s="12">
        <v>0.1442521083000444</v>
      </c>
      <c r="U89" s="12">
        <v>3.7172658677319136E-2</v>
      </c>
      <c r="V89" s="12">
        <v>36.329338659565025</v>
      </c>
      <c r="W89" s="12" t="s">
        <v>333</v>
      </c>
      <c r="X89" s="13">
        <v>9.2765201952951608E-4</v>
      </c>
      <c r="Y89" s="12">
        <v>0.28850421660008879</v>
      </c>
      <c r="Z89" s="12">
        <v>0.37727474478473144</v>
      </c>
      <c r="AA89" s="13">
        <v>1.9940079893475365E-3</v>
      </c>
      <c r="AB89" s="12">
        <v>5.3928095872170436</v>
      </c>
      <c r="AC89" s="12" t="s">
        <v>333</v>
      </c>
      <c r="AD89" s="12" t="s">
        <v>333</v>
      </c>
      <c r="AE89" s="12">
        <v>12.993786063027073</v>
      </c>
      <c r="AF89" s="14">
        <v>8.8459831335996452E-3</v>
      </c>
      <c r="AG89" s="12">
        <v>12.882822902796271</v>
      </c>
      <c r="AH89" s="12">
        <v>1.1207279183311141</v>
      </c>
      <c r="AI89" s="12" t="s">
        <v>333</v>
      </c>
      <c r="AJ89" s="12" t="s">
        <v>333</v>
      </c>
      <c r="AK89" s="12">
        <v>4.2166000887705284</v>
      </c>
    </row>
    <row r="90" spans="1:37" x14ac:dyDescent="0.25">
      <c r="A90" s="7" t="s">
        <v>421</v>
      </c>
      <c r="B90" s="7" t="str">
        <f t="shared" si="1"/>
        <v>2768-90</v>
      </c>
      <c r="C90" s="7">
        <f>VLOOKUP(B90,'CEBAS-DEWOOD code'!A$2:B$302,2,FALSE)</f>
        <v>396</v>
      </c>
      <c r="D90" s="7" t="str">
        <f>VLOOKUP(IONOMICS!C90,'Field Table'!A$2:E$661,3,FALSE)</f>
        <v>AA</v>
      </c>
      <c r="E90" s="7" t="str">
        <f>VLOOKUP(IONOMICS!C90,'Field Table'!A$2:E$661,4,FALSE)</f>
        <v>1</v>
      </c>
      <c r="F90" s="7" t="str">
        <f>VLOOKUP(IONOMICS!C90,'Field Table'!A$2:E$661,5,FALSE)</f>
        <v>25</v>
      </c>
      <c r="G90" s="11">
        <v>20.124938755512002</v>
      </c>
      <c r="H90" s="12" t="s">
        <v>333</v>
      </c>
      <c r="I90" s="12" t="s">
        <v>333</v>
      </c>
      <c r="J90" s="12" t="s">
        <v>333</v>
      </c>
      <c r="K90" s="12" t="s">
        <v>333</v>
      </c>
      <c r="L90" s="11">
        <v>7.845418912297894E-2</v>
      </c>
      <c r="M90" s="11">
        <v>0.13473787359137676</v>
      </c>
      <c r="N90" s="12">
        <v>2.4497795198432142E-2</v>
      </c>
      <c r="O90" s="12">
        <v>0.60019598236158744</v>
      </c>
      <c r="P90" s="12">
        <v>1.1881430671239588</v>
      </c>
      <c r="Q90" s="12">
        <v>13.228809407153356</v>
      </c>
      <c r="R90" s="12">
        <v>0.22317491425771679</v>
      </c>
      <c r="S90" s="12" t="s">
        <v>333</v>
      </c>
      <c r="T90" s="12">
        <v>0.29397354238118567</v>
      </c>
      <c r="U90" s="12">
        <v>1.7368936795688388E-2</v>
      </c>
      <c r="V90" s="12">
        <v>32.177853993140616</v>
      </c>
      <c r="W90" s="12" t="s">
        <v>333</v>
      </c>
      <c r="X90" s="13" t="s">
        <v>333</v>
      </c>
      <c r="Y90" s="12">
        <v>0.23272905438510533</v>
      </c>
      <c r="Z90" s="12" t="s">
        <v>333</v>
      </c>
      <c r="AA90" s="13">
        <v>2.5220480156785889E-3</v>
      </c>
      <c r="AB90" s="12">
        <v>4.593336599706026</v>
      </c>
      <c r="AC90" s="12" t="s">
        <v>333</v>
      </c>
      <c r="AD90" s="12" t="s">
        <v>333</v>
      </c>
      <c r="AE90" s="12">
        <v>28.343949044585987</v>
      </c>
      <c r="AF90" s="14">
        <v>6.1342479176874085E-3</v>
      </c>
      <c r="AG90" s="12">
        <v>5.781479666829985</v>
      </c>
      <c r="AH90" s="12">
        <v>7.655560999510044</v>
      </c>
      <c r="AI90" s="12" t="s">
        <v>333</v>
      </c>
      <c r="AJ90" s="12" t="s">
        <v>333</v>
      </c>
      <c r="AK90" s="12">
        <v>3.6501714845663891</v>
      </c>
    </row>
    <row r="91" spans="1:37" x14ac:dyDescent="0.25">
      <c r="A91" s="7" t="s">
        <v>422</v>
      </c>
      <c r="B91" s="7" t="str">
        <f t="shared" si="1"/>
        <v>2768-91</v>
      </c>
      <c r="C91" s="7">
        <f>VLOOKUP(B91,'CEBAS-DEWOOD code'!A$2:B$302,2,FALSE)</f>
        <v>167</v>
      </c>
      <c r="D91" s="7" t="str">
        <f>VLOOKUP(IONOMICS!C91,'Field Table'!A$2:E$661,3,FALSE)</f>
        <v>FS</v>
      </c>
      <c r="E91" s="7" t="str">
        <f>VLOOKUP(IONOMICS!C91,'Field Table'!A$2:E$661,4,FALSE)</f>
        <v>1</v>
      </c>
      <c r="F91" s="7" t="str">
        <f>VLOOKUP(IONOMICS!C91,'Field Table'!A$2:E$661,5,FALSE)</f>
        <v>10</v>
      </c>
      <c r="G91" s="11">
        <v>8.7628865979381452</v>
      </c>
      <c r="H91" s="12">
        <v>1.4761012183692597</v>
      </c>
      <c r="I91" s="12">
        <v>0.24601686972820991</v>
      </c>
      <c r="J91" s="12" t="s">
        <v>333</v>
      </c>
      <c r="K91" s="12" t="s">
        <v>333</v>
      </c>
      <c r="L91" s="11">
        <v>9.0053889409559523E-2</v>
      </c>
      <c r="M91" s="11">
        <v>0.97235238987816297</v>
      </c>
      <c r="N91" s="12">
        <v>0.63261480787253987</v>
      </c>
      <c r="O91" s="12">
        <v>0.33973758200562321</v>
      </c>
      <c r="P91" s="12">
        <v>1.6752577319587627</v>
      </c>
      <c r="Q91" s="12">
        <v>8.4231490159325215</v>
      </c>
      <c r="R91" s="12">
        <v>6.2453139643861295E-2</v>
      </c>
      <c r="S91" s="12" t="s">
        <v>333</v>
      </c>
      <c r="T91" s="12">
        <v>0.56232427366447979</v>
      </c>
      <c r="U91" s="12">
        <v>5.12066541705717E-2</v>
      </c>
      <c r="V91" s="12">
        <v>39.831302717900655</v>
      </c>
      <c r="W91" s="12">
        <v>2.4601686972820995</v>
      </c>
      <c r="X91" s="13">
        <v>1.186738519212746E-3</v>
      </c>
      <c r="Y91" s="12">
        <v>3.9479850046860356</v>
      </c>
      <c r="Z91" s="12">
        <v>1.007497656982193</v>
      </c>
      <c r="AA91" s="13">
        <v>5.4674320524835986E-3</v>
      </c>
      <c r="AB91" s="12">
        <v>2.1087160262417992</v>
      </c>
      <c r="AC91" s="12">
        <v>2.5890346766635424</v>
      </c>
      <c r="AD91" s="12">
        <v>3.5145267104029987E-2</v>
      </c>
      <c r="AE91" s="12">
        <v>21.602624179943767</v>
      </c>
      <c r="AF91" s="14">
        <v>1.1563964386129335E-2</v>
      </c>
      <c r="AG91" s="12">
        <v>5.9629803186504216</v>
      </c>
      <c r="AH91" s="12">
        <v>1.2300843486410498</v>
      </c>
      <c r="AI91" s="12" t="s">
        <v>333</v>
      </c>
      <c r="AJ91" s="12">
        <v>0.21087160262417992</v>
      </c>
      <c r="AK91" s="12">
        <v>6.4081537019681347</v>
      </c>
    </row>
    <row r="92" spans="1:37" x14ac:dyDescent="0.25">
      <c r="A92" s="7" t="s">
        <v>423</v>
      </c>
      <c r="B92" s="7" t="str">
        <f t="shared" si="1"/>
        <v>2768-92</v>
      </c>
      <c r="C92" s="7">
        <f>VLOOKUP(B92,'CEBAS-DEWOOD code'!A$2:B$302,2,FALSE)</f>
        <v>1069</v>
      </c>
      <c r="D92" s="7" t="str">
        <f>VLOOKUP(IONOMICS!C92,'Field Table'!A$2:E$661,3,FALSE)</f>
        <v>AA</v>
      </c>
      <c r="E92" s="7" t="str">
        <f>VLOOKUP(IONOMICS!C92,'Field Table'!A$2:E$661,4,FALSE)</f>
        <v>4</v>
      </c>
      <c r="F92" s="7" t="str">
        <f>VLOOKUP(IONOMICS!C92,'Field Table'!A$2:E$661,5,FALSE)</f>
        <v>01</v>
      </c>
      <c r="G92" s="11">
        <v>66.924829157175395</v>
      </c>
      <c r="H92" s="12">
        <v>0.3872437357630979</v>
      </c>
      <c r="I92" s="12" t="s">
        <v>333</v>
      </c>
      <c r="J92" s="12" t="s">
        <v>333</v>
      </c>
      <c r="K92" s="12" t="s">
        <v>333</v>
      </c>
      <c r="L92" s="11">
        <v>0.16833712984054669</v>
      </c>
      <c r="M92" s="11">
        <v>0.41002277904328016</v>
      </c>
      <c r="N92" s="12">
        <v>6.8337129840546698E-2</v>
      </c>
      <c r="O92" s="12">
        <v>0.86560364464692485</v>
      </c>
      <c r="P92" s="12">
        <v>3.3940774487471526</v>
      </c>
      <c r="Q92" s="12">
        <v>28.302961275626426</v>
      </c>
      <c r="R92" s="12">
        <v>9.1059225512528479E-3</v>
      </c>
      <c r="S92" s="12" t="s">
        <v>333</v>
      </c>
      <c r="T92" s="12">
        <v>0.39863325740318911</v>
      </c>
      <c r="U92" s="12">
        <v>1.5535307517084283E-2</v>
      </c>
      <c r="V92" s="12">
        <v>81.64009111617311</v>
      </c>
      <c r="W92" s="12" t="s">
        <v>333</v>
      </c>
      <c r="X92" s="13">
        <v>9.6697038724373582E-4</v>
      </c>
      <c r="Y92" s="12">
        <v>0.64920273348519364</v>
      </c>
      <c r="Z92" s="12">
        <v>1.7767653758542139</v>
      </c>
      <c r="AA92" s="13">
        <v>7.2995444191343972E-3</v>
      </c>
      <c r="AB92" s="12">
        <v>0.68337129840546695</v>
      </c>
      <c r="AC92" s="12" t="s">
        <v>333</v>
      </c>
      <c r="AD92" s="12" t="s">
        <v>333</v>
      </c>
      <c r="AE92" s="12">
        <v>56.161731207289286</v>
      </c>
      <c r="AF92" s="14">
        <v>1.7027334851936221E-2</v>
      </c>
      <c r="AG92" s="12">
        <v>7.8132118451025052</v>
      </c>
      <c r="AH92" s="12">
        <v>1.7653758542141231</v>
      </c>
      <c r="AI92" s="12" t="s">
        <v>333</v>
      </c>
      <c r="AJ92" s="12">
        <v>1.1389521640091117E-2</v>
      </c>
      <c r="AK92" s="12">
        <v>15.09111617312073</v>
      </c>
    </row>
    <row r="93" spans="1:37" x14ac:dyDescent="0.25">
      <c r="A93" s="7" t="s">
        <v>424</v>
      </c>
      <c r="B93" s="7" t="str">
        <f t="shared" si="1"/>
        <v>2768-93</v>
      </c>
      <c r="C93" s="7" t="e">
        <f>VLOOKUP(B93,'CEBAS-DEWOOD code'!A$2:B$302,2,FALSE)</f>
        <v>#N/A</v>
      </c>
      <c r="D93" s="7" t="e">
        <f>VLOOKUP(IONOMICS!C93,'Field Table'!A$2:E$661,3,FALSE)</f>
        <v>#N/A</v>
      </c>
      <c r="E93" s="7" t="e">
        <f>VLOOKUP(IONOMICS!C93,'Field Table'!A$2:E$661,4,FALSE)</f>
        <v>#N/A</v>
      </c>
      <c r="F93" s="7" t="e">
        <f>VLOOKUP(IONOMICS!C93,'Field Table'!A$2:E$661,5,FALSE)</f>
        <v>#N/A</v>
      </c>
      <c r="G93" s="11">
        <v>103.79419944378229</v>
      </c>
      <c r="H93" s="12">
        <v>1.9864918553833932E-2</v>
      </c>
      <c r="I93" s="12" t="s">
        <v>333</v>
      </c>
      <c r="J93" s="12" t="s">
        <v>333</v>
      </c>
      <c r="K93" s="12" t="s">
        <v>333</v>
      </c>
      <c r="L93" s="11">
        <v>0.1911005164878824</v>
      </c>
      <c r="M93" s="11">
        <v>0.34763607469209384</v>
      </c>
      <c r="N93" s="12">
        <v>9.9324592769169662E-3</v>
      </c>
      <c r="O93" s="12">
        <v>0.72506952721493845</v>
      </c>
      <c r="P93" s="12">
        <v>3.2876440206595152</v>
      </c>
      <c r="Q93" s="12">
        <v>58.730631704410023</v>
      </c>
      <c r="R93" s="12">
        <v>2.1642828764402069E-2</v>
      </c>
      <c r="S93" s="12" t="s">
        <v>333</v>
      </c>
      <c r="T93" s="12">
        <v>0.26817640047675806</v>
      </c>
      <c r="U93" s="12">
        <v>2.3480333730631704E-2</v>
      </c>
      <c r="V93" s="12">
        <v>84.167659912594374</v>
      </c>
      <c r="W93" s="12" t="s">
        <v>333</v>
      </c>
      <c r="X93" s="13">
        <v>2.7016289233214145E-4</v>
      </c>
      <c r="Y93" s="12">
        <v>0.55621771950734999</v>
      </c>
      <c r="Z93" s="12">
        <v>1.4203416765991259</v>
      </c>
      <c r="AA93" s="13">
        <v>8.4078267779102121E-3</v>
      </c>
      <c r="AB93" s="12">
        <v>0.85419149781485904</v>
      </c>
      <c r="AC93" s="12" t="s">
        <v>333</v>
      </c>
      <c r="AD93" s="12" t="s">
        <v>333</v>
      </c>
      <c r="AE93" s="12">
        <v>311.58124751688518</v>
      </c>
      <c r="AF93" s="14">
        <v>1.8305522447357964E-2</v>
      </c>
      <c r="AG93" s="12">
        <v>8.6015097338100919</v>
      </c>
      <c r="AH93" s="12">
        <v>7.5784664282876451</v>
      </c>
      <c r="AI93" s="12" t="s">
        <v>333</v>
      </c>
      <c r="AJ93" s="12">
        <v>8.9392133492252682E-2</v>
      </c>
      <c r="AK93" s="12">
        <v>13.756456098529998</v>
      </c>
    </row>
    <row r="94" spans="1:37" x14ac:dyDescent="0.25">
      <c r="A94" s="7" t="s">
        <v>425</v>
      </c>
      <c r="B94" s="7" t="str">
        <f t="shared" si="1"/>
        <v>2768-94</v>
      </c>
      <c r="C94" s="7">
        <f>VLOOKUP(B94,'CEBAS-DEWOOD code'!A$2:B$302,2,FALSE)</f>
        <v>47</v>
      </c>
      <c r="D94" s="7" t="str">
        <f>VLOOKUP(IONOMICS!C94,'Field Table'!A$2:E$661,3,FALSE)</f>
        <v>FS</v>
      </c>
      <c r="E94" s="7" t="str">
        <f>VLOOKUP(IONOMICS!C94,'Field Table'!A$2:E$661,4,FALSE)</f>
        <v>2</v>
      </c>
      <c r="F94" s="7" t="str">
        <f>VLOOKUP(IONOMICS!C94,'Field Table'!A$2:E$661,5,FALSE)</f>
        <v>10</v>
      </c>
      <c r="G94" s="11">
        <v>4.5748813120414331</v>
      </c>
      <c r="H94" s="12">
        <v>0.14026758739749678</v>
      </c>
      <c r="I94" s="12" t="s">
        <v>333</v>
      </c>
      <c r="J94" s="12" t="s">
        <v>333</v>
      </c>
      <c r="K94" s="12" t="s">
        <v>333</v>
      </c>
      <c r="L94" s="11">
        <v>0.22669400086318517</v>
      </c>
      <c r="M94" s="11">
        <v>0.14026758739749678</v>
      </c>
      <c r="N94" s="12">
        <v>0.1294777729823047</v>
      </c>
      <c r="O94" s="12">
        <v>7.5528700906344406E-2</v>
      </c>
      <c r="P94" s="12">
        <v>1.5213638325420802</v>
      </c>
      <c r="Q94" s="12">
        <v>22.572291756581787</v>
      </c>
      <c r="R94" s="12">
        <v>0.10398144151920588</v>
      </c>
      <c r="S94" s="12" t="s">
        <v>333</v>
      </c>
      <c r="T94" s="12">
        <v>0.26974536037980146</v>
      </c>
      <c r="U94" s="12">
        <v>6.0271903323262849E-2</v>
      </c>
      <c r="V94" s="12">
        <v>112.86145878290895</v>
      </c>
      <c r="W94" s="12" t="s">
        <v>333</v>
      </c>
      <c r="X94" s="13">
        <v>4.3051359516616314E-4</v>
      </c>
      <c r="Y94" s="12">
        <v>2.1795425118687959</v>
      </c>
      <c r="Z94" s="12">
        <v>0.75528700906344426</v>
      </c>
      <c r="AA94" s="13">
        <v>4.1810530858869231E-3</v>
      </c>
      <c r="AB94" s="12">
        <v>2.557186016400518</v>
      </c>
      <c r="AC94" s="12" t="s">
        <v>333</v>
      </c>
      <c r="AD94" s="12" t="s">
        <v>333</v>
      </c>
      <c r="AE94" s="12">
        <v>120.73802330599915</v>
      </c>
      <c r="AF94" s="14">
        <v>1.2246439361242988E-2</v>
      </c>
      <c r="AG94" s="12">
        <v>16.788951230038844</v>
      </c>
      <c r="AH94" s="12">
        <v>0.56107034958998714</v>
      </c>
      <c r="AI94" s="12" t="s">
        <v>333</v>
      </c>
      <c r="AJ94" s="12" t="s">
        <v>333</v>
      </c>
      <c r="AK94" s="12">
        <v>4.2727665084160558</v>
      </c>
    </row>
    <row r="95" spans="1:37" x14ac:dyDescent="0.25">
      <c r="A95" s="7" t="s">
        <v>426</v>
      </c>
      <c r="B95" s="7" t="str">
        <f t="shared" si="1"/>
        <v>2768-95</v>
      </c>
      <c r="C95" s="7">
        <f>VLOOKUP(B95,'CEBAS-DEWOOD code'!A$2:B$302,2,FALSE)</f>
        <v>145</v>
      </c>
      <c r="D95" s="7" t="str">
        <f>VLOOKUP(IONOMICS!C95,'Field Table'!A$2:E$661,3,FALSE)</f>
        <v>FS</v>
      </c>
      <c r="E95" s="7" t="str">
        <f>VLOOKUP(IONOMICS!C95,'Field Table'!A$2:E$661,4,FALSE)</f>
        <v>4</v>
      </c>
      <c r="F95" s="7" t="str">
        <f>VLOOKUP(IONOMICS!C95,'Field Table'!A$2:E$661,5,FALSE)</f>
        <v>10</v>
      </c>
      <c r="G95" s="11">
        <v>10.420393559928444</v>
      </c>
      <c r="H95" s="12">
        <v>1.1180679785330949E-2</v>
      </c>
      <c r="I95" s="12" t="s">
        <v>333</v>
      </c>
      <c r="J95" s="12" t="s">
        <v>333</v>
      </c>
      <c r="K95" s="12" t="s">
        <v>333</v>
      </c>
      <c r="L95" s="11">
        <v>0.10593694096601074</v>
      </c>
      <c r="M95" s="11">
        <v>0.17889087656529518</v>
      </c>
      <c r="N95" s="12">
        <v>0.12298747763864043</v>
      </c>
      <c r="O95" s="12">
        <v>6.7084078711985684E-2</v>
      </c>
      <c r="P95" s="12">
        <v>1.4758497316636852</v>
      </c>
      <c r="Q95" s="12">
        <v>3.4324686940966016</v>
      </c>
      <c r="R95" s="12">
        <v>6.7240608228980328E-2</v>
      </c>
      <c r="S95" s="12" t="s">
        <v>333</v>
      </c>
      <c r="T95" s="12">
        <v>0.33542039355992842</v>
      </c>
      <c r="U95" s="12">
        <v>7.8287119856887299E-2</v>
      </c>
      <c r="V95" s="12">
        <v>35.521019677996421</v>
      </c>
      <c r="W95" s="12" t="s">
        <v>333</v>
      </c>
      <c r="X95" s="13" t="s">
        <v>333</v>
      </c>
      <c r="Y95" s="12">
        <v>0.8273703041144902</v>
      </c>
      <c r="Z95" s="12">
        <v>0.16771019677996421</v>
      </c>
      <c r="AA95" s="13">
        <v>5.9257602862254023E-3</v>
      </c>
      <c r="AB95" s="12">
        <v>3.1082289803220036</v>
      </c>
      <c r="AC95" s="12" t="s">
        <v>333</v>
      </c>
      <c r="AD95" s="12" t="s">
        <v>333</v>
      </c>
      <c r="AE95" s="12">
        <v>10.711091234347048</v>
      </c>
      <c r="AF95" s="14">
        <v>9.2218246869409659E-3</v>
      </c>
      <c r="AG95" s="12">
        <v>12.175760286225403</v>
      </c>
      <c r="AH95" s="12">
        <v>0.62611806797853309</v>
      </c>
      <c r="AI95" s="12" t="s">
        <v>333</v>
      </c>
      <c r="AJ95" s="12" t="s">
        <v>333</v>
      </c>
      <c r="AK95" s="12">
        <v>11.180679785330948</v>
      </c>
    </row>
    <row r="96" spans="1:37" x14ac:dyDescent="0.25">
      <c r="A96" s="7" t="s">
        <v>427</v>
      </c>
      <c r="B96" s="7" t="str">
        <f t="shared" si="1"/>
        <v>2768-96</v>
      </c>
      <c r="C96" s="7">
        <f>VLOOKUP(B96,'CEBAS-DEWOOD code'!A$2:B$302,2,FALSE)</f>
        <v>146</v>
      </c>
      <c r="D96" s="7" t="str">
        <f>VLOOKUP(IONOMICS!C96,'Field Table'!A$2:E$661,3,FALSE)</f>
        <v>AA</v>
      </c>
      <c r="E96" s="7" t="str">
        <f>VLOOKUP(IONOMICS!C96,'Field Table'!A$2:E$661,4,FALSE)</f>
        <v>1</v>
      </c>
      <c r="F96" s="7" t="str">
        <f>VLOOKUP(IONOMICS!C96,'Field Table'!A$2:E$661,5,FALSE)</f>
        <v>25</v>
      </c>
      <c r="G96" s="11">
        <v>8.8659298414223944</v>
      </c>
      <c r="H96" s="12">
        <v>0.14416146083613646</v>
      </c>
      <c r="I96" s="12" t="s">
        <v>333</v>
      </c>
      <c r="J96" s="12" t="s">
        <v>333</v>
      </c>
      <c r="K96" s="12" t="s">
        <v>333</v>
      </c>
      <c r="L96" s="11">
        <v>7.0975492551657859E-2</v>
      </c>
      <c r="M96" s="11">
        <v>7.2080730418068228E-2</v>
      </c>
      <c r="N96" s="12">
        <v>4.8053820278712155E-2</v>
      </c>
      <c r="O96" s="12">
        <v>0.20422873618452664</v>
      </c>
      <c r="P96" s="12">
        <v>1.7299375300336375</v>
      </c>
      <c r="Q96" s="12">
        <v>3.9884670831331088</v>
      </c>
      <c r="R96" s="12">
        <v>0.11367131186929361</v>
      </c>
      <c r="S96" s="12" t="s">
        <v>333</v>
      </c>
      <c r="T96" s="12">
        <v>0.19221528111484862</v>
      </c>
      <c r="U96" s="12">
        <v>1.9509851033157135E-2</v>
      </c>
      <c r="V96" s="12">
        <v>23.125901009130224</v>
      </c>
      <c r="W96" s="12" t="s">
        <v>333</v>
      </c>
      <c r="X96" s="13" t="s">
        <v>333</v>
      </c>
      <c r="Y96" s="12">
        <v>0.14416146083613646</v>
      </c>
      <c r="Z96" s="12">
        <v>0.34839019702066309</v>
      </c>
      <c r="AA96" s="13">
        <v>5.2859202306583368E-4</v>
      </c>
      <c r="AB96" s="12">
        <v>2.126381547333013</v>
      </c>
      <c r="AC96" s="12" t="s">
        <v>333</v>
      </c>
      <c r="AD96" s="12" t="s">
        <v>333</v>
      </c>
      <c r="AE96" s="12">
        <v>9.0821720326765973</v>
      </c>
      <c r="AF96" s="14">
        <v>5.4961556943777029E-3</v>
      </c>
      <c r="AG96" s="12">
        <v>4.9255165785679962</v>
      </c>
      <c r="AH96" s="12">
        <v>0.57664584334454583</v>
      </c>
      <c r="AI96" s="12" t="s">
        <v>333</v>
      </c>
      <c r="AJ96" s="12" t="s">
        <v>333</v>
      </c>
      <c r="AK96" s="12">
        <v>2.2465160980297934</v>
      </c>
    </row>
    <row r="97" spans="1:37" x14ac:dyDescent="0.25">
      <c r="A97" s="7" t="s">
        <v>428</v>
      </c>
      <c r="B97" s="7" t="str">
        <f t="shared" si="1"/>
        <v>2768-97</v>
      </c>
      <c r="C97" s="7">
        <f>VLOOKUP(B97,'CEBAS-DEWOOD code'!A$2:B$302,2,FALSE)</f>
        <v>174</v>
      </c>
      <c r="D97" s="7" t="str">
        <f>VLOOKUP(IONOMICS!C97,'Field Table'!A$2:E$661,3,FALSE)</f>
        <v>FS</v>
      </c>
      <c r="E97" s="7" t="str">
        <f>VLOOKUP(IONOMICS!C97,'Field Table'!A$2:E$661,4,FALSE)</f>
        <v>2</v>
      </c>
      <c r="F97" s="7" t="str">
        <f>VLOOKUP(IONOMICS!C97,'Field Table'!A$2:E$661,5,FALSE)</f>
        <v>25</v>
      </c>
      <c r="G97" s="11">
        <v>11.482231219073324</v>
      </c>
      <c r="H97" s="12">
        <v>0.14619883040935674</v>
      </c>
      <c r="I97" s="12" t="s">
        <v>333</v>
      </c>
      <c r="J97" s="12" t="s">
        <v>333</v>
      </c>
      <c r="K97" s="12" t="s">
        <v>333</v>
      </c>
      <c r="L97" s="11">
        <v>0.32141250562303192</v>
      </c>
      <c r="M97" s="11">
        <v>0.12370670265407108</v>
      </c>
      <c r="N97" s="12">
        <v>5.6230319388214128E-2</v>
      </c>
      <c r="O97" s="12">
        <v>0.25865946918578497</v>
      </c>
      <c r="P97" s="12">
        <v>8.6932073774179042</v>
      </c>
      <c r="Q97" s="12">
        <v>16.779127305443094</v>
      </c>
      <c r="R97" s="12">
        <v>0.31635177687809268</v>
      </c>
      <c r="S97" s="12" t="s">
        <v>333</v>
      </c>
      <c r="T97" s="12">
        <v>0.26990553306342779</v>
      </c>
      <c r="U97" s="12">
        <v>5.8861898335582544E-2</v>
      </c>
      <c r="V97" s="12">
        <v>48.189383715699506</v>
      </c>
      <c r="W97" s="12" t="s">
        <v>333</v>
      </c>
      <c r="X97" s="13" t="s">
        <v>333</v>
      </c>
      <c r="Y97" s="12">
        <v>0.78722447143499785</v>
      </c>
      <c r="Z97" s="12">
        <v>0.14619883040935674</v>
      </c>
      <c r="AA97" s="13">
        <v>6.8466036887089524E-3</v>
      </c>
      <c r="AB97" s="12">
        <v>8.1309041835357636</v>
      </c>
      <c r="AC97" s="12" t="s">
        <v>333</v>
      </c>
      <c r="AD97" s="12" t="s">
        <v>333</v>
      </c>
      <c r="AE97" s="12">
        <v>107.97345928924875</v>
      </c>
      <c r="AF97" s="14">
        <v>1.1875843454790824E-2</v>
      </c>
      <c r="AG97" s="12">
        <v>15.901934322986955</v>
      </c>
      <c r="AH97" s="12">
        <v>2.2154745838956367</v>
      </c>
      <c r="AI97" s="12" t="s">
        <v>333</v>
      </c>
      <c r="AJ97" s="12" t="s">
        <v>333</v>
      </c>
      <c r="AK97" s="12">
        <v>4.5659019343229863</v>
      </c>
    </row>
    <row r="98" spans="1:37" x14ac:dyDescent="0.25">
      <c r="A98" s="7" t="s">
        <v>429</v>
      </c>
      <c r="B98" s="7" t="str">
        <f t="shared" si="1"/>
        <v>2768-98</v>
      </c>
      <c r="C98" s="7">
        <f>VLOOKUP(B98,'CEBAS-DEWOOD code'!A$2:B$302,2,FALSE)</f>
        <v>1054</v>
      </c>
      <c r="D98" s="7" t="str">
        <f>VLOOKUP(IONOMICS!C98,'Field Table'!A$2:E$661,3,FALSE)</f>
        <v>FS</v>
      </c>
      <c r="E98" s="7" t="str">
        <f>VLOOKUP(IONOMICS!C98,'Field Table'!A$2:E$661,4,FALSE)</f>
        <v>4</v>
      </c>
      <c r="F98" s="7" t="str">
        <f>VLOOKUP(IONOMICS!C98,'Field Table'!A$2:E$661,5,FALSE)</f>
        <v>01</v>
      </c>
      <c r="G98" s="11">
        <v>28.653644925008717</v>
      </c>
      <c r="H98" s="12" t="s">
        <v>333</v>
      </c>
      <c r="I98" s="12" t="s">
        <v>333</v>
      </c>
      <c r="J98" s="12" t="s">
        <v>333</v>
      </c>
      <c r="K98" s="12" t="s">
        <v>333</v>
      </c>
      <c r="L98" s="11">
        <v>0.40896407394489009</v>
      </c>
      <c r="M98" s="11">
        <v>0.16567840948726892</v>
      </c>
      <c r="N98" s="12">
        <v>5.2319497732821761E-2</v>
      </c>
      <c r="O98" s="12">
        <v>0.38367631670735958</v>
      </c>
      <c r="P98" s="12">
        <v>2.9822113707708406</v>
      </c>
      <c r="Q98" s="12">
        <v>18.128705964422739</v>
      </c>
      <c r="R98" s="12">
        <v>2.6037670038367631E-2</v>
      </c>
      <c r="S98" s="12" t="s">
        <v>333</v>
      </c>
      <c r="T98" s="12">
        <v>0.31391698639693055</v>
      </c>
      <c r="U98" s="12">
        <v>3.2664806417858384E-2</v>
      </c>
      <c r="V98" s="12">
        <v>135.59469829089639</v>
      </c>
      <c r="W98" s="12" t="s">
        <v>333</v>
      </c>
      <c r="X98" s="13" t="s">
        <v>333</v>
      </c>
      <c r="Y98" s="12">
        <v>0.87199162888036275</v>
      </c>
      <c r="Z98" s="12">
        <v>1.0812696198116498</v>
      </c>
      <c r="AA98" s="13">
        <v>2.2166027206138819E-2</v>
      </c>
      <c r="AB98" s="12">
        <v>0.78479246599232633</v>
      </c>
      <c r="AC98" s="12" t="s">
        <v>333</v>
      </c>
      <c r="AD98" s="12" t="s">
        <v>333</v>
      </c>
      <c r="AE98" s="12">
        <v>424.74712242762467</v>
      </c>
      <c r="AF98" s="14">
        <v>2.7633414719218697E-2</v>
      </c>
      <c r="AG98" s="12">
        <v>21.808510638297872</v>
      </c>
      <c r="AH98" s="12">
        <v>0.88071154516916639</v>
      </c>
      <c r="AI98" s="12" t="s">
        <v>333</v>
      </c>
      <c r="AJ98" s="12" t="s">
        <v>333</v>
      </c>
      <c r="AK98" s="12">
        <v>15.155214509940706</v>
      </c>
    </row>
    <row r="99" spans="1:37" x14ac:dyDescent="0.25">
      <c r="A99" s="7" t="s">
        <v>430</v>
      </c>
      <c r="B99" s="7" t="str">
        <f t="shared" si="1"/>
        <v>2768-99</v>
      </c>
      <c r="C99" s="7">
        <f>VLOOKUP(B99,'CEBAS-DEWOOD code'!A$2:B$302,2,FALSE)</f>
        <v>1079</v>
      </c>
      <c r="D99" s="7" t="str">
        <f>VLOOKUP(IONOMICS!C99,'Field Table'!A$2:E$661,3,FALSE)</f>
        <v>AA</v>
      </c>
      <c r="E99" s="7" t="str">
        <f>VLOOKUP(IONOMICS!C99,'Field Table'!A$2:E$661,4,FALSE)</f>
        <v>1</v>
      </c>
      <c r="F99" s="7" t="str">
        <f>VLOOKUP(IONOMICS!C99,'Field Table'!A$2:E$661,5,FALSE)</f>
        <v>01</v>
      </c>
      <c r="G99" s="11">
        <v>43.797537124230352</v>
      </c>
      <c r="H99" s="12">
        <v>2.7164070988772181E-2</v>
      </c>
      <c r="I99" s="12" t="s">
        <v>333</v>
      </c>
      <c r="J99" s="12" t="s">
        <v>333</v>
      </c>
      <c r="K99" s="12" t="s">
        <v>333</v>
      </c>
      <c r="L99" s="11">
        <v>0.2038210793190873</v>
      </c>
      <c r="M99" s="11">
        <v>0.28069540021731254</v>
      </c>
      <c r="N99" s="12" t="s">
        <v>333</v>
      </c>
      <c r="O99" s="12">
        <v>0.51611734878667148</v>
      </c>
      <c r="P99" s="12">
        <v>3.1691416153567551</v>
      </c>
      <c r="Q99" s="12">
        <v>18.562115175660992</v>
      </c>
      <c r="R99" s="12">
        <v>9.2720028975009056E-2</v>
      </c>
      <c r="S99" s="12" t="s">
        <v>333</v>
      </c>
      <c r="T99" s="12">
        <v>0.19014849692140529</v>
      </c>
      <c r="U99" s="12">
        <v>2.0961608113002534E-2</v>
      </c>
      <c r="V99" s="12">
        <v>68.308583846432441</v>
      </c>
      <c r="W99" s="12" t="s">
        <v>333</v>
      </c>
      <c r="X99" s="13">
        <v>9.3263310394784478E-4</v>
      </c>
      <c r="Y99" s="12">
        <v>0.2625860195581311</v>
      </c>
      <c r="Z99" s="12">
        <v>0.75153929735603031</v>
      </c>
      <c r="AA99" s="13">
        <v>1.579137993480623E-2</v>
      </c>
      <c r="AB99" s="12">
        <v>1.8381021369069175</v>
      </c>
      <c r="AC99" s="12" t="s">
        <v>333</v>
      </c>
      <c r="AD99" s="12" t="s">
        <v>333</v>
      </c>
      <c r="AE99" s="12">
        <v>31.944947482796088</v>
      </c>
      <c r="AF99" s="14">
        <v>1.4967403114813472E-2</v>
      </c>
      <c r="AG99" s="12">
        <v>10.910901847156826</v>
      </c>
      <c r="AH99" s="12">
        <v>0.93263310394784493</v>
      </c>
      <c r="AI99" s="12" t="s">
        <v>333</v>
      </c>
      <c r="AJ99" s="12" t="s">
        <v>333</v>
      </c>
      <c r="AK99" s="12">
        <v>15.229989134371603</v>
      </c>
    </row>
    <row r="100" spans="1:37" x14ac:dyDescent="0.25">
      <c r="A100" s="7" t="s">
        <v>431</v>
      </c>
      <c r="B100" s="7" t="str">
        <f t="shared" si="1"/>
        <v>2768-100</v>
      </c>
      <c r="C100" s="7">
        <f>VLOOKUP(B100,'CEBAS-DEWOOD code'!A$2:B$302,2,FALSE)</f>
        <v>407</v>
      </c>
      <c r="D100" s="7" t="str">
        <f>VLOOKUP(IONOMICS!C100,'Field Table'!A$2:E$661,3,FALSE)</f>
        <v>AA</v>
      </c>
      <c r="E100" s="7" t="str">
        <f>VLOOKUP(IONOMICS!C100,'Field Table'!A$2:E$661,4,FALSE)</f>
        <v>4</v>
      </c>
      <c r="F100" s="7" t="str">
        <f>VLOOKUP(IONOMICS!C100,'Field Table'!A$2:E$661,5,FALSE)</f>
        <v>10</v>
      </c>
      <c r="G100" s="11">
        <v>22.697507393324887</v>
      </c>
      <c r="H100" s="12">
        <v>0.17955217574989438</v>
      </c>
      <c r="I100" s="12" t="s">
        <v>333</v>
      </c>
      <c r="J100" s="12" t="s">
        <v>333</v>
      </c>
      <c r="K100" s="12" t="s">
        <v>333</v>
      </c>
      <c r="L100" s="11">
        <v>0.12790452049007181</v>
      </c>
      <c r="M100" s="11">
        <v>0.4435994930291508</v>
      </c>
      <c r="N100" s="12">
        <v>5.2809463455851295E-2</v>
      </c>
      <c r="O100" s="12">
        <v>0.28517110266159701</v>
      </c>
      <c r="P100" s="12">
        <v>1.9539501478664976</v>
      </c>
      <c r="Q100" s="12">
        <v>12.28348119983101</v>
      </c>
      <c r="R100" s="12">
        <v>4.6271651880016904E-2</v>
      </c>
      <c r="S100" s="12" t="s">
        <v>333</v>
      </c>
      <c r="T100" s="12">
        <v>0.2006759611322349</v>
      </c>
      <c r="U100" s="12">
        <v>2.20532319391635E-2</v>
      </c>
      <c r="V100" s="12">
        <v>45.817490494296585</v>
      </c>
      <c r="W100" s="12" t="s">
        <v>333</v>
      </c>
      <c r="X100" s="13">
        <v>5.471060414026194E-4</v>
      </c>
      <c r="Y100" s="12">
        <v>0.16899028305872413</v>
      </c>
      <c r="Z100" s="12">
        <v>0.36966624419095906</v>
      </c>
      <c r="AA100" s="13">
        <v>2.1482889733840309E-3</v>
      </c>
      <c r="AB100" s="12">
        <v>1.140684410646388</v>
      </c>
      <c r="AC100" s="12" t="s">
        <v>333</v>
      </c>
      <c r="AD100" s="12" t="s">
        <v>333</v>
      </c>
      <c r="AE100" s="12">
        <v>22.338403041825096</v>
      </c>
      <c r="AF100" s="14">
        <v>9.8405154203633303E-3</v>
      </c>
      <c r="AG100" s="12">
        <v>8.1115335868187586</v>
      </c>
      <c r="AH100" s="12">
        <v>2.1757498943810734</v>
      </c>
      <c r="AI100" s="12" t="s">
        <v>333</v>
      </c>
      <c r="AJ100" s="12" t="s">
        <v>333</v>
      </c>
      <c r="AK100" s="12">
        <v>7.4672581326573724</v>
      </c>
    </row>
    <row r="101" spans="1:37" x14ac:dyDescent="0.25">
      <c r="A101" s="7" t="s">
        <v>432</v>
      </c>
      <c r="B101" s="7" t="str">
        <f t="shared" si="1"/>
        <v>2768-101</v>
      </c>
      <c r="C101" s="7">
        <f>VLOOKUP(B101,'CEBAS-DEWOOD code'!A$2:B$302,2,FALSE)</f>
        <v>387</v>
      </c>
      <c r="D101" s="7" t="str">
        <f>VLOOKUP(IONOMICS!C101,'Field Table'!A$2:E$661,3,FALSE)</f>
        <v>AA</v>
      </c>
      <c r="E101" s="7" t="str">
        <f>VLOOKUP(IONOMICS!C101,'Field Table'!A$2:E$661,4,FALSE)</f>
        <v>2</v>
      </c>
      <c r="F101" s="7" t="str">
        <f>VLOOKUP(IONOMICS!C101,'Field Table'!A$2:E$661,5,FALSE)</f>
        <v>10</v>
      </c>
      <c r="G101" s="11">
        <v>7.3772484200291686</v>
      </c>
      <c r="H101" s="12" t="s">
        <v>333</v>
      </c>
      <c r="I101" s="12" t="s">
        <v>333</v>
      </c>
      <c r="J101" s="12" t="s">
        <v>333</v>
      </c>
      <c r="K101" s="12" t="s">
        <v>333</v>
      </c>
      <c r="L101" s="11">
        <v>0.10065629557608168</v>
      </c>
      <c r="M101" s="11">
        <v>0.14584346135148274</v>
      </c>
      <c r="N101" s="12">
        <v>4.8614487117160918E-2</v>
      </c>
      <c r="O101" s="12">
        <v>0.13368983957219252</v>
      </c>
      <c r="P101" s="12">
        <v>1.0816723383568303</v>
      </c>
      <c r="Q101" s="12">
        <v>5.3475935828876997</v>
      </c>
      <c r="R101" s="12">
        <v>0.15860476421973749</v>
      </c>
      <c r="S101" s="12" t="s">
        <v>333</v>
      </c>
      <c r="T101" s="12">
        <v>0.21876519202722411</v>
      </c>
      <c r="U101" s="12">
        <v>2.1840058337384539E-2</v>
      </c>
      <c r="V101" s="12">
        <v>31.45357316480311</v>
      </c>
      <c r="W101" s="12" t="s">
        <v>333</v>
      </c>
      <c r="X101" s="13">
        <v>3.1842489061740403E-4</v>
      </c>
      <c r="Y101" s="12">
        <v>0.36460865337870685</v>
      </c>
      <c r="Z101" s="12">
        <v>0.57122022362664082</v>
      </c>
      <c r="AA101" s="13">
        <v>1.7817209528439477E-3</v>
      </c>
      <c r="AB101" s="12">
        <v>2.4793388429752068</v>
      </c>
      <c r="AC101" s="12" t="s">
        <v>333</v>
      </c>
      <c r="AD101" s="12" t="s">
        <v>333</v>
      </c>
      <c r="AE101" s="12">
        <v>35.610111813320366</v>
      </c>
      <c r="AF101" s="14">
        <v>6.2384540593096735E-3</v>
      </c>
      <c r="AG101" s="12">
        <v>3.8648517258142929</v>
      </c>
      <c r="AH101" s="12">
        <v>0.94798249878463769</v>
      </c>
      <c r="AI101" s="12" t="s">
        <v>333</v>
      </c>
      <c r="AJ101" s="12" t="s">
        <v>333</v>
      </c>
      <c r="AK101" s="12">
        <v>6.8424890617403991</v>
      </c>
    </row>
    <row r="102" spans="1:37" x14ac:dyDescent="0.25">
      <c r="A102" s="7" t="s">
        <v>433</v>
      </c>
      <c r="B102" s="7" t="str">
        <f t="shared" si="1"/>
        <v>2768-102</v>
      </c>
      <c r="C102" s="7">
        <f>VLOOKUP(B102,'CEBAS-DEWOOD code'!A$2:B$302,2,FALSE)</f>
        <v>404</v>
      </c>
      <c r="D102" s="7" t="str">
        <f>VLOOKUP(IONOMICS!C102,'Field Table'!A$2:E$661,3,FALSE)</f>
        <v>AA</v>
      </c>
      <c r="E102" s="7" t="str">
        <f>VLOOKUP(IONOMICS!C102,'Field Table'!A$2:E$661,4,FALSE)</f>
        <v>2</v>
      </c>
      <c r="F102" s="7" t="str">
        <f>VLOOKUP(IONOMICS!C102,'Field Table'!A$2:E$661,5,FALSE)</f>
        <v>10</v>
      </c>
      <c r="G102" s="11">
        <v>4.3343961737744117</v>
      </c>
      <c r="H102" s="12">
        <v>0.34874451972897569</v>
      </c>
      <c r="I102" s="12" t="s">
        <v>333</v>
      </c>
      <c r="J102" s="12" t="s">
        <v>333</v>
      </c>
      <c r="K102" s="12" t="s">
        <v>333</v>
      </c>
      <c r="L102" s="11">
        <v>4.546632124352331E-2</v>
      </c>
      <c r="M102" s="11">
        <v>0.16939019529693103</v>
      </c>
      <c r="N102" s="12">
        <v>6.9748903945795124E-2</v>
      </c>
      <c r="O102" s="12">
        <v>0.50817058589079311</v>
      </c>
      <c r="P102" s="12">
        <v>1.1956954962136308</v>
      </c>
      <c r="Q102" s="12">
        <v>5.6895177361498606</v>
      </c>
      <c r="R102" s="12">
        <v>7.6325229174970102E-2</v>
      </c>
      <c r="S102" s="12" t="s">
        <v>333</v>
      </c>
      <c r="T102" s="12">
        <v>8.9677162216022316E-2</v>
      </c>
      <c r="U102" s="12">
        <v>1.0691510561976883E-2</v>
      </c>
      <c r="V102" s="12">
        <v>18.722598644878438</v>
      </c>
      <c r="W102" s="12" t="s">
        <v>333</v>
      </c>
      <c r="X102" s="13" t="s">
        <v>333</v>
      </c>
      <c r="Y102" s="12">
        <v>4.9820645675567952E-2</v>
      </c>
      <c r="Z102" s="12">
        <v>0.30888800318852133</v>
      </c>
      <c r="AA102" s="13">
        <v>4.5197289756875245E-3</v>
      </c>
      <c r="AB102" s="12">
        <v>1.2853726584296532</v>
      </c>
      <c r="AC102" s="12" t="s">
        <v>333</v>
      </c>
      <c r="AD102" s="12" t="s">
        <v>333</v>
      </c>
      <c r="AE102" s="12">
        <v>6.7756078118772427</v>
      </c>
      <c r="AF102" s="14">
        <v>5.4822638501394972E-3</v>
      </c>
      <c r="AG102" s="12">
        <v>2.8298126743722603</v>
      </c>
      <c r="AH102" s="12">
        <v>1.0263053009166998</v>
      </c>
      <c r="AI102" s="12" t="s">
        <v>333</v>
      </c>
      <c r="AJ102" s="12" t="s">
        <v>333</v>
      </c>
      <c r="AK102" s="12">
        <v>4.3642885611797526</v>
      </c>
    </row>
    <row r="103" spans="1:37" x14ac:dyDescent="0.25">
      <c r="A103" s="7" t="s">
        <v>434</v>
      </c>
      <c r="B103" s="7" t="str">
        <f t="shared" si="1"/>
        <v>2768-103</v>
      </c>
      <c r="C103" s="7">
        <f>VLOOKUP(B103,'CEBAS-DEWOOD code'!A$2:B$302,2,FALSE)</f>
        <v>375</v>
      </c>
      <c r="D103" s="7" t="str">
        <f>VLOOKUP(IONOMICS!C103,'Field Table'!A$2:E$661,3,FALSE)</f>
        <v>FS</v>
      </c>
      <c r="E103" s="7" t="str">
        <f>VLOOKUP(IONOMICS!C103,'Field Table'!A$2:E$661,4,FALSE)</f>
        <v>2</v>
      </c>
      <c r="F103" s="7" t="str">
        <f>VLOOKUP(IONOMICS!C103,'Field Table'!A$2:E$661,5,FALSE)</f>
        <v>10</v>
      </c>
      <c r="G103" s="11">
        <v>5.6347438752783958</v>
      </c>
      <c r="H103" s="12">
        <v>0.12249443207126949</v>
      </c>
      <c r="I103" s="12" t="s">
        <v>333</v>
      </c>
      <c r="J103" s="12" t="s">
        <v>333</v>
      </c>
      <c r="K103" s="12" t="s">
        <v>333</v>
      </c>
      <c r="L103" s="11">
        <v>0.14398663697104677</v>
      </c>
      <c r="M103" s="11">
        <v>8.9086859688195991E-2</v>
      </c>
      <c r="N103" s="12">
        <v>7.7951002227171481E-2</v>
      </c>
      <c r="O103" s="12">
        <v>7.7951002227171481E-2</v>
      </c>
      <c r="P103" s="12">
        <v>1.2917594654788418</v>
      </c>
      <c r="Q103" s="12">
        <v>3.2182628062360799</v>
      </c>
      <c r="R103" s="12">
        <v>5.3875278396436521E-2</v>
      </c>
      <c r="S103" s="12" t="s">
        <v>333</v>
      </c>
      <c r="T103" s="12">
        <v>0.20044543429844097</v>
      </c>
      <c r="U103" s="12">
        <v>5.5679287305122498E-2</v>
      </c>
      <c r="V103" s="12">
        <v>46.269487750556792</v>
      </c>
      <c r="W103" s="12" t="s">
        <v>333</v>
      </c>
      <c r="X103" s="13">
        <v>1.8819599109131402E-4</v>
      </c>
      <c r="Y103" s="12">
        <v>0.84632516703786187</v>
      </c>
      <c r="Z103" s="12">
        <v>0.18930957683741645</v>
      </c>
      <c r="AA103" s="13">
        <v>7.120267260579064E-3</v>
      </c>
      <c r="AB103" s="12">
        <v>2.0267260579064588</v>
      </c>
      <c r="AC103" s="12" t="s">
        <v>333</v>
      </c>
      <c r="AD103" s="12" t="s">
        <v>333</v>
      </c>
      <c r="AE103" s="12">
        <v>36.770601336302889</v>
      </c>
      <c r="AF103" s="14">
        <v>1.1815144766146993E-2</v>
      </c>
      <c r="AG103" s="12">
        <v>12.628062360801781</v>
      </c>
      <c r="AH103" s="12">
        <v>0.27839643652561247</v>
      </c>
      <c r="AI103" s="12" t="s">
        <v>333</v>
      </c>
      <c r="AJ103" s="12" t="s">
        <v>333</v>
      </c>
      <c r="AK103" s="12">
        <v>3.006681514476615</v>
      </c>
    </row>
    <row r="104" spans="1:37" x14ac:dyDescent="0.25">
      <c r="A104" s="7" t="s">
        <v>435</v>
      </c>
      <c r="B104" s="7" t="str">
        <f t="shared" si="1"/>
        <v>2768-104</v>
      </c>
      <c r="C104" s="7">
        <f>VLOOKUP(B104,'CEBAS-DEWOOD code'!A$2:B$302,2,FALSE)</f>
        <v>1053</v>
      </c>
      <c r="D104" s="7" t="str">
        <f>VLOOKUP(IONOMICS!C104,'Field Table'!A$2:E$661,3,FALSE)</f>
        <v>FS</v>
      </c>
      <c r="E104" s="7" t="str">
        <f>VLOOKUP(IONOMICS!C104,'Field Table'!A$2:E$661,4,FALSE)</f>
        <v>2</v>
      </c>
      <c r="F104" s="7" t="str">
        <f>VLOOKUP(IONOMICS!C104,'Field Table'!A$2:E$661,5,FALSE)</f>
        <v>01</v>
      </c>
      <c r="G104" s="11">
        <v>14.719961704164673</v>
      </c>
      <c r="H104" s="12">
        <v>7.1804691239827662E-2</v>
      </c>
      <c r="I104" s="12" t="s">
        <v>333</v>
      </c>
      <c r="J104" s="12" t="s">
        <v>333</v>
      </c>
      <c r="K104" s="12" t="s">
        <v>333</v>
      </c>
      <c r="L104" s="11">
        <v>0.37482048827190045</v>
      </c>
      <c r="M104" s="11">
        <v>8.3772139779798943E-2</v>
      </c>
      <c r="N104" s="12" t="s">
        <v>333</v>
      </c>
      <c r="O104" s="12">
        <v>0.26328386787936814</v>
      </c>
      <c r="P104" s="12">
        <v>2.5490665390138822</v>
      </c>
      <c r="Q104" s="12">
        <v>12.853039731929153</v>
      </c>
      <c r="R104" s="12">
        <v>8.8690761129727139E-2</v>
      </c>
      <c r="S104" s="12" t="s">
        <v>333</v>
      </c>
      <c r="T104" s="12">
        <v>0.26328386787936814</v>
      </c>
      <c r="U104" s="12">
        <v>4.2592149353757783E-2</v>
      </c>
      <c r="V104" s="12">
        <v>126.61560555289614</v>
      </c>
      <c r="W104" s="12" t="s">
        <v>333</v>
      </c>
      <c r="X104" s="13">
        <v>1.0651029200574437E-4</v>
      </c>
      <c r="Y104" s="12">
        <v>1.0651029200574438</v>
      </c>
      <c r="Z104" s="12">
        <v>0.94542843465773097</v>
      </c>
      <c r="AA104" s="13">
        <v>1.9327429392053615E-2</v>
      </c>
      <c r="AB104" s="12">
        <v>3.0876017233125896</v>
      </c>
      <c r="AC104" s="12" t="s">
        <v>333</v>
      </c>
      <c r="AD104" s="12" t="s">
        <v>333</v>
      </c>
      <c r="AE104" s="12">
        <v>694.1120153183341</v>
      </c>
      <c r="AF104" s="14">
        <v>2.2498803255146003E-2</v>
      </c>
      <c r="AG104" s="12">
        <v>21.756821445667782</v>
      </c>
      <c r="AH104" s="12">
        <v>0.93346098611775963</v>
      </c>
      <c r="AI104" s="12" t="s">
        <v>333</v>
      </c>
      <c r="AJ104" s="12" t="s">
        <v>333</v>
      </c>
      <c r="AK104" s="12">
        <v>3.4107228338918145</v>
      </c>
    </row>
    <row r="105" spans="1:37" x14ac:dyDescent="0.25">
      <c r="A105" s="7" t="s">
        <v>436</v>
      </c>
      <c r="B105" s="7" t="str">
        <f t="shared" si="1"/>
        <v>2768-105</v>
      </c>
      <c r="C105" s="7">
        <f>VLOOKUP(B105,'CEBAS-DEWOOD code'!A$2:B$302,2,FALSE)</f>
        <v>405</v>
      </c>
      <c r="D105" s="7" t="str">
        <f>VLOOKUP(IONOMICS!C105,'Field Table'!A$2:E$661,3,FALSE)</f>
        <v>AA</v>
      </c>
      <c r="E105" s="7" t="str">
        <f>VLOOKUP(IONOMICS!C105,'Field Table'!A$2:E$661,4,FALSE)</f>
        <v>2</v>
      </c>
      <c r="F105" s="7" t="str">
        <f>VLOOKUP(IONOMICS!C105,'Field Table'!A$2:E$661,5,FALSE)</f>
        <v>10</v>
      </c>
      <c r="G105" s="11">
        <v>7.0835204310731932</v>
      </c>
      <c r="H105" s="12">
        <v>0.1122586439155815</v>
      </c>
      <c r="I105" s="12" t="s">
        <v>333</v>
      </c>
      <c r="J105" s="12" t="s">
        <v>333</v>
      </c>
      <c r="K105" s="12" t="s">
        <v>333</v>
      </c>
      <c r="L105" s="11">
        <v>4.9618320610687022E-2</v>
      </c>
      <c r="M105" s="11">
        <v>0.17961383026493039</v>
      </c>
      <c r="N105" s="12">
        <v>3.3677593174674447E-2</v>
      </c>
      <c r="O105" s="12">
        <v>8.9806915132465193E-2</v>
      </c>
      <c r="P105" s="12">
        <v>1.1899416255051638</v>
      </c>
      <c r="Q105" s="12">
        <v>6.8253255500673546</v>
      </c>
      <c r="R105" s="12">
        <v>7.3271216883700058E-2</v>
      </c>
      <c r="S105" s="12" t="s">
        <v>333</v>
      </c>
      <c r="T105" s="12">
        <v>0.16838796587337224</v>
      </c>
      <c r="U105" s="12">
        <v>1.2303547373147733E-2</v>
      </c>
      <c r="V105" s="12">
        <v>22.979344409519531</v>
      </c>
      <c r="W105" s="12" t="s">
        <v>333</v>
      </c>
      <c r="X105" s="13" t="s">
        <v>333</v>
      </c>
      <c r="Y105" s="12">
        <v>6.7355186349348894E-2</v>
      </c>
      <c r="Z105" s="12">
        <v>0.77458464301751229</v>
      </c>
      <c r="AA105" s="13">
        <v>1.7029636281993715E-3</v>
      </c>
      <c r="AB105" s="12">
        <v>1.33587786259542</v>
      </c>
      <c r="AC105" s="12" t="s">
        <v>333</v>
      </c>
      <c r="AD105" s="12" t="s">
        <v>333</v>
      </c>
      <c r="AE105" s="12">
        <v>12.202514593623709</v>
      </c>
      <c r="AF105" s="14">
        <v>5.353614728334081E-3</v>
      </c>
      <c r="AG105" s="12">
        <v>2.9074988774135604</v>
      </c>
      <c r="AH105" s="12">
        <v>1.5042658284687922</v>
      </c>
      <c r="AI105" s="12" t="s">
        <v>333</v>
      </c>
      <c r="AJ105" s="12" t="s">
        <v>333</v>
      </c>
      <c r="AK105" s="12">
        <v>5.8486753480017954</v>
      </c>
    </row>
    <row r="106" spans="1:37" x14ac:dyDescent="0.25">
      <c r="A106" s="7" t="s">
        <v>437</v>
      </c>
      <c r="B106" s="7" t="str">
        <f t="shared" si="1"/>
        <v>2768-106</v>
      </c>
      <c r="C106" s="7">
        <f>VLOOKUP(B106,'CEBAS-DEWOOD code'!A$2:B$302,2,FALSE)</f>
        <v>351</v>
      </c>
      <c r="D106" s="7" t="str">
        <f>VLOOKUP(IONOMICS!C106,'Field Table'!A$2:E$661,3,FALSE)</f>
        <v>AA</v>
      </c>
      <c r="E106" s="7" t="str">
        <f>VLOOKUP(IONOMICS!C106,'Field Table'!A$2:E$661,4,FALSE)</f>
        <v>2</v>
      </c>
      <c r="F106" s="7" t="str">
        <f>VLOOKUP(IONOMICS!C106,'Field Table'!A$2:E$661,5,FALSE)</f>
        <v>10</v>
      </c>
      <c r="G106" s="11">
        <v>5.6382978723404253</v>
      </c>
      <c r="H106" s="12">
        <v>1.1820330969267141E-2</v>
      </c>
      <c r="I106" s="12" t="s">
        <v>333</v>
      </c>
      <c r="J106" s="12" t="s">
        <v>333</v>
      </c>
      <c r="K106" s="12" t="s">
        <v>333</v>
      </c>
      <c r="L106" s="11">
        <v>5.0827423167848697E-2</v>
      </c>
      <c r="M106" s="11">
        <v>0.21276595744680851</v>
      </c>
      <c r="N106" s="12">
        <v>3.5460992907801421E-2</v>
      </c>
      <c r="O106" s="12">
        <v>0.16548463356973994</v>
      </c>
      <c r="P106" s="12">
        <v>1.3238770685579195</v>
      </c>
      <c r="Q106" s="12">
        <v>4.338061465721041</v>
      </c>
      <c r="R106" s="12">
        <v>7.5141843971631206E-2</v>
      </c>
      <c r="S106" s="12" t="s">
        <v>333</v>
      </c>
      <c r="T106" s="12">
        <v>0.28368794326241137</v>
      </c>
      <c r="U106" s="12">
        <v>1.2186761229314421E-2</v>
      </c>
      <c r="V106" s="12">
        <v>21.820330969267136</v>
      </c>
      <c r="W106" s="12" t="s">
        <v>333</v>
      </c>
      <c r="X106" s="13">
        <v>1.7494089834515369E-4</v>
      </c>
      <c r="Y106" s="12">
        <v>0.21276595744680851</v>
      </c>
      <c r="Z106" s="12">
        <v>0.50827423167848695</v>
      </c>
      <c r="AA106" s="13">
        <v>3.8723404255319154E-3</v>
      </c>
      <c r="AB106" s="12">
        <v>1.1347517730496455</v>
      </c>
      <c r="AC106" s="12" t="s">
        <v>333</v>
      </c>
      <c r="AD106" s="12" t="s">
        <v>333</v>
      </c>
      <c r="AE106" s="12">
        <v>10.200945626477543</v>
      </c>
      <c r="AF106" s="14">
        <v>6.4515366430260039E-3</v>
      </c>
      <c r="AG106" s="12">
        <v>2.9196217494089831</v>
      </c>
      <c r="AH106" s="12">
        <v>0.73286052009456271</v>
      </c>
      <c r="AI106" s="12" t="s">
        <v>333</v>
      </c>
      <c r="AJ106" s="12" t="s">
        <v>333</v>
      </c>
      <c r="AK106" s="12">
        <v>4.75177304964539</v>
      </c>
    </row>
    <row r="107" spans="1:37" x14ac:dyDescent="0.25">
      <c r="A107" s="7" t="s">
        <v>438</v>
      </c>
      <c r="B107" s="7" t="str">
        <f t="shared" si="1"/>
        <v>2768-107</v>
      </c>
      <c r="C107" s="7">
        <f>VLOOKUP(B107,'CEBAS-DEWOOD code'!A$2:B$302,2,FALSE)</f>
        <v>383</v>
      </c>
      <c r="D107" s="7" t="str">
        <f>VLOOKUP(IONOMICS!C107,'Field Table'!A$2:E$661,3,FALSE)</f>
        <v>FS</v>
      </c>
      <c r="E107" s="7" t="str">
        <f>VLOOKUP(IONOMICS!C107,'Field Table'!A$2:E$661,4,FALSE)</f>
        <v>4</v>
      </c>
      <c r="F107" s="7" t="str">
        <f>VLOOKUP(IONOMICS!C107,'Field Table'!A$2:E$661,5,FALSE)</f>
        <v>25</v>
      </c>
      <c r="G107" s="11">
        <v>12.490869247626005</v>
      </c>
      <c r="H107" s="12">
        <v>7.3046018991964945E-2</v>
      </c>
      <c r="I107" s="12" t="s">
        <v>333</v>
      </c>
      <c r="J107" s="12" t="s">
        <v>333</v>
      </c>
      <c r="K107" s="12" t="s">
        <v>333</v>
      </c>
      <c r="L107" s="11">
        <v>0.33235938641344048</v>
      </c>
      <c r="M107" s="11">
        <v>0.25566106647187725</v>
      </c>
      <c r="N107" s="12">
        <v>0.25566106647187725</v>
      </c>
      <c r="O107" s="12">
        <v>0.49306062819576341</v>
      </c>
      <c r="P107" s="12">
        <v>1.8352812271731189</v>
      </c>
      <c r="Q107" s="12">
        <v>151.47918188458729</v>
      </c>
      <c r="R107" s="12">
        <v>0.12728268809349891</v>
      </c>
      <c r="S107" s="12" t="s">
        <v>333</v>
      </c>
      <c r="T107" s="12">
        <v>0.21913805697589481</v>
      </c>
      <c r="U107" s="12">
        <v>0.1690102264426589</v>
      </c>
      <c r="V107" s="12">
        <v>206.99415631848063</v>
      </c>
      <c r="W107" s="12" t="s">
        <v>333</v>
      </c>
      <c r="X107" s="13">
        <v>1.7403214024835647E-3</v>
      </c>
      <c r="Y107" s="12">
        <v>1.3056975894813734</v>
      </c>
      <c r="Z107" s="12">
        <v>0.45653761869978088</v>
      </c>
      <c r="AA107" s="13">
        <v>1.3595690284879475E-2</v>
      </c>
      <c r="AB107" s="12">
        <v>3.9444850255661073</v>
      </c>
      <c r="AC107" s="12" t="s">
        <v>333</v>
      </c>
      <c r="AD107" s="12" t="s">
        <v>333</v>
      </c>
      <c r="AE107" s="12">
        <v>30.889335281227172</v>
      </c>
      <c r="AF107" s="14">
        <v>1.8042366691015339E-2</v>
      </c>
      <c r="AG107" s="12">
        <v>23.49342585829072</v>
      </c>
      <c r="AH107" s="12">
        <v>1.5522279035792552</v>
      </c>
      <c r="AI107" s="12">
        <v>18.690650109569027</v>
      </c>
      <c r="AJ107" s="12" t="s">
        <v>333</v>
      </c>
      <c r="AK107" s="12">
        <v>4.6384222059897739</v>
      </c>
    </row>
    <row r="108" spans="1:37" x14ac:dyDescent="0.25">
      <c r="A108" s="7" t="s">
        <v>439</v>
      </c>
      <c r="B108" s="7" t="str">
        <f t="shared" si="1"/>
        <v>2768-108</v>
      </c>
      <c r="C108" s="7">
        <f>VLOOKUP(B108,'CEBAS-DEWOOD code'!A$2:B$302,2,FALSE)</f>
        <v>1087</v>
      </c>
      <c r="D108" s="7" t="str">
        <f>VLOOKUP(IONOMICS!C108,'Field Table'!A$2:E$661,3,FALSE)</f>
        <v>AA</v>
      </c>
      <c r="E108" s="7" t="str">
        <f>VLOOKUP(IONOMICS!C108,'Field Table'!A$2:E$661,4,FALSE)</f>
        <v>4</v>
      </c>
      <c r="F108" s="7" t="str">
        <f>VLOOKUP(IONOMICS!C108,'Field Table'!A$2:E$661,5,FALSE)</f>
        <v>01</v>
      </c>
      <c r="G108" s="11">
        <v>110.41857273559012</v>
      </c>
      <c r="H108" s="12">
        <v>8.0054894784995417E-2</v>
      </c>
      <c r="I108" s="12" t="s">
        <v>333</v>
      </c>
      <c r="J108" s="12" t="s">
        <v>333</v>
      </c>
      <c r="K108" s="12" t="s">
        <v>333</v>
      </c>
      <c r="L108" s="11">
        <v>0.25411710887465688</v>
      </c>
      <c r="M108" s="11">
        <v>0.52607502287282704</v>
      </c>
      <c r="N108" s="12" t="s">
        <v>333</v>
      </c>
      <c r="O108" s="12">
        <v>0.5032021957913998</v>
      </c>
      <c r="P108" s="12">
        <v>3.2593778591033855</v>
      </c>
      <c r="Q108" s="12">
        <v>56.495882891125348</v>
      </c>
      <c r="R108" s="12">
        <v>1.1267154620311071E-2</v>
      </c>
      <c r="S108" s="12" t="s">
        <v>333</v>
      </c>
      <c r="T108" s="12">
        <v>0.19441903019213175</v>
      </c>
      <c r="U108" s="12">
        <v>1.7863677950594695E-2</v>
      </c>
      <c r="V108" s="12">
        <v>99.611161939615741</v>
      </c>
      <c r="W108" s="12" t="s">
        <v>333</v>
      </c>
      <c r="X108" s="13">
        <v>6.5301921317474849E-4</v>
      </c>
      <c r="Y108" s="12">
        <v>0.49176578225068618</v>
      </c>
      <c r="Z108" s="12">
        <v>4.5631290027447395</v>
      </c>
      <c r="AA108" s="13">
        <v>6.6834400731930477E-3</v>
      </c>
      <c r="AB108" s="12">
        <v>0.43458371454711803</v>
      </c>
      <c r="AC108" s="12" t="s">
        <v>333</v>
      </c>
      <c r="AD108" s="12" t="s">
        <v>333</v>
      </c>
      <c r="AE108" s="12">
        <v>132.43366880146385</v>
      </c>
      <c r="AF108" s="14">
        <v>1.7806495882891127E-2</v>
      </c>
      <c r="AG108" s="12">
        <v>11.973924977127174</v>
      </c>
      <c r="AH108" s="12">
        <v>4.2086001829826163</v>
      </c>
      <c r="AI108" s="12" t="s">
        <v>333</v>
      </c>
      <c r="AJ108" s="12">
        <v>2.2872827081427266E-2</v>
      </c>
      <c r="AK108" s="12">
        <v>22.015096065873742</v>
      </c>
    </row>
    <row r="109" spans="1:37" x14ac:dyDescent="0.25">
      <c r="A109" s="7" t="s">
        <v>440</v>
      </c>
      <c r="B109" s="7" t="str">
        <f t="shared" si="1"/>
        <v>2768-109</v>
      </c>
      <c r="C109" s="7">
        <f>VLOOKUP(B109,'CEBAS-DEWOOD code'!A$2:B$302,2,FALSE)</f>
        <v>413</v>
      </c>
      <c r="D109" s="7" t="str">
        <f>VLOOKUP(IONOMICS!C109,'Field Table'!A$2:E$661,3,FALSE)</f>
        <v>FS</v>
      </c>
      <c r="E109" s="7" t="str">
        <f>VLOOKUP(IONOMICS!C109,'Field Table'!A$2:E$661,4,FALSE)</f>
        <v>4</v>
      </c>
      <c r="F109" s="7" t="str">
        <f>VLOOKUP(IONOMICS!C109,'Field Table'!A$2:E$661,5,FALSE)</f>
        <v>10</v>
      </c>
      <c r="G109" s="11">
        <v>13.27175498298493</v>
      </c>
      <c r="H109" s="12" t="s">
        <v>333</v>
      </c>
      <c r="I109" s="12" t="s">
        <v>333</v>
      </c>
      <c r="J109" s="12" t="s">
        <v>333</v>
      </c>
      <c r="K109" s="12" t="s">
        <v>333</v>
      </c>
      <c r="L109" s="11">
        <v>0.17051531356344193</v>
      </c>
      <c r="M109" s="11">
        <v>2.4307243558580459E-2</v>
      </c>
      <c r="N109" s="12" t="s">
        <v>333</v>
      </c>
      <c r="O109" s="12" t="s">
        <v>333</v>
      </c>
      <c r="P109" s="12">
        <v>2.1025765678172097</v>
      </c>
      <c r="Q109" s="12">
        <v>12.894992707826932</v>
      </c>
      <c r="R109" s="12">
        <v>4.2185221195916384E-3</v>
      </c>
      <c r="S109" s="12" t="s">
        <v>333</v>
      </c>
      <c r="T109" s="12">
        <v>0.17015070491006318</v>
      </c>
      <c r="U109" s="12">
        <v>1.7525522605736511E-2</v>
      </c>
      <c r="V109" s="12">
        <v>39.985415653864848</v>
      </c>
      <c r="W109" s="12" t="s">
        <v>333</v>
      </c>
      <c r="X109" s="13">
        <v>1.0245503159941663E-3</v>
      </c>
      <c r="Y109" s="12">
        <v>0.96013612056392816</v>
      </c>
      <c r="Z109" s="12">
        <v>0.69275644141954307</v>
      </c>
      <c r="AA109" s="13">
        <v>6.1448711716091406E-3</v>
      </c>
      <c r="AB109" s="12">
        <v>0.60768108896451145</v>
      </c>
      <c r="AC109" s="12" t="s">
        <v>333</v>
      </c>
      <c r="AD109" s="12" t="s">
        <v>333</v>
      </c>
      <c r="AE109" s="12">
        <v>98.529411764705884</v>
      </c>
      <c r="AF109" s="14">
        <v>1.3940204180845893E-2</v>
      </c>
      <c r="AG109" s="12">
        <v>15.848322800194458</v>
      </c>
      <c r="AH109" s="12">
        <v>1.5556635877491494</v>
      </c>
      <c r="AI109" s="12" t="s">
        <v>333</v>
      </c>
      <c r="AJ109" s="12" t="s">
        <v>333</v>
      </c>
      <c r="AK109" s="12">
        <v>6.550802139037434</v>
      </c>
    </row>
    <row r="110" spans="1:37" x14ac:dyDescent="0.25">
      <c r="A110" s="7" t="s">
        <v>441</v>
      </c>
      <c r="B110" s="7" t="str">
        <f t="shared" si="1"/>
        <v>2768-110</v>
      </c>
      <c r="C110" s="7">
        <f>VLOOKUP(B110,'CEBAS-DEWOOD code'!A$2:B$302,2,FALSE)</f>
        <v>123</v>
      </c>
      <c r="D110" s="7" t="str">
        <f>VLOOKUP(IONOMICS!C110,'Field Table'!A$2:E$661,3,FALSE)</f>
        <v>AA</v>
      </c>
      <c r="E110" s="7" t="str">
        <f>VLOOKUP(IONOMICS!C110,'Field Table'!A$2:E$661,4,FALSE)</f>
        <v>4</v>
      </c>
      <c r="F110" s="7" t="str">
        <f>VLOOKUP(IONOMICS!C110,'Field Table'!A$2:E$661,5,FALSE)</f>
        <v>25</v>
      </c>
      <c r="G110" s="11">
        <v>47.930622009569383</v>
      </c>
      <c r="H110" s="12">
        <v>0.14354066985645933</v>
      </c>
      <c r="I110" s="12" t="s">
        <v>333</v>
      </c>
      <c r="J110" s="12" t="s">
        <v>333</v>
      </c>
      <c r="K110" s="12" t="s">
        <v>333</v>
      </c>
      <c r="L110" s="11">
        <v>0.13540669856459331</v>
      </c>
      <c r="M110" s="11">
        <v>0.39473684210526322</v>
      </c>
      <c r="N110" s="12" t="s">
        <v>333</v>
      </c>
      <c r="O110" s="12">
        <v>0.22727272727272729</v>
      </c>
      <c r="P110" s="12">
        <v>12.308612440191389</v>
      </c>
      <c r="Q110" s="12">
        <v>7.8588516746411479</v>
      </c>
      <c r="R110" s="12">
        <v>8.2320574162679419E-2</v>
      </c>
      <c r="S110" s="12" t="s">
        <v>333</v>
      </c>
      <c r="T110" s="12">
        <v>0.28708133971291866</v>
      </c>
      <c r="U110" s="12">
        <v>2.1949760765550243E-2</v>
      </c>
      <c r="V110" s="12">
        <v>81.315789473684205</v>
      </c>
      <c r="W110" s="12" t="s">
        <v>333</v>
      </c>
      <c r="X110" s="13">
        <v>1.3038277511961724E-4</v>
      </c>
      <c r="Y110" s="12">
        <v>0.15550239234449761</v>
      </c>
      <c r="Z110" s="12">
        <v>0.49043062200956944</v>
      </c>
      <c r="AA110" s="13">
        <v>3.2069377990430626E-3</v>
      </c>
      <c r="AB110" s="12">
        <v>2.1291866028708135</v>
      </c>
      <c r="AC110" s="12" t="s">
        <v>333</v>
      </c>
      <c r="AD110" s="12" t="s">
        <v>333</v>
      </c>
      <c r="AE110" s="12">
        <v>11.1244019138756</v>
      </c>
      <c r="AF110" s="14">
        <v>1.1186602870813399E-2</v>
      </c>
      <c r="AG110" s="12">
        <v>6.4234449760765555</v>
      </c>
      <c r="AH110" s="12">
        <v>0.70574162679425834</v>
      </c>
      <c r="AI110" s="12" t="s">
        <v>333</v>
      </c>
      <c r="AJ110" s="12" t="s">
        <v>333</v>
      </c>
      <c r="AK110" s="12">
        <v>8.2775119617224888</v>
      </c>
    </row>
    <row r="111" spans="1:37" x14ac:dyDescent="0.25">
      <c r="A111" s="7" t="s">
        <v>442</v>
      </c>
      <c r="B111" s="7" t="str">
        <f t="shared" si="1"/>
        <v>2768-111</v>
      </c>
      <c r="C111" s="7">
        <f>VLOOKUP(B111,'CEBAS-DEWOOD code'!A$2:B$302,2,FALSE)</f>
        <v>324</v>
      </c>
      <c r="D111" s="7" t="str">
        <f>VLOOKUP(IONOMICS!C111,'Field Table'!A$2:E$661,3,FALSE)</f>
        <v>AA</v>
      </c>
      <c r="E111" s="7" t="str">
        <f>VLOOKUP(IONOMICS!C111,'Field Table'!A$2:E$661,4,FALSE)</f>
        <v>1</v>
      </c>
      <c r="F111" s="7" t="str">
        <f>VLOOKUP(IONOMICS!C111,'Field Table'!A$2:E$661,5,FALSE)</f>
        <v>25</v>
      </c>
      <c r="G111" s="11">
        <v>7.5870118845500842</v>
      </c>
      <c r="H111" s="12">
        <v>0.19100169779286927</v>
      </c>
      <c r="I111" s="12" t="s">
        <v>333</v>
      </c>
      <c r="J111" s="12" t="s">
        <v>333</v>
      </c>
      <c r="K111" s="12" t="s">
        <v>333</v>
      </c>
      <c r="L111" s="11">
        <v>8.516553480475382E-2</v>
      </c>
      <c r="M111" s="11">
        <v>0.350169779286927</v>
      </c>
      <c r="N111" s="12" t="s">
        <v>333</v>
      </c>
      <c r="O111" s="12">
        <v>3.183361629881154E-2</v>
      </c>
      <c r="P111" s="12">
        <v>1.3051782682512734</v>
      </c>
      <c r="Q111" s="12">
        <v>6.3561120543293717</v>
      </c>
      <c r="R111" s="12">
        <v>9.3877334465195236E-2</v>
      </c>
      <c r="S111" s="12" t="s">
        <v>333</v>
      </c>
      <c r="T111" s="12">
        <v>0.29711375212224106</v>
      </c>
      <c r="U111" s="12">
        <v>1.4887521222410867E-2</v>
      </c>
      <c r="V111" s="12">
        <v>37.744057724957557</v>
      </c>
      <c r="W111" s="12" t="s">
        <v>333</v>
      </c>
      <c r="X111" s="13" t="s">
        <v>333</v>
      </c>
      <c r="Y111" s="12">
        <v>0.93378607809847203</v>
      </c>
      <c r="Z111" s="12">
        <v>0.18039049235993207</v>
      </c>
      <c r="AA111" s="13">
        <v>1.2775891341256366E-3</v>
      </c>
      <c r="AB111" s="12">
        <v>1.9418505942275044</v>
      </c>
      <c r="AC111" s="12" t="s">
        <v>333</v>
      </c>
      <c r="AD111" s="12" t="s">
        <v>333</v>
      </c>
      <c r="AE111" s="12">
        <v>7.2050084889643466</v>
      </c>
      <c r="AF111" s="14">
        <v>6.021859083191851E-3</v>
      </c>
      <c r="AG111" s="12">
        <v>5.8255517826825116</v>
      </c>
      <c r="AH111" s="12">
        <v>0.89134125636672323</v>
      </c>
      <c r="AI111" s="12" t="s">
        <v>333</v>
      </c>
      <c r="AJ111" s="12" t="s">
        <v>333</v>
      </c>
      <c r="AK111" s="12">
        <v>7.5445670628183352</v>
      </c>
    </row>
    <row r="112" spans="1:37" x14ac:dyDescent="0.25">
      <c r="A112" s="7" t="s">
        <v>443</v>
      </c>
      <c r="B112" s="7" t="str">
        <f t="shared" si="1"/>
        <v>2768-112</v>
      </c>
      <c r="C112" s="7">
        <f>VLOOKUP(B112,'CEBAS-DEWOOD code'!A$2:B$302,2,FALSE)</f>
        <v>162</v>
      </c>
      <c r="D112" s="7" t="str">
        <f>VLOOKUP(IONOMICS!C112,'Field Table'!A$2:E$661,3,FALSE)</f>
        <v>FS</v>
      </c>
      <c r="E112" s="7" t="str">
        <f>VLOOKUP(IONOMICS!C112,'Field Table'!A$2:E$661,4,FALSE)</f>
        <v>2</v>
      </c>
      <c r="F112" s="7" t="str">
        <f>VLOOKUP(IONOMICS!C112,'Field Table'!A$2:E$661,5,FALSE)</f>
        <v>25</v>
      </c>
      <c r="G112" s="11">
        <v>14.595705801735951</v>
      </c>
      <c r="H112" s="12">
        <v>5.7103700319780723E-2</v>
      </c>
      <c r="I112" s="12" t="s">
        <v>333</v>
      </c>
      <c r="J112" s="12" t="s">
        <v>333</v>
      </c>
      <c r="K112" s="12" t="s">
        <v>333</v>
      </c>
      <c r="L112" s="11">
        <v>1.2734125171311099</v>
      </c>
      <c r="M112" s="11">
        <v>0.12562814070351758</v>
      </c>
      <c r="N112" s="12">
        <v>6.8524440383736854E-2</v>
      </c>
      <c r="O112" s="12">
        <v>0.27409776153494742</v>
      </c>
      <c r="P112" s="12">
        <v>2.2727272727272729</v>
      </c>
      <c r="Q112" s="12">
        <v>9.456372772955687</v>
      </c>
      <c r="R112" s="12">
        <v>0.18798538145271815</v>
      </c>
      <c r="S112" s="12" t="s">
        <v>333</v>
      </c>
      <c r="T112" s="12">
        <v>0.62814070351758788</v>
      </c>
      <c r="U112" s="12">
        <v>9.6710826861580626E-2</v>
      </c>
      <c r="V112" s="12">
        <v>138.53357697578804</v>
      </c>
      <c r="W112" s="12" t="s">
        <v>333</v>
      </c>
      <c r="X112" s="13">
        <v>1.2448606669712199E-4</v>
      </c>
      <c r="Y112" s="12">
        <v>0.49109182275011415</v>
      </c>
      <c r="Z112" s="12">
        <v>0.13704888076747371</v>
      </c>
      <c r="AA112" s="13">
        <v>1.6948378254910919E-2</v>
      </c>
      <c r="AB112" s="12">
        <v>4.4883508451347645</v>
      </c>
      <c r="AC112" s="12" t="s">
        <v>333</v>
      </c>
      <c r="AD112" s="12" t="s">
        <v>333</v>
      </c>
      <c r="AE112" s="12">
        <v>23.994974874371859</v>
      </c>
      <c r="AF112" s="14">
        <v>2.2772955687528549E-2</v>
      </c>
      <c r="AG112" s="12">
        <v>80.550479671082684</v>
      </c>
      <c r="AH112" s="12">
        <v>5.2878026496116943</v>
      </c>
      <c r="AI112" s="12">
        <v>4.5340338053905889</v>
      </c>
      <c r="AJ112" s="12" t="s">
        <v>333</v>
      </c>
      <c r="AK112" s="12">
        <v>3.1978072179077204</v>
      </c>
    </row>
    <row r="113" spans="1:37" x14ac:dyDescent="0.25">
      <c r="A113" s="7" t="s">
        <v>444</v>
      </c>
      <c r="B113" s="7" t="str">
        <f t="shared" si="1"/>
        <v>2768-113</v>
      </c>
      <c r="C113" s="7">
        <f>VLOOKUP(B113,'CEBAS-DEWOOD code'!A$2:B$302,2,FALSE)</f>
        <v>333</v>
      </c>
      <c r="D113" s="7" t="str">
        <f>VLOOKUP(IONOMICS!C113,'Field Table'!A$2:E$661,3,FALSE)</f>
        <v>AA</v>
      </c>
      <c r="E113" s="7" t="str">
        <f>VLOOKUP(IONOMICS!C113,'Field Table'!A$2:E$661,4,FALSE)</f>
        <v>2</v>
      </c>
      <c r="F113" s="7" t="str">
        <f>VLOOKUP(IONOMICS!C113,'Field Table'!A$2:E$661,5,FALSE)</f>
        <v>10</v>
      </c>
      <c r="G113" s="11">
        <v>12.164865946378551</v>
      </c>
      <c r="H113" s="12">
        <v>8.0032012805122052E-2</v>
      </c>
      <c r="I113" s="12" t="s">
        <v>333</v>
      </c>
      <c r="J113" s="12" t="s">
        <v>333</v>
      </c>
      <c r="K113" s="12" t="s">
        <v>333</v>
      </c>
      <c r="L113" s="11">
        <v>8.5674269707883152E-2</v>
      </c>
      <c r="M113" s="11">
        <v>0.22008803521408563</v>
      </c>
      <c r="N113" s="12" t="s">
        <v>333</v>
      </c>
      <c r="O113" s="12">
        <v>3.0012004801920764E-2</v>
      </c>
      <c r="P113" s="12">
        <v>1.3605442176870746</v>
      </c>
      <c r="Q113" s="12">
        <v>3.6214485794317728</v>
      </c>
      <c r="R113" s="12">
        <v>9.2827130852340928E-2</v>
      </c>
      <c r="S113" s="12" t="s">
        <v>333</v>
      </c>
      <c r="T113" s="12">
        <v>0.1600640256102441</v>
      </c>
      <c r="U113" s="12">
        <v>2.3219287715086034E-2</v>
      </c>
      <c r="V113" s="12">
        <v>40.46618647458984</v>
      </c>
      <c r="W113" s="12" t="s">
        <v>333</v>
      </c>
      <c r="X113" s="13" t="s">
        <v>333</v>
      </c>
      <c r="Y113" s="12">
        <v>0.350140056022409</v>
      </c>
      <c r="Z113" s="12">
        <v>1.1704681872749099</v>
      </c>
      <c r="AA113" s="13">
        <v>1.6966786714685874E-3</v>
      </c>
      <c r="AB113" s="12">
        <v>1.720688275310124</v>
      </c>
      <c r="AC113" s="12" t="s">
        <v>333</v>
      </c>
      <c r="AD113" s="12" t="s">
        <v>333</v>
      </c>
      <c r="AE113" s="12">
        <v>5.7222889155662262</v>
      </c>
      <c r="AF113" s="14">
        <v>7.1868747498999601E-3</v>
      </c>
      <c r="AG113" s="12">
        <v>4.6218487394957979</v>
      </c>
      <c r="AH113" s="12">
        <v>0.20008003201280514</v>
      </c>
      <c r="AI113" s="12" t="s">
        <v>333</v>
      </c>
      <c r="AJ113" s="12" t="s">
        <v>333</v>
      </c>
      <c r="AK113" s="12">
        <v>4.891956782713085</v>
      </c>
    </row>
    <row r="114" spans="1:37" x14ac:dyDescent="0.25">
      <c r="A114" s="7" t="s">
        <v>445</v>
      </c>
      <c r="B114" s="7" t="str">
        <f t="shared" si="1"/>
        <v>2768-114</v>
      </c>
      <c r="C114" s="7">
        <f>VLOOKUP(B114,'CEBAS-DEWOOD code'!A$2:B$302,2,FALSE)</f>
        <v>386</v>
      </c>
      <c r="D114" s="7" t="str">
        <f>VLOOKUP(IONOMICS!C114,'Field Table'!A$2:E$661,3,FALSE)</f>
        <v>AA</v>
      </c>
      <c r="E114" s="7" t="str">
        <f>VLOOKUP(IONOMICS!C114,'Field Table'!A$2:E$661,4,FALSE)</f>
        <v>2</v>
      </c>
      <c r="F114" s="7" t="str">
        <f>VLOOKUP(IONOMICS!C114,'Field Table'!A$2:E$661,5,FALSE)</f>
        <v>10</v>
      </c>
      <c r="G114" s="11">
        <v>7.1526195899772205</v>
      </c>
      <c r="H114" s="12">
        <v>0.23917995444191342</v>
      </c>
      <c r="I114" s="12" t="s">
        <v>333</v>
      </c>
      <c r="J114" s="12" t="s">
        <v>333</v>
      </c>
      <c r="K114" s="12" t="s">
        <v>333</v>
      </c>
      <c r="L114" s="11">
        <v>9.9692482915717542E-2</v>
      </c>
      <c r="M114" s="11">
        <v>0.17084282460136674</v>
      </c>
      <c r="N114" s="12">
        <v>2.2779043280182234E-2</v>
      </c>
      <c r="O114" s="12">
        <v>0.12528473804100229</v>
      </c>
      <c r="P114" s="12">
        <v>1.6173120728929387</v>
      </c>
      <c r="Q114" s="12">
        <v>3.2687927107061503</v>
      </c>
      <c r="R114" s="12">
        <v>0.10121867881548975</v>
      </c>
      <c r="S114" s="12" t="s">
        <v>333</v>
      </c>
      <c r="T114" s="12">
        <v>0.39863325740318911</v>
      </c>
      <c r="U114" s="12">
        <v>2.8929384965831438E-2</v>
      </c>
      <c r="V114" s="12">
        <v>39.965831435079721</v>
      </c>
      <c r="W114" s="12" t="s">
        <v>333</v>
      </c>
      <c r="X114" s="13" t="s">
        <v>333</v>
      </c>
      <c r="Y114" s="12">
        <v>0.2847380410022779</v>
      </c>
      <c r="Z114" s="12">
        <v>0.39863325740318911</v>
      </c>
      <c r="AA114" s="13">
        <v>1.4111617312072893E-3</v>
      </c>
      <c r="AB114" s="12">
        <v>2.0501138952164006</v>
      </c>
      <c r="AC114" s="12" t="s">
        <v>333</v>
      </c>
      <c r="AD114" s="12" t="s">
        <v>333</v>
      </c>
      <c r="AE114" s="12">
        <v>26.617312072892936</v>
      </c>
      <c r="AF114" s="14">
        <v>6.5296127562642367E-3</v>
      </c>
      <c r="AG114" s="12">
        <v>4.1571753986332576</v>
      </c>
      <c r="AH114" s="12">
        <v>0.60364464692482922</v>
      </c>
      <c r="AI114" s="12" t="s">
        <v>333</v>
      </c>
      <c r="AJ114" s="12" t="s">
        <v>333</v>
      </c>
      <c r="AK114" s="12">
        <v>5.8542141230068347</v>
      </c>
    </row>
    <row r="115" spans="1:37" x14ac:dyDescent="0.25">
      <c r="A115" s="7" t="s">
        <v>446</v>
      </c>
      <c r="B115" s="7" t="str">
        <f t="shared" si="1"/>
        <v>2768-115</v>
      </c>
      <c r="C115" s="7">
        <f>VLOOKUP(B115,'CEBAS-DEWOOD code'!A$2:B$302,2,FALSE)</f>
        <v>139</v>
      </c>
      <c r="D115" s="7" t="str">
        <f>VLOOKUP(IONOMICS!C115,'Field Table'!A$2:E$661,3,FALSE)</f>
        <v>FS</v>
      </c>
      <c r="E115" s="7" t="str">
        <f>VLOOKUP(IONOMICS!C115,'Field Table'!A$2:E$661,4,FALSE)</f>
        <v>4</v>
      </c>
      <c r="F115" s="7" t="str">
        <f>VLOOKUP(IONOMICS!C115,'Field Table'!A$2:E$661,5,FALSE)</f>
        <v>25</v>
      </c>
      <c r="G115" s="11">
        <v>5.1787086856264422</v>
      </c>
      <c r="H115" s="12" t="s">
        <v>333</v>
      </c>
      <c r="I115" s="12" t="s">
        <v>333</v>
      </c>
      <c r="J115" s="12" t="s">
        <v>333</v>
      </c>
      <c r="K115" s="12" t="s">
        <v>333</v>
      </c>
      <c r="L115" s="11">
        <v>0.23501152959262109</v>
      </c>
      <c r="M115" s="11">
        <v>3.8431975403535747E-2</v>
      </c>
      <c r="N115" s="12">
        <v>3.8431975403535747E-2</v>
      </c>
      <c r="O115" s="12">
        <v>0.10568793235972329</v>
      </c>
      <c r="P115" s="12">
        <v>1.2490392006149118</v>
      </c>
      <c r="Q115" s="12">
        <v>5.5726364335126837</v>
      </c>
      <c r="R115" s="12">
        <v>2.5980015372790165E-2</v>
      </c>
      <c r="S115" s="12" t="s">
        <v>333</v>
      </c>
      <c r="T115" s="12">
        <v>0.20176787086856265</v>
      </c>
      <c r="U115" s="12">
        <v>0.16151037663335896</v>
      </c>
      <c r="V115" s="12">
        <v>71.224058416602617</v>
      </c>
      <c r="W115" s="12" t="s">
        <v>333</v>
      </c>
      <c r="X115" s="13">
        <v>1.518063028439662E-4</v>
      </c>
      <c r="Y115" s="12">
        <v>0.69177555726364337</v>
      </c>
      <c r="Z115" s="12">
        <v>6.7255956956187551E-2</v>
      </c>
      <c r="AA115" s="13">
        <v>6.2240584166026137E-3</v>
      </c>
      <c r="AB115" s="12">
        <v>0.72059953881629524</v>
      </c>
      <c r="AC115" s="12" t="s">
        <v>333</v>
      </c>
      <c r="AD115" s="12" t="s">
        <v>333</v>
      </c>
      <c r="AE115" s="12">
        <v>22.963105303612604</v>
      </c>
      <c r="AF115" s="14">
        <v>1.1471944657955419E-2</v>
      </c>
      <c r="AG115" s="12">
        <v>17.121445042275173</v>
      </c>
      <c r="AH115" s="12">
        <v>0.93197540353574171</v>
      </c>
      <c r="AI115" s="12">
        <v>14.671406610299769</v>
      </c>
      <c r="AJ115" s="12" t="s">
        <v>333</v>
      </c>
      <c r="AK115" s="12">
        <v>1.4219830899308226</v>
      </c>
    </row>
    <row r="116" spans="1:37" x14ac:dyDescent="0.25">
      <c r="A116" s="7" t="s">
        <v>447</v>
      </c>
      <c r="B116" s="7" t="str">
        <f t="shared" si="1"/>
        <v>2768-116</v>
      </c>
      <c r="C116" s="7">
        <f>VLOOKUP(B116,'CEBAS-DEWOOD code'!A$2:B$302,2,FALSE)</f>
        <v>1020</v>
      </c>
      <c r="D116" s="7" t="str">
        <f>VLOOKUP(IONOMICS!C116,'Field Table'!A$2:E$661,3,FALSE)</f>
        <v>AA</v>
      </c>
      <c r="E116" s="7" t="str">
        <f>VLOOKUP(IONOMICS!C116,'Field Table'!A$2:E$661,4,FALSE)</f>
        <v>2</v>
      </c>
      <c r="F116" s="7" t="str">
        <f>VLOOKUP(IONOMICS!C116,'Field Table'!A$2:E$661,5,FALSE)</f>
        <v>01</v>
      </c>
      <c r="G116" s="11">
        <v>89.272685818513452</v>
      </c>
      <c r="H116" s="12" t="s">
        <v>333</v>
      </c>
      <c r="I116" s="12" t="s">
        <v>333</v>
      </c>
      <c r="J116" s="12" t="s">
        <v>333</v>
      </c>
      <c r="K116" s="12" t="s">
        <v>333</v>
      </c>
      <c r="L116" s="11">
        <v>0.17498860009119926</v>
      </c>
      <c r="M116" s="11">
        <v>0.49019607843137253</v>
      </c>
      <c r="N116" s="12">
        <v>2.2799817601459188E-2</v>
      </c>
      <c r="O116" s="12">
        <v>0.41039671682626538</v>
      </c>
      <c r="P116" s="12">
        <v>3.4541723666210675</v>
      </c>
      <c r="Q116" s="12">
        <v>20.132238942088463</v>
      </c>
      <c r="R116" s="12">
        <v>0.13064295485636115</v>
      </c>
      <c r="S116" s="12" t="s">
        <v>333</v>
      </c>
      <c r="T116" s="12">
        <v>0.20519835841313269</v>
      </c>
      <c r="U116" s="12">
        <v>3.0528955768353853E-2</v>
      </c>
      <c r="V116" s="12">
        <v>146.94482444140448</v>
      </c>
      <c r="W116" s="12" t="s">
        <v>333</v>
      </c>
      <c r="X116" s="13" t="s">
        <v>333</v>
      </c>
      <c r="Y116" s="12">
        <v>0.50159598723210219</v>
      </c>
      <c r="Z116" s="12">
        <v>0.51299589603283169</v>
      </c>
      <c r="AA116" s="13">
        <v>2.1488828089375286E-2</v>
      </c>
      <c r="AB116" s="12">
        <v>2.6903784769721844</v>
      </c>
      <c r="AC116" s="12" t="s">
        <v>333</v>
      </c>
      <c r="AD116" s="12" t="s">
        <v>333</v>
      </c>
      <c r="AE116" s="12">
        <v>39.557683538531691</v>
      </c>
      <c r="AF116" s="14">
        <v>1.6210670314637483E-2</v>
      </c>
      <c r="AG116" s="12">
        <v>8.5955312357501139</v>
      </c>
      <c r="AH116" s="12">
        <v>1.265389876880985</v>
      </c>
      <c r="AI116" s="12" t="s">
        <v>333</v>
      </c>
      <c r="AJ116" s="12" t="s">
        <v>333</v>
      </c>
      <c r="AK116" s="12">
        <v>16.108071135430919</v>
      </c>
    </row>
    <row r="117" spans="1:37" x14ac:dyDescent="0.25">
      <c r="A117" s="7" t="s">
        <v>448</v>
      </c>
      <c r="B117" s="7" t="str">
        <f t="shared" si="1"/>
        <v>2768-117</v>
      </c>
      <c r="C117" s="7">
        <f>VLOOKUP(B117,'CEBAS-DEWOOD code'!A$2:B$302,2,FALSE)</f>
        <v>1064</v>
      </c>
      <c r="D117" s="7" t="str">
        <f>VLOOKUP(IONOMICS!C117,'Field Table'!A$2:E$661,3,FALSE)</f>
        <v>FS</v>
      </c>
      <c r="E117" s="7" t="str">
        <f>VLOOKUP(IONOMICS!C117,'Field Table'!A$2:E$661,4,FALSE)</f>
        <v>1</v>
      </c>
      <c r="F117" s="7" t="str">
        <f>VLOOKUP(IONOMICS!C117,'Field Table'!A$2:E$661,5,FALSE)</f>
        <v>01</v>
      </c>
      <c r="G117" s="11">
        <v>10.127478753541077</v>
      </c>
      <c r="H117" s="12">
        <v>3.5410764872521247E-2</v>
      </c>
      <c r="I117" s="12" t="s">
        <v>333</v>
      </c>
      <c r="J117" s="12" t="s">
        <v>333</v>
      </c>
      <c r="K117" s="12" t="s">
        <v>333</v>
      </c>
      <c r="L117" s="11">
        <v>0.16581090651558075</v>
      </c>
      <c r="M117" s="11">
        <v>7.0821529745042494E-2</v>
      </c>
      <c r="N117" s="12">
        <v>8.8526912181303118E-3</v>
      </c>
      <c r="O117" s="12">
        <v>0.33640226628895187</v>
      </c>
      <c r="P117" s="12">
        <v>25.699362606232295</v>
      </c>
      <c r="Q117" s="12">
        <v>13.031161473087819</v>
      </c>
      <c r="R117" s="12">
        <v>8.5809135977337123E-2</v>
      </c>
      <c r="S117" s="12" t="s">
        <v>333</v>
      </c>
      <c r="T117" s="12">
        <v>0.12393767705382436</v>
      </c>
      <c r="U117" s="12">
        <v>1.5368271954674223E-2</v>
      </c>
      <c r="V117" s="12">
        <v>73.565864022662893</v>
      </c>
      <c r="W117" s="12" t="s">
        <v>333</v>
      </c>
      <c r="X117" s="13">
        <v>1.2048512747875354E-3</v>
      </c>
      <c r="Y117" s="12">
        <v>1.0092067988668556</v>
      </c>
      <c r="Z117" s="12">
        <v>0.62854107648725221</v>
      </c>
      <c r="AA117" s="13">
        <v>1.5952549575070824E-2</v>
      </c>
      <c r="AB117" s="12">
        <v>2.2308781869688388</v>
      </c>
      <c r="AC117" s="12" t="s">
        <v>333</v>
      </c>
      <c r="AD117" s="12" t="s">
        <v>333</v>
      </c>
      <c r="AE117" s="12">
        <v>351.62889518413601</v>
      </c>
      <c r="AF117" s="14">
        <v>1.6873229461756376E-2</v>
      </c>
      <c r="AG117" s="12">
        <v>11.251770538243626</v>
      </c>
      <c r="AH117" s="12">
        <v>1.0180594900849858</v>
      </c>
      <c r="AI117" s="12" t="s">
        <v>333</v>
      </c>
      <c r="AJ117" s="12" t="s">
        <v>333</v>
      </c>
      <c r="AK117" s="12">
        <v>4.7804532577903691</v>
      </c>
    </row>
    <row r="118" spans="1:37" x14ac:dyDescent="0.25">
      <c r="A118" s="7" t="s">
        <v>449</v>
      </c>
      <c r="B118" s="7" t="str">
        <f t="shared" si="1"/>
        <v>2768-118</v>
      </c>
      <c r="C118" s="7">
        <f>VLOOKUP(B118,'CEBAS-DEWOOD code'!A$2:B$302,2,FALSE)</f>
        <v>163</v>
      </c>
      <c r="D118" s="7" t="str">
        <f>VLOOKUP(IONOMICS!C118,'Field Table'!A$2:E$661,3,FALSE)</f>
        <v>FS</v>
      </c>
      <c r="E118" s="7" t="str">
        <f>VLOOKUP(IONOMICS!C118,'Field Table'!A$2:E$661,4,FALSE)</f>
        <v>4</v>
      </c>
      <c r="F118" s="7" t="str">
        <f>VLOOKUP(IONOMICS!C118,'Field Table'!A$2:E$661,5,FALSE)</f>
        <v>25</v>
      </c>
      <c r="G118" s="11">
        <v>9.4950738916256157</v>
      </c>
      <c r="H118" s="12">
        <v>9.852216748768472E-2</v>
      </c>
      <c r="I118" s="12" t="s">
        <v>333</v>
      </c>
      <c r="J118" s="12" t="s">
        <v>333</v>
      </c>
      <c r="K118" s="12" t="s">
        <v>333</v>
      </c>
      <c r="L118" s="11">
        <v>0.30935960591133005</v>
      </c>
      <c r="M118" s="11">
        <v>4.926108374384236E-2</v>
      </c>
      <c r="N118" s="12">
        <v>3.694581280788177E-2</v>
      </c>
      <c r="O118" s="12">
        <v>0.30788177339901474</v>
      </c>
      <c r="P118" s="12">
        <v>1.3177339901477829</v>
      </c>
      <c r="Q118" s="12">
        <v>9.5320197044334964</v>
      </c>
      <c r="R118" s="12">
        <v>5.3682266009852216E-2</v>
      </c>
      <c r="S118" s="12" t="s">
        <v>333</v>
      </c>
      <c r="T118" s="12">
        <v>0.30788177339901474</v>
      </c>
      <c r="U118" s="12">
        <v>0.16096059113300493</v>
      </c>
      <c r="V118" s="12">
        <v>104.19950738916255</v>
      </c>
      <c r="W118" s="12" t="s">
        <v>333</v>
      </c>
      <c r="X118" s="13">
        <v>3.6330049261083742E-4</v>
      </c>
      <c r="Y118" s="12">
        <v>0.52955665024630538</v>
      </c>
      <c r="Z118" s="12">
        <v>0.12315270935960591</v>
      </c>
      <c r="AA118" s="13">
        <v>2.2364532019704435E-2</v>
      </c>
      <c r="AB118" s="12">
        <v>1.083743842364532</v>
      </c>
      <c r="AC118" s="12" t="s">
        <v>333</v>
      </c>
      <c r="AD118" s="12" t="s">
        <v>333</v>
      </c>
      <c r="AE118" s="12">
        <v>39.051724137931032</v>
      </c>
      <c r="AF118" s="14">
        <v>1.4211822660098522E-2</v>
      </c>
      <c r="AG118" s="12">
        <v>20.172413793103445</v>
      </c>
      <c r="AH118" s="12">
        <v>1.2807881773399015</v>
      </c>
      <c r="AI118" s="12">
        <v>12.709359605911329</v>
      </c>
      <c r="AJ118" s="12" t="s">
        <v>333</v>
      </c>
      <c r="AK118" s="12">
        <v>2.4014778325123149</v>
      </c>
    </row>
    <row r="119" spans="1:37" x14ac:dyDescent="0.25">
      <c r="A119" s="7" t="s">
        <v>450</v>
      </c>
      <c r="B119" s="7" t="str">
        <f t="shared" si="1"/>
        <v>2768-119</v>
      </c>
      <c r="C119" s="7">
        <f>VLOOKUP(B119,'CEBAS-DEWOOD code'!A$2:B$302,2,FALSE)</f>
        <v>161</v>
      </c>
      <c r="D119" s="7" t="str">
        <f>VLOOKUP(IONOMICS!C119,'Field Table'!A$2:E$661,3,FALSE)</f>
        <v>FS</v>
      </c>
      <c r="E119" s="7" t="str">
        <f>VLOOKUP(IONOMICS!C119,'Field Table'!A$2:E$661,4,FALSE)</f>
        <v>1</v>
      </c>
      <c r="F119" s="7" t="str">
        <f>VLOOKUP(IONOMICS!C119,'Field Table'!A$2:E$661,5,FALSE)</f>
        <v>25</v>
      </c>
      <c r="G119" s="11">
        <v>4.6312364425162693</v>
      </c>
      <c r="H119" s="12">
        <v>0.23861171366594358</v>
      </c>
      <c r="I119" s="12" t="s">
        <v>333</v>
      </c>
      <c r="J119" s="12" t="s">
        <v>333</v>
      </c>
      <c r="K119" s="12" t="s">
        <v>333</v>
      </c>
      <c r="L119" s="11">
        <v>0.11995661605206073</v>
      </c>
      <c r="M119" s="11">
        <v>5.4229934924078092E-2</v>
      </c>
      <c r="N119" s="12">
        <v>4.3383947939262472E-2</v>
      </c>
      <c r="O119" s="12">
        <v>1.0845986984815618E-2</v>
      </c>
      <c r="P119" s="12">
        <v>0.95444685466377432</v>
      </c>
      <c r="Q119" s="12">
        <v>7.5162689804772231</v>
      </c>
      <c r="R119" s="12">
        <v>5.4002169197396963E-2</v>
      </c>
      <c r="S119" s="12" t="s">
        <v>333</v>
      </c>
      <c r="T119" s="12">
        <v>0.29284164859002171</v>
      </c>
      <c r="U119" s="12">
        <v>1.4121475054229934E-2</v>
      </c>
      <c r="V119" s="12">
        <v>39.175704989154013</v>
      </c>
      <c r="W119" s="12" t="s">
        <v>333</v>
      </c>
      <c r="X119" s="13" t="s">
        <v>333</v>
      </c>
      <c r="Y119" s="12">
        <v>0.62906724511930578</v>
      </c>
      <c r="Z119" s="12">
        <v>0.15184381778741862</v>
      </c>
      <c r="AA119" s="13">
        <v>3.3980477223427333E-3</v>
      </c>
      <c r="AB119" s="12">
        <v>2.2668112798264639</v>
      </c>
      <c r="AC119" s="12" t="s">
        <v>333</v>
      </c>
      <c r="AD119" s="12" t="s">
        <v>333</v>
      </c>
      <c r="AE119" s="12">
        <v>9.4143167028199564</v>
      </c>
      <c r="AF119" s="14">
        <v>9.010845986984815E-3</v>
      </c>
      <c r="AG119" s="12">
        <v>7.2342733188720167</v>
      </c>
      <c r="AH119" s="12">
        <v>1.0086767895878523</v>
      </c>
      <c r="AI119" s="12" t="s">
        <v>333</v>
      </c>
      <c r="AJ119" s="12" t="s">
        <v>333</v>
      </c>
      <c r="AK119" s="12">
        <v>3.8069414316702814</v>
      </c>
    </row>
    <row r="120" spans="1:37" x14ac:dyDescent="0.25">
      <c r="A120" s="7" t="s">
        <v>451</v>
      </c>
      <c r="B120" s="7" t="str">
        <f t="shared" si="1"/>
        <v>2768-120</v>
      </c>
      <c r="C120" s="7">
        <f>VLOOKUP(B120,'CEBAS-DEWOOD code'!A$2:B$302,2,FALSE)</f>
        <v>330</v>
      </c>
      <c r="D120" s="7" t="str">
        <f>VLOOKUP(IONOMICS!C120,'Field Table'!A$2:E$661,3,FALSE)</f>
        <v>AA</v>
      </c>
      <c r="E120" s="7" t="str">
        <f>VLOOKUP(IONOMICS!C120,'Field Table'!A$2:E$661,4,FALSE)</f>
        <v>1</v>
      </c>
      <c r="F120" s="7" t="str">
        <f>VLOOKUP(IONOMICS!C120,'Field Table'!A$2:E$661,5,FALSE)</f>
        <v>10</v>
      </c>
      <c r="G120" s="11">
        <v>3.6194191590810578</v>
      </c>
      <c r="H120" s="12">
        <v>0.17338534893801474</v>
      </c>
      <c r="I120" s="12" t="s">
        <v>333</v>
      </c>
      <c r="J120" s="12" t="s">
        <v>333</v>
      </c>
      <c r="K120" s="12" t="s">
        <v>333</v>
      </c>
      <c r="L120" s="11">
        <v>4.3508885999133072E-2</v>
      </c>
      <c r="M120" s="11">
        <v>0.14087559601213698</v>
      </c>
      <c r="N120" s="12" t="s">
        <v>333</v>
      </c>
      <c r="O120" s="12">
        <v>0.10836584308625923</v>
      </c>
      <c r="P120" s="12">
        <v>1.2136974425661031</v>
      </c>
      <c r="Q120" s="12">
        <v>1.5279583875162548</v>
      </c>
      <c r="R120" s="12">
        <v>9.7550931946250544E-2</v>
      </c>
      <c r="S120" s="12" t="s">
        <v>333</v>
      </c>
      <c r="T120" s="12">
        <v>0.21673168617251845</v>
      </c>
      <c r="U120" s="12">
        <v>9.8157780667533605E-3</v>
      </c>
      <c r="V120" s="12">
        <v>34.547030775899437</v>
      </c>
      <c r="W120" s="12" t="s">
        <v>333</v>
      </c>
      <c r="X120" s="13" t="s">
        <v>333</v>
      </c>
      <c r="Y120" s="12" t="s">
        <v>333</v>
      </c>
      <c r="Z120" s="12">
        <v>0.32509752925877766</v>
      </c>
      <c r="AA120" s="13">
        <v>1.0847420892934547E-3</v>
      </c>
      <c r="AB120" s="12">
        <v>1.7013437364542696</v>
      </c>
      <c r="AC120" s="12" t="s">
        <v>333</v>
      </c>
      <c r="AD120" s="12" t="s">
        <v>333</v>
      </c>
      <c r="AE120" s="12">
        <v>3.6844386649328138</v>
      </c>
      <c r="AF120" s="14">
        <v>5.0791070654529697E-3</v>
      </c>
      <c r="AG120" s="12">
        <v>2.8608582574772434</v>
      </c>
      <c r="AH120" s="12">
        <v>0.17338534893801474</v>
      </c>
      <c r="AI120" s="12" t="s">
        <v>333</v>
      </c>
      <c r="AJ120" s="12" t="s">
        <v>333</v>
      </c>
      <c r="AK120" s="12">
        <v>5.407455570004335</v>
      </c>
    </row>
    <row r="121" spans="1:37" x14ac:dyDescent="0.25">
      <c r="A121" s="7" t="s">
        <v>452</v>
      </c>
      <c r="B121" s="7" t="str">
        <f t="shared" si="1"/>
        <v>2768-121</v>
      </c>
      <c r="C121" s="7">
        <f>VLOOKUP(B121,'CEBAS-DEWOOD code'!A$2:B$302,2,FALSE)</f>
        <v>147</v>
      </c>
      <c r="D121" s="7" t="str">
        <f>VLOOKUP(IONOMICS!C121,'Field Table'!A$2:E$661,3,FALSE)</f>
        <v>AA</v>
      </c>
      <c r="E121" s="7" t="str">
        <f>VLOOKUP(IONOMICS!C121,'Field Table'!A$2:E$661,4,FALSE)</f>
        <v>2</v>
      </c>
      <c r="F121" s="7" t="str">
        <f>VLOOKUP(IONOMICS!C121,'Field Table'!A$2:E$661,5,FALSE)</f>
        <v>25</v>
      </c>
      <c r="G121" s="11">
        <v>38.458720078163168</v>
      </c>
      <c r="H121" s="12">
        <v>0.12212994626282365</v>
      </c>
      <c r="I121" s="12" t="s">
        <v>333</v>
      </c>
      <c r="J121" s="12" t="s">
        <v>333</v>
      </c>
      <c r="K121" s="12" t="s">
        <v>333</v>
      </c>
      <c r="L121" s="11">
        <v>6.5315095261358092E-2</v>
      </c>
      <c r="M121" s="11">
        <v>4.8851978505129463E-2</v>
      </c>
      <c r="N121" s="12" t="s">
        <v>333</v>
      </c>
      <c r="O121" s="12">
        <v>0.76941866145578897</v>
      </c>
      <c r="P121" s="12">
        <v>1.074743527112848</v>
      </c>
      <c r="Q121" s="12">
        <v>48.693209574987783</v>
      </c>
      <c r="R121" s="12">
        <v>5.5715681485100151E-2</v>
      </c>
      <c r="S121" s="12" t="s">
        <v>333</v>
      </c>
      <c r="T121" s="12">
        <v>0.23204689789936495</v>
      </c>
      <c r="U121" s="12">
        <v>1.709819247679531E-2</v>
      </c>
      <c r="V121" s="12">
        <v>28.46849047386419</v>
      </c>
      <c r="W121" s="12" t="s">
        <v>333</v>
      </c>
      <c r="X121" s="13">
        <v>7.1079628724963367E-4</v>
      </c>
      <c r="Y121" s="12">
        <v>0.14655593551538837</v>
      </c>
      <c r="Z121" s="12">
        <v>0.29311187103077674</v>
      </c>
      <c r="AA121" s="13">
        <v>1.5290669272105522E-3</v>
      </c>
      <c r="AB121" s="12">
        <v>0.84269662921348309</v>
      </c>
      <c r="AC121" s="12" t="s">
        <v>333</v>
      </c>
      <c r="AD121" s="12" t="s">
        <v>333</v>
      </c>
      <c r="AE121" s="12">
        <v>73.680996580361509</v>
      </c>
      <c r="AF121" s="14">
        <v>5.3382999511480218E-3</v>
      </c>
      <c r="AG121" s="12">
        <v>5.3492916463116753</v>
      </c>
      <c r="AH121" s="12">
        <v>6.6560820713238886</v>
      </c>
      <c r="AI121" s="12" t="s">
        <v>333</v>
      </c>
      <c r="AJ121" s="12" t="s">
        <v>333</v>
      </c>
      <c r="AK121" s="12">
        <v>5.3981436248168055</v>
      </c>
    </row>
    <row r="122" spans="1:37" x14ac:dyDescent="0.25">
      <c r="A122" s="7" t="s">
        <v>453</v>
      </c>
      <c r="B122" s="7" t="str">
        <f t="shared" si="1"/>
        <v>2768-122</v>
      </c>
      <c r="C122" s="7">
        <f>VLOOKUP(B122,'CEBAS-DEWOOD code'!A$2:B$302,2,FALSE)</f>
        <v>354</v>
      </c>
      <c r="D122" s="7" t="str">
        <f>VLOOKUP(IONOMICS!C122,'Field Table'!A$2:E$661,3,FALSE)</f>
        <v>FS</v>
      </c>
      <c r="E122" s="7" t="str">
        <f>VLOOKUP(IONOMICS!C122,'Field Table'!A$2:E$661,4,FALSE)</f>
        <v>1</v>
      </c>
      <c r="F122" s="7" t="str">
        <f>VLOOKUP(IONOMICS!C122,'Field Table'!A$2:E$661,5,FALSE)</f>
        <v>10</v>
      </c>
      <c r="G122" s="11">
        <v>4.6267190569744594</v>
      </c>
      <c r="H122" s="12">
        <v>9.8231827111984291E-2</v>
      </c>
      <c r="I122" s="12" t="s">
        <v>333</v>
      </c>
      <c r="J122" s="12" t="s">
        <v>333</v>
      </c>
      <c r="K122" s="12" t="s">
        <v>333</v>
      </c>
      <c r="L122" s="11">
        <v>0.13487229862475442</v>
      </c>
      <c r="M122" s="11">
        <v>0.21611001964636542</v>
      </c>
      <c r="N122" s="12">
        <v>5.8939096267190565E-2</v>
      </c>
      <c r="O122" s="12">
        <v>0.15717092337917485</v>
      </c>
      <c r="P122" s="12">
        <v>1.3163064833005895</v>
      </c>
      <c r="Q122" s="12">
        <v>11.198428290766209</v>
      </c>
      <c r="R122" s="12">
        <v>0.12406679764243617</v>
      </c>
      <c r="S122" s="12" t="s">
        <v>333</v>
      </c>
      <c r="T122" s="12">
        <v>0.22593320235756384</v>
      </c>
      <c r="U122" s="12">
        <v>3.3585461689587426E-2</v>
      </c>
      <c r="V122" s="12">
        <v>195.97249508840864</v>
      </c>
      <c r="W122" s="12" t="s">
        <v>333</v>
      </c>
      <c r="X122" s="13">
        <v>2.7603143418467583E-4</v>
      </c>
      <c r="Y122" s="12">
        <v>2.3477406679764243</v>
      </c>
      <c r="Z122" s="12">
        <v>0.13752455795677798</v>
      </c>
      <c r="AA122" s="13">
        <v>9.2396856581532412E-3</v>
      </c>
      <c r="AB122" s="12">
        <v>4.0373280943025538</v>
      </c>
      <c r="AC122" s="12" t="s">
        <v>333</v>
      </c>
      <c r="AD122" s="12" t="s">
        <v>333</v>
      </c>
      <c r="AE122" s="12">
        <v>22.829076620825145</v>
      </c>
      <c r="AF122" s="14">
        <v>1.306483300589391E-2</v>
      </c>
      <c r="AG122" s="12">
        <v>8.3005893909626725</v>
      </c>
      <c r="AH122" s="12">
        <v>0.4420432220039292</v>
      </c>
      <c r="AI122" s="12" t="s">
        <v>333</v>
      </c>
      <c r="AJ122" s="12" t="s">
        <v>333</v>
      </c>
      <c r="AK122" s="12">
        <v>7.6031434184675826</v>
      </c>
    </row>
    <row r="123" spans="1:37" x14ac:dyDescent="0.25">
      <c r="A123" s="7" t="s">
        <v>454</v>
      </c>
      <c r="B123" s="7" t="str">
        <f t="shared" si="1"/>
        <v>2768-123</v>
      </c>
      <c r="C123" s="7">
        <f>VLOOKUP(B123,'CEBAS-DEWOOD code'!A$2:B$302,2,FALSE)</f>
        <v>332</v>
      </c>
      <c r="D123" s="7" t="str">
        <f>VLOOKUP(IONOMICS!C123,'Field Table'!A$2:E$661,3,FALSE)</f>
        <v>AA</v>
      </c>
      <c r="E123" s="7" t="str">
        <f>VLOOKUP(IONOMICS!C123,'Field Table'!A$2:E$661,4,FALSE)</f>
        <v>2</v>
      </c>
      <c r="F123" s="7" t="str">
        <f>VLOOKUP(IONOMICS!C123,'Field Table'!A$2:E$661,5,FALSE)</f>
        <v>10</v>
      </c>
      <c r="G123" s="11">
        <v>6.5614617940199338</v>
      </c>
      <c r="H123" s="12" t="s">
        <v>333</v>
      </c>
      <c r="I123" s="12" t="s">
        <v>333</v>
      </c>
      <c r="J123" s="12" t="s">
        <v>333</v>
      </c>
      <c r="K123" s="12" t="s">
        <v>333</v>
      </c>
      <c r="L123" s="11">
        <v>6.4389534883720928E-2</v>
      </c>
      <c r="M123" s="11">
        <v>0.14534883720930231</v>
      </c>
      <c r="N123" s="12" t="s">
        <v>333</v>
      </c>
      <c r="O123" s="12">
        <v>0.10382059800664453</v>
      </c>
      <c r="P123" s="12">
        <v>0.99667774086378735</v>
      </c>
      <c r="Q123" s="12">
        <v>2.5539867109634553</v>
      </c>
      <c r="R123" s="12">
        <v>7.1791943521594695E-2</v>
      </c>
      <c r="S123" s="12" t="s">
        <v>333</v>
      </c>
      <c r="T123" s="12">
        <v>9.3438538205980068E-2</v>
      </c>
      <c r="U123" s="12">
        <v>1.5936461794019932E-2</v>
      </c>
      <c r="V123" s="12">
        <v>28.394933554817278</v>
      </c>
      <c r="W123" s="12" t="s">
        <v>333</v>
      </c>
      <c r="X123" s="13" t="s">
        <v>333</v>
      </c>
      <c r="Y123" s="12" t="s">
        <v>333</v>
      </c>
      <c r="Z123" s="12">
        <v>0.66445182724252494</v>
      </c>
      <c r="AA123" s="13">
        <v>1.3766611295681064E-3</v>
      </c>
      <c r="AB123" s="12">
        <v>1.3704318936877078</v>
      </c>
      <c r="AC123" s="12" t="s">
        <v>333</v>
      </c>
      <c r="AD123" s="12" t="s">
        <v>333</v>
      </c>
      <c r="AE123" s="12">
        <v>4.0697674418604652</v>
      </c>
      <c r="AF123" s="14">
        <v>5.2200996677740866E-3</v>
      </c>
      <c r="AG123" s="12">
        <v>3.8309800664451834</v>
      </c>
      <c r="AH123" s="12">
        <v>0.41528239202657813</v>
      </c>
      <c r="AI123" s="12" t="s">
        <v>333</v>
      </c>
      <c r="AJ123" s="12" t="s">
        <v>333</v>
      </c>
      <c r="AK123" s="12">
        <v>4.2151162790697674</v>
      </c>
    </row>
    <row r="124" spans="1:37" x14ac:dyDescent="0.25">
      <c r="A124" s="7" t="s">
        <v>455</v>
      </c>
      <c r="B124" s="7" t="str">
        <f t="shared" si="1"/>
        <v>2768-124</v>
      </c>
      <c r="C124" s="7">
        <f>VLOOKUP(B124,'CEBAS-DEWOOD code'!A$2:B$302,2,FALSE)</f>
        <v>1075</v>
      </c>
      <c r="D124" s="7" t="str">
        <f>VLOOKUP(IONOMICS!C124,'Field Table'!A$2:E$661,3,FALSE)</f>
        <v>AA</v>
      </c>
      <c r="E124" s="7" t="str">
        <f>VLOOKUP(IONOMICS!C124,'Field Table'!A$2:E$661,4,FALSE)</f>
        <v>4</v>
      </c>
      <c r="F124" s="7" t="str">
        <f>VLOOKUP(IONOMICS!C124,'Field Table'!A$2:E$661,5,FALSE)</f>
        <v>01</v>
      </c>
      <c r="G124" s="11">
        <v>112.58949880668257</v>
      </c>
      <c r="H124" s="12" t="s">
        <v>333</v>
      </c>
      <c r="I124" s="12" t="s">
        <v>333</v>
      </c>
      <c r="J124" s="12" t="s">
        <v>333</v>
      </c>
      <c r="K124" s="12" t="s">
        <v>333</v>
      </c>
      <c r="L124" s="11">
        <v>0.30107398568019095</v>
      </c>
      <c r="M124" s="11">
        <v>0.53699284009546533</v>
      </c>
      <c r="N124" s="12" t="s">
        <v>333</v>
      </c>
      <c r="O124" s="12">
        <v>0.65632458233890212</v>
      </c>
      <c r="P124" s="12">
        <v>3.639618138424821</v>
      </c>
      <c r="Q124" s="12">
        <v>60.226730310262539</v>
      </c>
      <c r="R124" s="12">
        <v>6.1026252983293556E-3</v>
      </c>
      <c r="S124" s="12" t="s">
        <v>333</v>
      </c>
      <c r="T124" s="12">
        <v>0.22673031026252985</v>
      </c>
      <c r="U124" s="12">
        <v>1.7840095465393797E-2</v>
      </c>
      <c r="V124" s="12">
        <v>73.186157517899758</v>
      </c>
      <c r="W124" s="12" t="s">
        <v>333</v>
      </c>
      <c r="X124" s="13">
        <v>1.288782816229117E-4</v>
      </c>
      <c r="Y124" s="12">
        <v>0.56085918854415284</v>
      </c>
      <c r="Z124" s="12">
        <v>5.1193317422434372</v>
      </c>
      <c r="AA124" s="13">
        <v>8.7458233890214798E-3</v>
      </c>
      <c r="AB124" s="12">
        <v>0.56085918854415284</v>
      </c>
      <c r="AC124" s="12" t="s">
        <v>333</v>
      </c>
      <c r="AD124" s="12" t="s">
        <v>333</v>
      </c>
      <c r="AE124" s="12">
        <v>117.79236276849642</v>
      </c>
      <c r="AF124" s="14">
        <v>2.1980906921241054E-2</v>
      </c>
      <c r="AG124" s="12">
        <v>13.937947494033413</v>
      </c>
      <c r="AH124" s="12">
        <v>3.4367541766109784</v>
      </c>
      <c r="AI124" s="12" t="s">
        <v>333</v>
      </c>
      <c r="AJ124" s="12" t="s">
        <v>333</v>
      </c>
      <c r="AK124" s="12">
        <v>22.207637231503579</v>
      </c>
    </row>
    <row r="125" spans="1:37" x14ac:dyDescent="0.25">
      <c r="A125" s="7" t="s">
        <v>456</v>
      </c>
      <c r="B125" s="7" t="str">
        <f t="shared" si="1"/>
        <v>2768-125</v>
      </c>
      <c r="C125" s="7">
        <f>VLOOKUP(B125,'CEBAS-DEWOOD code'!A$2:B$302,2,FALSE)</f>
        <v>377</v>
      </c>
      <c r="D125" s="7" t="str">
        <f>VLOOKUP(IONOMICS!C125,'Field Table'!A$2:E$661,3,FALSE)</f>
        <v>FS</v>
      </c>
      <c r="E125" s="7" t="str">
        <f>VLOOKUP(IONOMICS!C125,'Field Table'!A$2:E$661,4,FALSE)</f>
        <v>4</v>
      </c>
      <c r="F125" s="7" t="str">
        <f>VLOOKUP(IONOMICS!C125,'Field Table'!A$2:E$661,5,FALSE)</f>
        <v>10</v>
      </c>
      <c r="G125" s="11">
        <v>9.594140249759846</v>
      </c>
      <c r="H125" s="12" t="s">
        <v>333</v>
      </c>
      <c r="I125" s="12" t="s">
        <v>333</v>
      </c>
      <c r="J125" s="12" t="s">
        <v>333</v>
      </c>
      <c r="K125" s="12" t="s">
        <v>333</v>
      </c>
      <c r="L125" s="11">
        <v>0.10559558117195006</v>
      </c>
      <c r="M125" s="11">
        <v>4.8030739673390971E-2</v>
      </c>
      <c r="N125" s="12" t="s">
        <v>333</v>
      </c>
      <c r="O125" s="12">
        <v>9.6061479346781942E-2</v>
      </c>
      <c r="P125" s="12">
        <v>2.425552353506244</v>
      </c>
      <c r="Q125" s="12">
        <v>7.8650336215177727</v>
      </c>
      <c r="R125" s="12">
        <v>-1.2259846301633046E-3</v>
      </c>
      <c r="S125" s="12" t="s">
        <v>333</v>
      </c>
      <c r="T125" s="12">
        <v>0.15609990393852066</v>
      </c>
      <c r="U125" s="12">
        <v>1.4133045148895294E-2</v>
      </c>
      <c r="V125" s="12">
        <v>37.800192122958698</v>
      </c>
      <c r="W125" s="12" t="s">
        <v>333</v>
      </c>
      <c r="X125" s="13">
        <v>8.8496637848222868E-4</v>
      </c>
      <c r="Y125" s="12">
        <v>0.40826128722382321</v>
      </c>
      <c r="Z125" s="12">
        <v>0.14409221902017291</v>
      </c>
      <c r="AA125" s="13">
        <v>3.1940441882804997E-3</v>
      </c>
      <c r="AB125" s="12">
        <v>0.45629202689721421</v>
      </c>
      <c r="AC125" s="12" t="s">
        <v>333</v>
      </c>
      <c r="AD125" s="12" t="s">
        <v>333</v>
      </c>
      <c r="AE125" s="12">
        <v>20.100864553314121</v>
      </c>
      <c r="AF125" s="14">
        <v>1.050792507204611E-2</v>
      </c>
      <c r="AG125" s="12">
        <v>9.9063400576368874</v>
      </c>
      <c r="AH125" s="12">
        <v>1.308837656099904</v>
      </c>
      <c r="AI125" s="12" t="s">
        <v>333</v>
      </c>
      <c r="AJ125" s="12" t="s">
        <v>333</v>
      </c>
      <c r="AK125" s="12">
        <v>2.6777137367915467</v>
      </c>
    </row>
    <row r="126" spans="1:37" x14ac:dyDescent="0.25">
      <c r="A126" s="7" t="s">
        <v>457</v>
      </c>
      <c r="B126" s="7" t="str">
        <f t="shared" si="1"/>
        <v>2768-126</v>
      </c>
      <c r="C126" s="7">
        <f>VLOOKUP(B126,'CEBAS-DEWOOD code'!A$2:B$302,2,FALSE)</f>
        <v>131</v>
      </c>
      <c r="D126" s="7" t="str">
        <f>VLOOKUP(IONOMICS!C126,'Field Table'!A$2:E$661,3,FALSE)</f>
        <v>FS</v>
      </c>
      <c r="E126" s="7" t="str">
        <f>VLOOKUP(IONOMICS!C126,'Field Table'!A$2:E$661,4,FALSE)</f>
        <v>2</v>
      </c>
      <c r="F126" s="7" t="str">
        <f>VLOOKUP(IONOMICS!C126,'Field Table'!A$2:E$661,5,FALSE)</f>
        <v>10</v>
      </c>
      <c r="G126" s="11">
        <v>2.1099744245524299</v>
      </c>
      <c r="H126" s="12" t="s">
        <v>333</v>
      </c>
      <c r="I126" s="12" t="s">
        <v>333</v>
      </c>
      <c r="J126" s="12" t="s">
        <v>333</v>
      </c>
      <c r="K126" s="12" t="s">
        <v>333</v>
      </c>
      <c r="L126" s="11">
        <v>0.10001065643648764</v>
      </c>
      <c r="M126" s="11">
        <v>9.5907928388746802E-2</v>
      </c>
      <c r="N126" s="12">
        <v>6.3938618925831192E-2</v>
      </c>
      <c r="O126" s="12">
        <v>8.525149190110827E-2</v>
      </c>
      <c r="P126" s="12">
        <v>1.0869565217391304</v>
      </c>
      <c r="Q126" s="12">
        <v>5.7225063938618925</v>
      </c>
      <c r="R126" s="12">
        <v>0.20620204603580564</v>
      </c>
      <c r="S126" s="12" t="s">
        <v>333</v>
      </c>
      <c r="T126" s="12">
        <v>0.2131287297527707</v>
      </c>
      <c r="U126" s="12">
        <v>6.1508951406649616E-2</v>
      </c>
      <c r="V126" s="12">
        <v>94.543904518329072</v>
      </c>
      <c r="W126" s="12" t="s">
        <v>333</v>
      </c>
      <c r="X126" s="13" t="s">
        <v>333</v>
      </c>
      <c r="Y126" s="12">
        <v>2.0673486786018755</v>
      </c>
      <c r="Z126" s="12">
        <v>0.11722080136402387</v>
      </c>
      <c r="AA126" s="13">
        <v>6.0794970161977832E-3</v>
      </c>
      <c r="AB126" s="12">
        <v>4.2945439045183296</v>
      </c>
      <c r="AC126" s="12" t="s">
        <v>333</v>
      </c>
      <c r="AD126" s="12" t="s">
        <v>333</v>
      </c>
      <c r="AE126" s="12">
        <v>12.35080988917306</v>
      </c>
      <c r="AF126" s="14">
        <v>1.1945865302642796E-2</v>
      </c>
      <c r="AG126" s="12">
        <v>8.6210571184995732</v>
      </c>
      <c r="AH126" s="12">
        <v>0.30903665814151743</v>
      </c>
      <c r="AI126" s="12" t="s">
        <v>333</v>
      </c>
      <c r="AJ126" s="12" t="s">
        <v>333</v>
      </c>
      <c r="AK126" s="12">
        <v>3.8576300085251494</v>
      </c>
    </row>
    <row r="127" spans="1:37" x14ac:dyDescent="0.25">
      <c r="A127" s="7" t="s">
        <v>458</v>
      </c>
      <c r="B127" s="7" t="str">
        <f t="shared" si="1"/>
        <v>2768-127</v>
      </c>
      <c r="C127" s="7">
        <f>VLOOKUP(B127,'CEBAS-DEWOOD code'!A$2:B$302,2,FALSE)</f>
        <v>1047</v>
      </c>
      <c r="D127" s="7" t="str">
        <f>VLOOKUP(IONOMICS!C127,'Field Table'!A$2:E$661,3,FALSE)</f>
        <v>FS</v>
      </c>
      <c r="E127" s="7" t="str">
        <f>VLOOKUP(IONOMICS!C127,'Field Table'!A$2:E$661,4,FALSE)</f>
        <v>2</v>
      </c>
      <c r="F127" s="7" t="str">
        <f>VLOOKUP(IONOMICS!C127,'Field Table'!A$2:E$661,5,FALSE)</f>
        <v>01</v>
      </c>
      <c r="G127" s="11">
        <v>14.079229122055674</v>
      </c>
      <c r="H127" s="12">
        <v>1.0706638115631691E-2</v>
      </c>
      <c r="I127" s="12" t="s">
        <v>333</v>
      </c>
      <c r="J127" s="12" t="s">
        <v>333</v>
      </c>
      <c r="K127" s="12" t="s">
        <v>333</v>
      </c>
      <c r="L127" s="11">
        <v>0.36059957173447532</v>
      </c>
      <c r="M127" s="11">
        <v>9.6359743040685217E-2</v>
      </c>
      <c r="N127" s="12">
        <v>5.353319057815846E-2</v>
      </c>
      <c r="O127" s="12">
        <v>0.23554603854389719</v>
      </c>
      <c r="P127" s="12">
        <v>2.5053533190578157</v>
      </c>
      <c r="Q127" s="12">
        <v>12.762312633832975</v>
      </c>
      <c r="R127" s="12">
        <v>0.12441113490364025</v>
      </c>
      <c r="S127" s="12" t="s">
        <v>333</v>
      </c>
      <c r="T127" s="12">
        <v>0.26766595289079226</v>
      </c>
      <c r="U127" s="12">
        <v>3.6905781584582437E-2</v>
      </c>
      <c r="V127" s="12">
        <v>117.45182012847965</v>
      </c>
      <c r="W127" s="12" t="s">
        <v>333</v>
      </c>
      <c r="X127" s="13">
        <v>2.0663811563169168E-4</v>
      </c>
      <c r="Y127" s="12">
        <v>0.86723768736616691</v>
      </c>
      <c r="Z127" s="12">
        <v>0.70663811563169165</v>
      </c>
      <c r="AA127" s="13">
        <v>3.7580299785867237E-2</v>
      </c>
      <c r="AB127" s="12">
        <v>3.5653104925053536</v>
      </c>
      <c r="AC127" s="12" t="s">
        <v>333</v>
      </c>
      <c r="AD127" s="12" t="s">
        <v>333</v>
      </c>
      <c r="AE127" s="12">
        <v>435.86723768736613</v>
      </c>
      <c r="AF127" s="14">
        <v>2.5074946466809422E-2</v>
      </c>
      <c r="AG127" s="12">
        <v>19.93576017130621</v>
      </c>
      <c r="AH127" s="12">
        <v>0.58886509635974293</v>
      </c>
      <c r="AI127" s="12" t="s">
        <v>333</v>
      </c>
      <c r="AJ127" s="12" t="s">
        <v>333</v>
      </c>
      <c r="AK127" s="12">
        <v>8.10492505353319</v>
      </c>
    </row>
    <row r="128" spans="1:37" x14ac:dyDescent="0.25">
      <c r="A128" s="7" t="s">
        <v>459</v>
      </c>
      <c r="B128" s="7" t="str">
        <f t="shared" si="1"/>
        <v>2768-128</v>
      </c>
      <c r="C128" s="7">
        <f>VLOOKUP(B128,'CEBAS-DEWOOD code'!A$2:B$302,2,FALSE)</f>
        <v>181</v>
      </c>
      <c r="D128" s="7" t="str">
        <f>VLOOKUP(IONOMICS!C128,'Field Table'!A$2:E$661,3,FALSE)</f>
        <v>FS</v>
      </c>
      <c r="E128" s="7" t="str">
        <f>VLOOKUP(IONOMICS!C128,'Field Table'!A$2:E$661,4,FALSE)</f>
        <v>4</v>
      </c>
      <c r="F128" s="7" t="str">
        <f>VLOOKUP(IONOMICS!C128,'Field Table'!A$2:E$661,5,FALSE)</f>
        <v>10</v>
      </c>
      <c r="G128" s="11">
        <v>8.4991532599491944</v>
      </c>
      <c r="H128" s="12" t="s">
        <v>333</v>
      </c>
      <c r="I128" s="12" t="s">
        <v>333</v>
      </c>
      <c r="J128" s="12" t="s">
        <v>333</v>
      </c>
      <c r="K128" s="12" t="s">
        <v>333</v>
      </c>
      <c r="L128" s="11">
        <v>0.349809483488569</v>
      </c>
      <c r="M128" s="11">
        <v>7.4089754445385264E-2</v>
      </c>
      <c r="N128" s="12">
        <v>1.0584250635055038E-2</v>
      </c>
      <c r="O128" s="12">
        <v>3.1752751905165112E-2</v>
      </c>
      <c r="P128" s="12">
        <v>1.4923793395427603</v>
      </c>
      <c r="Q128" s="12">
        <v>32.874682472480949</v>
      </c>
      <c r="R128" s="12">
        <v>1.3748941574936495E-2</v>
      </c>
      <c r="S128" s="12" t="s">
        <v>333</v>
      </c>
      <c r="T128" s="12">
        <v>0.22226926333615579</v>
      </c>
      <c r="U128" s="12">
        <v>7.0882726502963594E-2</v>
      </c>
      <c r="V128" s="12">
        <v>42.866215071972903</v>
      </c>
      <c r="W128" s="12" t="s">
        <v>333</v>
      </c>
      <c r="X128" s="13">
        <v>6.985605419136326E-5</v>
      </c>
      <c r="Y128" s="12">
        <v>0.7832345469940728</v>
      </c>
      <c r="Z128" s="12">
        <v>0.11642675698560542</v>
      </c>
      <c r="AA128" s="13">
        <v>1.0806519898391194E-2</v>
      </c>
      <c r="AB128" s="12">
        <v>0.86790855207451323</v>
      </c>
      <c r="AC128" s="12" t="s">
        <v>333</v>
      </c>
      <c r="AD128" s="12" t="s">
        <v>333</v>
      </c>
      <c r="AE128" s="12">
        <v>31.964436917866216</v>
      </c>
      <c r="AF128" s="14">
        <v>1.4373412362404744E-2</v>
      </c>
      <c r="AG128" s="12">
        <v>26.619390347163421</v>
      </c>
      <c r="AH128" s="12">
        <v>0.76206604572396275</v>
      </c>
      <c r="AI128" s="12" t="s">
        <v>333</v>
      </c>
      <c r="AJ128" s="12" t="s">
        <v>333</v>
      </c>
      <c r="AK128" s="12">
        <v>2.7307366638441999</v>
      </c>
    </row>
    <row r="129" spans="1:37" x14ac:dyDescent="0.25">
      <c r="A129" s="7" t="s">
        <v>460</v>
      </c>
      <c r="B129" s="7" t="str">
        <f t="shared" si="1"/>
        <v>2768-129</v>
      </c>
      <c r="C129" s="7">
        <f>VLOOKUP(B129,'CEBAS-DEWOOD code'!A$2:B$302,2,FALSE)</f>
        <v>1031</v>
      </c>
      <c r="D129" s="7" t="str">
        <f>VLOOKUP(IONOMICS!C129,'Field Table'!A$2:E$661,3,FALSE)</f>
        <v>AA</v>
      </c>
      <c r="E129" s="7" t="str">
        <f>VLOOKUP(IONOMICS!C129,'Field Table'!A$2:E$661,4,FALSE)</f>
        <v>1</v>
      </c>
      <c r="F129" s="7" t="str">
        <f>VLOOKUP(IONOMICS!C129,'Field Table'!A$2:E$661,5,FALSE)</f>
        <v>01</v>
      </c>
      <c r="G129" s="11">
        <v>56.087936865839907</v>
      </c>
      <c r="H129" s="12" t="s">
        <v>333</v>
      </c>
      <c r="I129" s="12" t="s">
        <v>333</v>
      </c>
      <c r="J129" s="12" t="s">
        <v>333</v>
      </c>
      <c r="K129" s="12" t="s">
        <v>333</v>
      </c>
      <c r="L129" s="11">
        <v>0.11771890266816985</v>
      </c>
      <c r="M129" s="11">
        <v>0.33821871476888388</v>
      </c>
      <c r="N129" s="12">
        <v>2.8184892897406989E-2</v>
      </c>
      <c r="O129" s="12">
        <v>0.44156332205937621</v>
      </c>
      <c r="P129" s="12">
        <v>2.8372792183389701</v>
      </c>
      <c r="Q129" s="12">
        <v>14.205186020293123</v>
      </c>
      <c r="R129" s="12">
        <v>7.7123261931604653E-2</v>
      </c>
      <c r="S129" s="12" t="s">
        <v>333</v>
      </c>
      <c r="T129" s="12">
        <v>0.1785043216835776</v>
      </c>
      <c r="U129" s="12">
        <v>1.9804584742577978E-2</v>
      </c>
      <c r="V129" s="12">
        <v>96.674182638105961</v>
      </c>
      <c r="W129" s="12" t="s">
        <v>333</v>
      </c>
      <c r="X129" s="13" t="s">
        <v>333</v>
      </c>
      <c r="Y129" s="12">
        <v>0.11273957158962795</v>
      </c>
      <c r="Z129" s="12">
        <v>0.32882375046974827</v>
      </c>
      <c r="AA129" s="13">
        <v>1.2551672303645246E-2</v>
      </c>
      <c r="AB129" s="12">
        <v>1.6629086809470124</v>
      </c>
      <c r="AC129" s="12" t="s">
        <v>333</v>
      </c>
      <c r="AD129" s="12" t="s">
        <v>333</v>
      </c>
      <c r="AE129" s="12">
        <v>29.490792934986846</v>
      </c>
      <c r="AF129" s="14">
        <v>1.1264562194663661E-2</v>
      </c>
      <c r="AG129" s="12">
        <v>5.9000375798571962</v>
      </c>
      <c r="AH129" s="12">
        <v>0.94889139421270197</v>
      </c>
      <c r="AI129" s="12" t="s">
        <v>333</v>
      </c>
      <c r="AJ129" s="12" t="s">
        <v>333</v>
      </c>
      <c r="AK129" s="12">
        <v>11.010898158586999</v>
      </c>
    </row>
    <row r="130" spans="1:37" x14ac:dyDescent="0.25">
      <c r="A130" s="7" t="s">
        <v>461</v>
      </c>
      <c r="B130" s="7" t="str">
        <f t="shared" si="1"/>
        <v>2768-130</v>
      </c>
      <c r="C130" s="7">
        <f>VLOOKUP(B130,'CEBAS-DEWOOD code'!A$2:B$302,2,FALSE)</f>
        <v>132</v>
      </c>
      <c r="D130" s="7" t="str">
        <f>VLOOKUP(IONOMICS!C130,'Field Table'!A$2:E$661,3,FALSE)</f>
        <v>FS</v>
      </c>
      <c r="E130" s="7" t="str">
        <f>VLOOKUP(IONOMICS!C130,'Field Table'!A$2:E$661,4,FALSE)</f>
        <v>4</v>
      </c>
      <c r="F130" s="7" t="str">
        <f>VLOOKUP(IONOMICS!C130,'Field Table'!A$2:E$661,5,FALSE)</f>
        <v>10</v>
      </c>
      <c r="G130" s="11">
        <v>4.6682776801405979</v>
      </c>
      <c r="H130" s="12">
        <v>1.0984182776801407E-2</v>
      </c>
      <c r="I130" s="12" t="s">
        <v>333</v>
      </c>
      <c r="J130" s="12" t="s">
        <v>333</v>
      </c>
      <c r="K130" s="12" t="s">
        <v>333</v>
      </c>
      <c r="L130" s="11">
        <v>0.17442882249560634</v>
      </c>
      <c r="M130" s="11">
        <v>8.7873462214411252E-2</v>
      </c>
      <c r="N130" s="12">
        <v>4.3936731107205626E-2</v>
      </c>
      <c r="O130" s="12">
        <v>3.2952548330404216E-2</v>
      </c>
      <c r="P130" s="12">
        <v>1.4389279437609843</v>
      </c>
      <c r="Q130" s="12">
        <v>6.2390158172231995</v>
      </c>
      <c r="R130" s="12">
        <v>3.7181458699472765E-3</v>
      </c>
      <c r="S130" s="12" t="s">
        <v>333</v>
      </c>
      <c r="T130" s="12">
        <v>0.25263620386643232</v>
      </c>
      <c r="U130" s="12">
        <v>2.3714850615114233E-2</v>
      </c>
      <c r="V130" s="12">
        <v>80.503075571177519</v>
      </c>
      <c r="W130" s="12" t="s">
        <v>333</v>
      </c>
      <c r="X130" s="13" t="s">
        <v>333</v>
      </c>
      <c r="Y130" s="12">
        <v>0.61511423550087863</v>
      </c>
      <c r="Z130" s="12">
        <v>0.14279437609841827</v>
      </c>
      <c r="AA130" s="13">
        <v>5.3646748681898072E-3</v>
      </c>
      <c r="AB130" s="12">
        <v>0.47231985940246046</v>
      </c>
      <c r="AC130" s="12" t="s">
        <v>333</v>
      </c>
      <c r="AD130" s="12" t="s">
        <v>333</v>
      </c>
      <c r="AE130" s="12">
        <v>10.1603690685413</v>
      </c>
      <c r="AF130" s="14">
        <v>1.3894991212653779E-2</v>
      </c>
      <c r="AG130" s="12">
        <v>12.972319859402461</v>
      </c>
      <c r="AH130" s="12">
        <v>0.64806678383128291</v>
      </c>
      <c r="AI130" s="12" t="s">
        <v>333</v>
      </c>
      <c r="AJ130" s="12" t="s">
        <v>333</v>
      </c>
      <c r="AK130" s="12">
        <v>2.2956942003514937</v>
      </c>
    </row>
    <row r="131" spans="1:37" x14ac:dyDescent="0.25">
      <c r="A131" s="7" t="s">
        <v>462</v>
      </c>
      <c r="B131" s="7" t="str">
        <f t="shared" ref="B131:B194" si="2">RIGHT(A131, LEN(A131)-7)</f>
        <v>2768-131</v>
      </c>
      <c r="C131" s="7">
        <f>VLOOKUP(B131,'CEBAS-DEWOOD code'!A$2:B$302,2,FALSE)</f>
        <v>1071</v>
      </c>
      <c r="D131" s="7" t="str">
        <f>VLOOKUP(IONOMICS!C131,'Field Table'!A$2:E$661,3,FALSE)</f>
        <v>FS</v>
      </c>
      <c r="E131" s="7" t="str">
        <f>VLOOKUP(IONOMICS!C131,'Field Table'!A$2:E$661,4,FALSE)</f>
        <v>2</v>
      </c>
      <c r="F131" s="7" t="str">
        <f>VLOOKUP(IONOMICS!C131,'Field Table'!A$2:E$661,5,FALSE)</f>
        <v>01</v>
      </c>
      <c r="G131" s="11">
        <v>15.0838677849038</v>
      </c>
      <c r="H131" s="12">
        <v>0.12333497779970401</v>
      </c>
      <c r="I131" s="12" t="s">
        <v>333</v>
      </c>
      <c r="J131" s="12" t="s">
        <v>333</v>
      </c>
      <c r="K131" s="12" t="s">
        <v>333</v>
      </c>
      <c r="L131" s="11">
        <v>0.29958066107548104</v>
      </c>
      <c r="M131" s="11">
        <v>8.633448445979279E-2</v>
      </c>
      <c r="N131" s="12" t="s">
        <v>333</v>
      </c>
      <c r="O131" s="12">
        <v>9.8667982239763197E-2</v>
      </c>
      <c r="P131" s="12">
        <v>2.4543660582141098</v>
      </c>
      <c r="Q131" s="12">
        <v>9.9037987173162314</v>
      </c>
      <c r="R131" s="12">
        <v>0.13036507153428714</v>
      </c>
      <c r="S131" s="12" t="s">
        <v>333</v>
      </c>
      <c r="T131" s="12">
        <v>0.2713369511593488</v>
      </c>
      <c r="U131" s="12">
        <v>3.7728169708929456E-2</v>
      </c>
      <c r="V131" s="12">
        <v>111.33448445979279</v>
      </c>
      <c r="W131" s="12" t="s">
        <v>333</v>
      </c>
      <c r="X131" s="13" t="s">
        <v>333</v>
      </c>
      <c r="Y131" s="12">
        <v>0.50567340897878643</v>
      </c>
      <c r="Z131" s="12">
        <v>1.110014800197336</v>
      </c>
      <c r="AA131" s="13">
        <v>3.54588061174149E-2</v>
      </c>
      <c r="AB131" s="12">
        <v>3.7863838184509131</v>
      </c>
      <c r="AC131" s="12" t="s">
        <v>333</v>
      </c>
      <c r="AD131" s="12" t="s">
        <v>333</v>
      </c>
      <c r="AE131" s="12">
        <v>435.6191415885545</v>
      </c>
      <c r="AF131" s="14">
        <v>2.337197829304391E-2</v>
      </c>
      <c r="AG131" s="12">
        <v>17.155895411938825</v>
      </c>
      <c r="AH131" s="12">
        <v>0.48100641341884554</v>
      </c>
      <c r="AI131" s="12" t="s">
        <v>333</v>
      </c>
      <c r="AJ131" s="12" t="s">
        <v>333</v>
      </c>
      <c r="AK131" s="12">
        <v>5.0444005920078938</v>
      </c>
    </row>
    <row r="132" spans="1:37" x14ac:dyDescent="0.25">
      <c r="A132" s="7" t="s">
        <v>463</v>
      </c>
      <c r="B132" s="7" t="str">
        <f t="shared" si="2"/>
        <v>2768-132</v>
      </c>
      <c r="C132" s="7">
        <f>VLOOKUP(B132,'CEBAS-DEWOOD code'!A$2:B$302,2,FALSE)</f>
        <v>379</v>
      </c>
      <c r="D132" s="7" t="str">
        <f>VLOOKUP(IONOMICS!C132,'Field Table'!A$2:E$661,3,FALSE)</f>
        <v>AA</v>
      </c>
      <c r="E132" s="7" t="str">
        <f>VLOOKUP(IONOMICS!C132,'Field Table'!A$2:E$661,4,FALSE)</f>
        <v>2</v>
      </c>
      <c r="F132" s="7" t="str">
        <f>VLOOKUP(IONOMICS!C132,'Field Table'!A$2:E$661,5,FALSE)</f>
        <v>25</v>
      </c>
      <c r="G132" s="11">
        <v>15.985630893578804</v>
      </c>
      <c r="H132" s="12">
        <v>3.3677593174674447E-2</v>
      </c>
      <c r="I132" s="12" t="s">
        <v>333</v>
      </c>
      <c r="J132" s="12" t="s">
        <v>333</v>
      </c>
      <c r="K132" s="12" t="s">
        <v>333</v>
      </c>
      <c r="L132" s="11">
        <v>0.22519083969465647</v>
      </c>
      <c r="M132" s="11">
        <v>0.14593623709025594</v>
      </c>
      <c r="N132" s="12" t="s">
        <v>333</v>
      </c>
      <c r="O132" s="12">
        <v>7.8581050740907044E-2</v>
      </c>
      <c r="P132" s="12">
        <v>2.2676246070947461</v>
      </c>
      <c r="Q132" s="12">
        <v>22.384373596766949</v>
      </c>
      <c r="R132" s="12">
        <v>1.5749887741356085E-2</v>
      </c>
      <c r="S132" s="12" t="s">
        <v>333</v>
      </c>
      <c r="T132" s="12">
        <v>8.9806915132465193E-2</v>
      </c>
      <c r="U132" s="12">
        <v>8.7101481814099685E-2</v>
      </c>
      <c r="V132" s="12">
        <v>181.40996856757971</v>
      </c>
      <c r="W132" s="12" t="s">
        <v>333</v>
      </c>
      <c r="X132" s="13" t="s">
        <v>333</v>
      </c>
      <c r="Y132" s="12">
        <v>0.95419847328244278</v>
      </c>
      <c r="Z132" s="12">
        <v>0.15716210148181409</v>
      </c>
      <c r="AA132" s="13">
        <v>5.4849573417153118E-3</v>
      </c>
      <c r="AB132" s="12">
        <v>0.51638976201167486</v>
      </c>
      <c r="AC132" s="12" t="s">
        <v>333</v>
      </c>
      <c r="AD132" s="12" t="s">
        <v>333</v>
      </c>
      <c r="AE132" s="12">
        <v>24.607094746295466</v>
      </c>
      <c r="AF132" s="14">
        <v>1.5783565334530757E-2</v>
      </c>
      <c r="AG132" s="12">
        <v>17.88280197575213</v>
      </c>
      <c r="AH132" s="12">
        <v>0.94297260889088452</v>
      </c>
      <c r="AI132" s="12">
        <v>3.4238886394252352</v>
      </c>
      <c r="AJ132" s="12" t="s">
        <v>333</v>
      </c>
      <c r="AK132" s="12">
        <v>4.7597665020206552</v>
      </c>
    </row>
    <row r="133" spans="1:37" x14ac:dyDescent="0.25">
      <c r="A133" s="7" t="s">
        <v>464</v>
      </c>
      <c r="B133" s="7" t="str">
        <f t="shared" si="2"/>
        <v>2768-133</v>
      </c>
      <c r="C133" s="7">
        <f>VLOOKUP(B133,'CEBAS-DEWOOD code'!A$2:B$302,2,FALSE)</f>
        <v>193</v>
      </c>
      <c r="D133" s="7" t="str">
        <f>VLOOKUP(IONOMICS!C133,'Field Table'!A$2:E$661,3,FALSE)</f>
        <v>FS</v>
      </c>
      <c r="E133" s="7" t="str">
        <f>VLOOKUP(IONOMICS!C133,'Field Table'!A$2:E$661,4,FALSE)</f>
        <v>4</v>
      </c>
      <c r="F133" s="7" t="str">
        <f>VLOOKUP(IONOMICS!C133,'Field Table'!A$2:E$661,5,FALSE)</f>
        <v>10</v>
      </c>
      <c r="G133" s="11">
        <v>43.053645116918851</v>
      </c>
      <c r="H133" s="12">
        <v>2.2925263640531868E-2</v>
      </c>
      <c r="I133" s="12" t="s">
        <v>333</v>
      </c>
      <c r="J133" s="12" t="s">
        <v>333</v>
      </c>
      <c r="K133" s="12" t="s">
        <v>333</v>
      </c>
      <c r="L133" s="11">
        <v>0.28358551123337916</v>
      </c>
      <c r="M133" s="11">
        <v>9.1701054562127474E-2</v>
      </c>
      <c r="N133" s="12" t="s">
        <v>333</v>
      </c>
      <c r="O133" s="12">
        <v>9.1701054562127474E-2</v>
      </c>
      <c r="P133" s="12">
        <v>1.7423200366804219</v>
      </c>
      <c r="Q133" s="12">
        <v>27.097661623108667</v>
      </c>
      <c r="R133" s="12">
        <v>8.9695093993580929E-2</v>
      </c>
      <c r="S133" s="12" t="s">
        <v>333</v>
      </c>
      <c r="T133" s="12">
        <v>0.26364053186611647</v>
      </c>
      <c r="U133" s="12">
        <v>4.8544245758826238E-2</v>
      </c>
      <c r="V133" s="12">
        <v>35.763411279229715</v>
      </c>
      <c r="W133" s="12" t="s">
        <v>333</v>
      </c>
      <c r="X133" s="13">
        <v>1.3812471343420448E-3</v>
      </c>
      <c r="Y133" s="12">
        <v>1.4901421366345715</v>
      </c>
      <c r="Z133" s="12">
        <v>0.21779000458505274</v>
      </c>
      <c r="AA133" s="13">
        <v>2.5917010545621278E-2</v>
      </c>
      <c r="AB133" s="12">
        <v>2.1091242549289317</v>
      </c>
      <c r="AC133" s="12" t="s">
        <v>333</v>
      </c>
      <c r="AD133" s="12" t="s">
        <v>333</v>
      </c>
      <c r="AE133" s="12">
        <v>56.831728564878496</v>
      </c>
      <c r="AF133" s="14">
        <v>1.9452086198991293E-2</v>
      </c>
      <c r="AG133" s="12">
        <v>22.478220999541495</v>
      </c>
      <c r="AH133" s="12">
        <v>2.0518110958276021</v>
      </c>
      <c r="AI133" s="12" t="s">
        <v>333</v>
      </c>
      <c r="AJ133" s="12" t="s">
        <v>333</v>
      </c>
      <c r="AK133" s="12">
        <v>5.1008711600183405</v>
      </c>
    </row>
    <row r="134" spans="1:37" x14ac:dyDescent="0.25">
      <c r="A134" s="7" t="s">
        <v>465</v>
      </c>
      <c r="B134" s="7" t="str">
        <f t="shared" si="2"/>
        <v>2768-134</v>
      </c>
      <c r="C134" s="7">
        <f>VLOOKUP(B134,'CEBAS-DEWOOD code'!A$2:B$302,2,FALSE)</f>
        <v>151</v>
      </c>
      <c r="D134" s="7" t="str">
        <f>VLOOKUP(IONOMICS!C134,'Field Table'!A$2:E$661,3,FALSE)</f>
        <v>FS</v>
      </c>
      <c r="E134" s="7" t="str">
        <f>VLOOKUP(IONOMICS!C134,'Field Table'!A$2:E$661,4,FALSE)</f>
        <v>4</v>
      </c>
      <c r="F134" s="7" t="str">
        <f>VLOOKUP(IONOMICS!C134,'Field Table'!A$2:E$661,5,FALSE)</f>
        <v>25</v>
      </c>
      <c r="G134" s="11">
        <v>125.70224719101124</v>
      </c>
      <c r="H134" s="12">
        <v>0.10533707865168539</v>
      </c>
      <c r="I134" s="12" t="s">
        <v>333</v>
      </c>
      <c r="J134" s="12" t="s">
        <v>333</v>
      </c>
      <c r="K134" s="12" t="s">
        <v>333</v>
      </c>
      <c r="L134" s="11">
        <v>0.14770599250936328</v>
      </c>
      <c r="M134" s="11">
        <v>9.363295880149812E-2</v>
      </c>
      <c r="N134" s="12">
        <v>4.681647940074906E-2</v>
      </c>
      <c r="O134" s="12">
        <v>0.23408239700374531</v>
      </c>
      <c r="P134" s="12">
        <v>1.2172284644194755</v>
      </c>
      <c r="Q134" s="12">
        <v>63.670411985018731</v>
      </c>
      <c r="R134" s="12">
        <v>9.2216760299625458E-2</v>
      </c>
      <c r="S134" s="12" t="s">
        <v>333</v>
      </c>
      <c r="T134" s="12">
        <v>0.30430711610486888</v>
      </c>
      <c r="U134" s="12">
        <v>6.9803370786516855E-2</v>
      </c>
      <c r="V134" s="12">
        <v>61.329588014981276</v>
      </c>
      <c r="W134" s="12" t="s">
        <v>333</v>
      </c>
      <c r="X134" s="13">
        <v>3.4293071161048687E-4</v>
      </c>
      <c r="Y134" s="12">
        <v>0.74906367041198496</v>
      </c>
      <c r="Z134" s="12">
        <v>0.3160112359550562</v>
      </c>
      <c r="AA134" s="13">
        <v>4.9578651685393254E-3</v>
      </c>
      <c r="AB134" s="12">
        <v>2.2471910112359548</v>
      </c>
      <c r="AC134" s="12" t="s">
        <v>333</v>
      </c>
      <c r="AD134" s="12" t="s">
        <v>333</v>
      </c>
      <c r="AE134" s="12">
        <v>147.5889513108614</v>
      </c>
      <c r="AF134" s="14">
        <v>9.0578183520599251E-3</v>
      </c>
      <c r="AG134" s="12">
        <v>12.148876404494382</v>
      </c>
      <c r="AH134" s="12">
        <v>6.0159176029962547</v>
      </c>
      <c r="AI134" s="12" t="s">
        <v>333</v>
      </c>
      <c r="AJ134" s="12">
        <v>5.8520599250936327E-2</v>
      </c>
      <c r="AK134" s="12">
        <v>2.6685393258426968</v>
      </c>
    </row>
    <row r="135" spans="1:37" x14ac:dyDescent="0.25">
      <c r="A135" s="7" t="s">
        <v>466</v>
      </c>
      <c r="B135" s="7" t="str">
        <f t="shared" si="2"/>
        <v>2768-135</v>
      </c>
      <c r="C135" s="7">
        <f>VLOOKUP(B135,'CEBAS-DEWOOD code'!A$2:B$302,2,FALSE)</f>
        <v>120</v>
      </c>
      <c r="D135" s="7" t="str">
        <f>VLOOKUP(IONOMICS!C135,'Field Table'!A$2:E$661,3,FALSE)</f>
        <v>FS</v>
      </c>
      <c r="E135" s="7" t="str">
        <f>VLOOKUP(IONOMICS!C135,'Field Table'!A$2:E$661,4,FALSE)</f>
        <v>4</v>
      </c>
      <c r="F135" s="7" t="str">
        <f>VLOOKUP(IONOMICS!C135,'Field Table'!A$2:E$661,5,FALSE)</f>
        <v>10</v>
      </c>
      <c r="G135" s="11">
        <v>85.875640428504894</v>
      </c>
      <c r="H135" s="12" t="s">
        <v>333</v>
      </c>
      <c r="I135" s="12" t="s">
        <v>333</v>
      </c>
      <c r="J135" s="12" t="s">
        <v>333</v>
      </c>
      <c r="K135" s="12" t="s">
        <v>333</v>
      </c>
      <c r="L135" s="11">
        <v>0.1776897997205403</v>
      </c>
      <c r="M135" s="11">
        <v>0.12808570097810898</v>
      </c>
      <c r="N135" s="12" t="s">
        <v>333</v>
      </c>
      <c r="O135" s="12">
        <v>0.33768048439683274</v>
      </c>
      <c r="P135" s="12">
        <v>1.4089427107591987</v>
      </c>
      <c r="Q135" s="12">
        <v>58.069399161620865</v>
      </c>
      <c r="R135" s="12">
        <v>5.2270610153702837E-2</v>
      </c>
      <c r="S135" s="12" t="s">
        <v>333</v>
      </c>
      <c r="T135" s="12">
        <v>0.15137401024685609</v>
      </c>
      <c r="U135" s="12">
        <v>3.5724266418258037E-2</v>
      </c>
      <c r="V135" s="12">
        <v>64.019562179785737</v>
      </c>
      <c r="W135" s="12" t="s">
        <v>333</v>
      </c>
      <c r="X135" s="13">
        <v>5.2282254308337215E-4</v>
      </c>
      <c r="Y135" s="12">
        <v>0.95482068001863074</v>
      </c>
      <c r="Z135" s="12">
        <v>0.54727526781555658</v>
      </c>
      <c r="AA135" s="13">
        <v>7.3160223567768972E-3</v>
      </c>
      <c r="AB135" s="12">
        <v>1.5137401024685608</v>
      </c>
      <c r="AC135" s="12" t="s">
        <v>333</v>
      </c>
      <c r="AD135" s="12" t="s">
        <v>333</v>
      </c>
      <c r="AE135" s="12">
        <v>146.01769911504425</v>
      </c>
      <c r="AF135" s="14">
        <v>1.7384722869119702E-2</v>
      </c>
      <c r="AG135" s="12">
        <v>11.807172799254774</v>
      </c>
      <c r="AH135" s="12">
        <v>5.857009781089892</v>
      </c>
      <c r="AI135" s="12" t="s">
        <v>333</v>
      </c>
      <c r="AJ135" s="12">
        <v>2.3288309268747091E-2</v>
      </c>
      <c r="AK135" s="12">
        <v>2.7713088029809039</v>
      </c>
    </row>
    <row r="136" spans="1:37" x14ac:dyDescent="0.25">
      <c r="A136" s="7" t="s">
        <v>467</v>
      </c>
      <c r="B136" s="7" t="str">
        <f t="shared" si="2"/>
        <v>2768-136</v>
      </c>
      <c r="C136" s="7">
        <f>VLOOKUP(B136,'CEBAS-DEWOOD code'!A$2:B$302,2,FALSE)</f>
        <v>184</v>
      </c>
      <c r="D136" s="7" t="str">
        <f>VLOOKUP(IONOMICS!C136,'Field Table'!A$2:E$661,3,FALSE)</f>
        <v>AA</v>
      </c>
      <c r="E136" s="7" t="str">
        <f>VLOOKUP(IONOMICS!C136,'Field Table'!A$2:E$661,4,FALSE)</f>
        <v>4</v>
      </c>
      <c r="F136" s="7" t="str">
        <f>VLOOKUP(IONOMICS!C136,'Field Table'!A$2:E$661,5,FALSE)</f>
        <v>25</v>
      </c>
      <c r="G136" s="11">
        <v>8.6631385181776359</v>
      </c>
      <c r="H136" s="12">
        <v>3.4514496088357112E-2</v>
      </c>
      <c r="I136" s="12" t="s">
        <v>333</v>
      </c>
      <c r="J136" s="12" t="s">
        <v>333</v>
      </c>
      <c r="K136" s="12" t="s">
        <v>333</v>
      </c>
      <c r="L136" s="11">
        <v>0.12149102623101704</v>
      </c>
      <c r="M136" s="11">
        <v>4.6019328117809483E-2</v>
      </c>
      <c r="N136" s="12" t="s">
        <v>333</v>
      </c>
      <c r="O136" s="12">
        <v>0.88587206626783255</v>
      </c>
      <c r="P136" s="12">
        <v>1.5646571560055222</v>
      </c>
      <c r="Q136" s="12">
        <v>9.0888173032673727</v>
      </c>
      <c r="R136" s="12">
        <v>0.25839852738150026</v>
      </c>
      <c r="S136" s="12" t="s">
        <v>333</v>
      </c>
      <c r="T136" s="12">
        <v>0.23009664058904741</v>
      </c>
      <c r="U136" s="12">
        <v>2.3815002300966406E-2</v>
      </c>
      <c r="V136" s="12">
        <v>22.537965945697195</v>
      </c>
      <c r="W136" s="12" t="s">
        <v>333</v>
      </c>
      <c r="X136" s="13">
        <v>5.8329498389323527E-4</v>
      </c>
      <c r="Y136" s="12">
        <v>0.40266912103083302</v>
      </c>
      <c r="Z136" s="12">
        <v>0.17257248044178555</v>
      </c>
      <c r="AA136" s="13">
        <v>9.1958122411412799E-3</v>
      </c>
      <c r="AB136" s="12">
        <v>7.4206166589967788</v>
      </c>
      <c r="AC136" s="12" t="s">
        <v>333</v>
      </c>
      <c r="AD136" s="12" t="s">
        <v>333</v>
      </c>
      <c r="AE136" s="12">
        <v>7.52416014726185</v>
      </c>
      <c r="AF136" s="14">
        <v>9.333870225494709E-3</v>
      </c>
      <c r="AG136" s="12">
        <v>9.4224574321214902</v>
      </c>
      <c r="AH136" s="12">
        <v>1.7142199723884031</v>
      </c>
      <c r="AI136" s="12" t="s">
        <v>333</v>
      </c>
      <c r="AJ136" s="12" t="s">
        <v>333</v>
      </c>
      <c r="AK136" s="12">
        <v>3.7390704095720202</v>
      </c>
    </row>
    <row r="137" spans="1:37" x14ac:dyDescent="0.25">
      <c r="A137" s="7" t="s">
        <v>468</v>
      </c>
      <c r="B137" s="7" t="str">
        <f t="shared" si="2"/>
        <v>2768-137</v>
      </c>
      <c r="C137" s="7">
        <f>VLOOKUP(B137,'CEBAS-DEWOOD code'!A$2:B$302,2,FALSE)</f>
        <v>135</v>
      </c>
      <c r="D137" s="7" t="str">
        <f>VLOOKUP(IONOMICS!C137,'Field Table'!A$2:E$661,3,FALSE)</f>
        <v>AA</v>
      </c>
      <c r="E137" s="7" t="str">
        <f>VLOOKUP(IONOMICS!C137,'Field Table'!A$2:E$661,4,FALSE)</f>
        <v>2</v>
      </c>
      <c r="F137" s="7" t="str">
        <f>VLOOKUP(IONOMICS!C137,'Field Table'!A$2:E$661,5,FALSE)</f>
        <v>25</v>
      </c>
      <c r="G137" s="11">
        <v>36.791845493562228</v>
      </c>
      <c r="H137" s="12">
        <v>0.1072961373390558</v>
      </c>
      <c r="I137" s="12" t="s">
        <v>333</v>
      </c>
      <c r="J137" s="12" t="s">
        <v>333</v>
      </c>
      <c r="K137" s="12" t="s">
        <v>333</v>
      </c>
      <c r="L137" s="11">
        <v>7.7650214592274683E-2</v>
      </c>
      <c r="M137" s="11">
        <v>5.3648068669527899E-2</v>
      </c>
      <c r="N137" s="12">
        <v>1.0729613733905579E-2</v>
      </c>
      <c r="O137" s="12">
        <v>0.26824034334763946</v>
      </c>
      <c r="P137" s="12">
        <v>1.4270386266094419</v>
      </c>
      <c r="Q137" s="12">
        <v>23.487124463519311</v>
      </c>
      <c r="R137" s="12">
        <v>4.7199570815450641E-2</v>
      </c>
      <c r="S137" s="12" t="s">
        <v>333</v>
      </c>
      <c r="T137" s="12">
        <v>0.21459227467811159</v>
      </c>
      <c r="U137" s="12">
        <v>1.7124463519313307E-2</v>
      </c>
      <c r="V137" s="12">
        <v>29.56008583690987</v>
      </c>
      <c r="W137" s="12" t="s">
        <v>333</v>
      </c>
      <c r="X137" s="13" t="s">
        <v>333</v>
      </c>
      <c r="Y137" s="12">
        <v>0.21459227467811159</v>
      </c>
      <c r="Z137" s="12">
        <v>0.19313304721030042</v>
      </c>
      <c r="AA137" s="13">
        <v>2.0150214592274678E-3</v>
      </c>
      <c r="AB137" s="12">
        <v>0.68669527896995708</v>
      </c>
      <c r="AC137" s="12" t="s">
        <v>333</v>
      </c>
      <c r="AD137" s="12" t="s">
        <v>333</v>
      </c>
      <c r="AE137" s="12">
        <v>281.43776824034336</v>
      </c>
      <c r="AF137" s="14">
        <v>7.6072961373390554E-3</v>
      </c>
      <c r="AG137" s="12">
        <v>6.6523605150214591</v>
      </c>
      <c r="AH137" s="12">
        <v>7.5214592274678109</v>
      </c>
      <c r="AI137" s="12" t="s">
        <v>333</v>
      </c>
      <c r="AJ137" s="12" t="s">
        <v>333</v>
      </c>
      <c r="AK137" s="12">
        <v>4.0343347639484977</v>
      </c>
    </row>
    <row r="138" spans="1:37" x14ac:dyDescent="0.25">
      <c r="A138" s="7" t="s">
        <v>469</v>
      </c>
      <c r="B138" s="7" t="str">
        <f t="shared" si="2"/>
        <v>2768-138</v>
      </c>
      <c r="C138" s="7">
        <f>VLOOKUP(B138,'CEBAS-DEWOOD code'!A$2:B$302,2,FALSE)</f>
        <v>79</v>
      </c>
      <c r="D138" s="7" t="str">
        <f>VLOOKUP(IONOMICS!C138,'Field Table'!A$2:E$661,3,FALSE)</f>
        <v>AA</v>
      </c>
      <c r="E138" s="7" t="str">
        <f>VLOOKUP(IONOMICS!C138,'Field Table'!A$2:E$661,4,FALSE)</f>
        <v>1</v>
      </c>
      <c r="F138" s="7" t="str">
        <f>VLOOKUP(IONOMICS!C138,'Field Table'!A$2:E$661,5,FALSE)</f>
        <v>10</v>
      </c>
      <c r="G138" s="11">
        <v>10.75221238938053</v>
      </c>
      <c r="H138" s="12" t="s">
        <v>333</v>
      </c>
      <c r="I138" s="12" t="s">
        <v>333</v>
      </c>
      <c r="J138" s="12" t="s">
        <v>333</v>
      </c>
      <c r="K138" s="12" t="s">
        <v>333</v>
      </c>
      <c r="L138" s="11">
        <v>7.0652654867256637E-2</v>
      </c>
      <c r="M138" s="11">
        <v>9.9557522123893794E-2</v>
      </c>
      <c r="N138" s="12">
        <v>1.1061946902654867E-2</v>
      </c>
      <c r="O138" s="12" t="s">
        <v>333</v>
      </c>
      <c r="P138" s="12">
        <v>1.1504424778761062</v>
      </c>
      <c r="Q138" s="12">
        <v>2.5221238938053099</v>
      </c>
      <c r="R138" s="12">
        <v>0.11272123893805308</v>
      </c>
      <c r="S138" s="12" t="s">
        <v>333</v>
      </c>
      <c r="T138" s="12">
        <v>8.8495575221238937E-2</v>
      </c>
      <c r="U138" s="12">
        <v>1.2278761061946903E-2</v>
      </c>
      <c r="V138" s="12">
        <v>44.457964601769909</v>
      </c>
      <c r="W138" s="12" t="s">
        <v>333</v>
      </c>
      <c r="X138" s="13" t="s">
        <v>333</v>
      </c>
      <c r="Y138" s="12" t="s">
        <v>333</v>
      </c>
      <c r="Z138" s="12">
        <v>0.29867256637168144</v>
      </c>
      <c r="AA138" s="13">
        <v>3.6017699115044248E-3</v>
      </c>
      <c r="AB138" s="12">
        <v>2.4446902654867255</v>
      </c>
      <c r="AC138" s="12" t="s">
        <v>333</v>
      </c>
      <c r="AD138" s="12" t="s">
        <v>333</v>
      </c>
      <c r="AE138" s="12">
        <v>5.6747787610619467</v>
      </c>
      <c r="AF138" s="14">
        <v>6.3373893805309727E-3</v>
      </c>
      <c r="AG138" s="12">
        <v>4.2588495575221241</v>
      </c>
      <c r="AH138" s="12">
        <v>0.29867256637168144</v>
      </c>
      <c r="AI138" s="12" t="s">
        <v>333</v>
      </c>
      <c r="AJ138" s="12" t="s">
        <v>333</v>
      </c>
      <c r="AK138" s="12">
        <v>7.3451327433628313</v>
      </c>
    </row>
    <row r="139" spans="1:37" x14ac:dyDescent="0.25">
      <c r="A139" s="7" t="s">
        <v>470</v>
      </c>
      <c r="B139" s="7" t="str">
        <f t="shared" si="2"/>
        <v>2768-139</v>
      </c>
      <c r="C139" s="7">
        <f>VLOOKUP(B139,'CEBAS-DEWOOD code'!A$2:B$302,2,FALSE)</f>
        <v>325</v>
      </c>
      <c r="D139" s="7" t="str">
        <f>VLOOKUP(IONOMICS!C139,'Field Table'!A$2:E$661,3,FALSE)</f>
        <v>AA</v>
      </c>
      <c r="E139" s="7" t="str">
        <f>VLOOKUP(IONOMICS!C139,'Field Table'!A$2:E$661,4,FALSE)</f>
        <v>2</v>
      </c>
      <c r="F139" s="7" t="str">
        <f>VLOOKUP(IONOMICS!C139,'Field Table'!A$2:E$661,5,FALSE)</f>
        <v>25</v>
      </c>
      <c r="G139" s="11">
        <v>18.739886731391582</v>
      </c>
      <c r="H139" s="12">
        <v>0.16181229773462782</v>
      </c>
      <c r="I139" s="12" t="s">
        <v>333</v>
      </c>
      <c r="J139" s="12" t="s">
        <v>333</v>
      </c>
      <c r="K139" s="12" t="s">
        <v>333</v>
      </c>
      <c r="L139" s="11">
        <v>9.8058252427184467E-2</v>
      </c>
      <c r="M139" s="11">
        <v>0.1011326860841424</v>
      </c>
      <c r="N139" s="12">
        <v>4.0453074433656956E-2</v>
      </c>
      <c r="O139" s="12">
        <v>1.2439320388349515</v>
      </c>
      <c r="P139" s="12">
        <v>1.5372168284789645</v>
      </c>
      <c r="Q139" s="12">
        <v>44.538834951456309</v>
      </c>
      <c r="R139" s="12">
        <v>0.18163430420711976</v>
      </c>
      <c r="S139" s="12" t="s">
        <v>333</v>
      </c>
      <c r="T139" s="12">
        <v>0.30339805825242716</v>
      </c>
      <c r="U139" s="12">
        <v>2.0540048543689321E-2</v>
      </c>
      <c r="V139" s="12">
        <v>33.3838996763754</v>
      </c>
      <c r="W139" s="12" t="s">
        <v>333</v>
      </c>
      <c r="X139" s="13">
        <v>5.0869741100323623E-4</v>
      </c>
      <c r="Y139" s="12">
        <v>0.61690938511326854</v>
      </c>
      <c r="Z139" s="12">
        <v>0.30339805825242716</v>
      </c>
      <c r="AA139" s="13">
        <v>5.1314724919093845E-3</v>
      </c>
      <c r="AB139" s="12">
        <v>4.1767799352750821</v>
      </c>
      <c r="AC139" s="12" t="s">
        <v>333</v>
      </c>
      <c r="AD139" s="12" t="s">
        <v>333</v>
      </c>
      <c r="AE139" s="12">
        <v>27.366504854368934</v>
      </c>
      <c r="AF139" s="14">
        <v>7.9803802588996765E-3</v>
      </c>
      <c r="AG139" s="12">
        <v>5.3398058252427187</v>
      </c>
      <c r="AH139" s="12">
        <v>12.206715210355988</v>
      </c>
      <c r="AI139" s="12" t="s">
        <v>333</v>
      </c>
      <c r="AJ139" s="12" t="s">
        <v>333</v>
      </c>
      <c r="AK139" s="12">
        <v>5.0465210355987056</v>
      </c>
    </row>
    <row r="140" spans="1:37" x14ac:dyDescent="0.25">
      <c r="A140" s="7" t="s">
        <v>471</v>
      </c>
      <c r="B140" s="7" t="str">
        <f t="shared" si="2"/>
        <v>2768-140</v>
      </c>
      <c r="C140" s="7">
        <f>VLOOKUP(B140,'CEBAS-DEWOOD code'!A$2:B$302,2,FALSE)</f>
        <v>339</v>
      </c>
      <c r="D140" s="7" t="str">
        <f>VLOOKUP(IONOMICS!C140,'Field Table'!A$2:E$661,3,FALSE)</f>
        <v>FS</v>
      </c>
      <c r="E140" s="7" t="str">
        <f>VLOOKUP(IONOMICS!C140,'Field Table'!A$2:E$661,4,FALSE)</f>
        <v>2</v>
      </c>
      <c r="F140" s="7" t="str">
        <f>VLOOKUP(IONOMICS!C140,'Field Table'!A$2:E$661,5,FALSE)</f>
        <v>10</v>
      </c>
      <c r="G140" s="11">
        <v>6.0692921236291131</v>
      </c>
      <c r="H140" s="12">
        <v>0.11216350947158524</v>
      </c>
      <c r="I140" s="12" t="s">
        <v>333</v>
      </c>
      <c r="J140" s="12" t="s">
        <v>333</v>
      </c>
      <c r="K140" s="12" t="s">
        <v>333</v>
      </c>
      <c r="L140" s="11">
        <v>0.3849700897308076</v>
      </c>
      <c r="M140" s="11">
        <v>0.19940179461615154</v>
      </c>
      <c r="N140" s="12">
        <v>1.2462612163509471E-2</v>
      </c>
      <c r="O140" s="12">
        <v>0.14955134596211364</v>
      </c>
      <c r="P140" s="12">
        <v>1.4705882352941175</v>
      </c>
      <c r="Q140" s="12">
        <v>5.6081754735792622</v>
      </c>
      <c r="R140" s="12">
        <v>0.11036889332003988</v>
      </c>
      <c r="S140" s="12" t="s">
        <v>333</v>
      </c>
      <c r="T140" s="12">
        <v>0.34895314057826515</v>
      </c>
      <c r="U140" s="12">
        <v>6.9479062811565309E-2</v>
      </c>
      <c r="V140" s="12">
        <v>368.39481555333998</v>
      </c>
      <c r="W140" s="12" t="s">
        <v>333</v>
      </c>
      <c r="X140" s="13" t="s">
        <v>333</v>
      </c>
      <c r="Y140" s="12">
        <v>1.109172482552343</v>
      </c>
      <c r="Z140" s="12">
        <v>0.22432701894317048</v>
      </c>
      <c r="AA140" s="13">
        <v>8.500747756729812E-3</v>
      </c>
      <c r="AB140" s="12">
        <v>4.00049850448654</v>
      </c>
      <c r="AC140" s="12" t="s">
        <v>333</v>
      </c>
      <c r="AD140" s="12" t="s">
        <v>333</v>
      </c>
      <c r="AE140" s="12">
        <v>22.071286141575275</v>
      </c>
      <c r="AF140" s="14">
        <v>1.5216849451645064E-2</v>
      </c>
      <c r="AG140" s="12">
        <v>22.956131605184449</v>
      </c>
      <c r="AH140" s="12">
        <v>0.73529411764705876</v>
      </c>
      <c r="AI140" s="12">
        <v>0.18693918245264207</v>
      </c>
      <c r="AJ140" s="12" t="s">
        <v>333</v>
      </c>
      <c r="AK140" s="12">
        <v>5.0099700897308068</v>
      </c>
    </row>
    <row r="141" spans="1:37" x14ac:dyDescent="0.25">
      <c r="A141" s="7" t="s">
        <v>472</v>
      </c>
      <c r="B141" s="7" t="str">
        <f t="shared" si="2"/>
        <v>2768-141</v>
      </c>
      <c r="C141" s="7">
        <f>VLOOKUP(B141,'CEBAS-DEWOOD code'!A$2:B$302,2,FALSE)</f>
        <v>1042</v>
      </c>
      <c r="D141" s="7" t="str">
        <f>VLOOKUP(IONOMICS!C141,'Field Table'!A$2:E$661,3,FALSE)</f>
        <v>FS</v>
      </c>
      <c r="E141" s="7" t="str">
        <f>VLOOKUP(IONOMICS!C141,'Field Table'!A$2:E$661,4,FALSE)</f>
        <v>4</v>
      </c>
      <c r="F141" s="7" t="str">
        <f>VLOOKUP(IONOMICS!C141,'Field Table'!A$2:E$661,5,FALSE)</f>
        <v>01</v>
      </c>
      <c r="G141" s="11">
        <v>22.624877571008817</v>
      </c>
      <c r="H141" s="12" t="s">
        <v>333</v>
      </c>
      <c r="I141" s="12" t="s">
        <v>333</v>
      </c>
      <c r="J141" s="12" t="s">
        <v>333</v>
      </c>
      <c r="K141" s="12" t="s">
        <v>333</v>
      </c>
      <c r="L141" s="11">
        <v>0.30558276199804119</v>
      </c>
      <c r="M141" s="11">
        <v>8.5700293829578833E-2</v>
      </c>
      <c r="N141" s="12">
        <v>7.3457394711067575E-2</v>
      </c>
      <c r="O141" s="12">
        <v>0.15915768854064644</v>
      </c>
      <c r="P141" s="12">
        <v>1.9466209598432911</v>
      </c>
      <c r="Q141" s="12">
        <v>17.066601371204701</v>
      </c>
      <c r="R141" s="12">
        <v>1.289177277179236E-2</v>
      </c>
      <c r="S141" s="12" t="s">
        <v>333</v>
      </c>
      <c r="T141" s="12">
        <v>0.2938295788442703</v>
      </c>
      <c r="U141" s="12">
        <v>3.6814397649363374E-2</v>
      </c>
      <c r="V141" s="12">
        <v>125.24485798237022</v>
      </c>
      <c r="W141" s="12" t="s">
        <v>333</v>
      </c>
      <c r="X141" s="13" t="s">
        <v>333</v>
      </c>
      <c r="Y141" s="12">
        <v>0.99167482859941236</v>
      </c>
      <c r="Z141" s="12">
        <v>2.5220372184133204</v>
      </c>
      <c r="AA141" s="13">
        <v>1.2328599412340841E-2</v>
      </c>
      <c r="AB141" s="12">
        <v>0.71008814887365324</v>
      </c>
      <c r="AC141" s="12" t="s">
        <v>333</v>
      </c>
      <c r="AD141" s="12" t="s">
        <v>333</v>
      </c>
      <c r="AE141" s="12">
        <v>328.10969637610185</v>
      </c>
      <c r="AF141" s="14">
        <v>1.9453966699314401E-2</v>
      </c>
      <c r="AG141" s="12">
        <v>17.593046033300684</v>
      </c>
      <c r="AH141" s="12">
        <v>1.1263467189030363</v>
      </c>
      <c r="AI141" s="12" t="s">
        <v>333</v>
      </c>
      <c r="AJ141" s="12" t="s">
        <v>333</v>
      </c>
      <c r="AK141" s="12">
        <v>9.8065621939275225</v>
      </c>
    </row>
    <row r="142" spans="1:37" x14ac:dyDescent="0.25">
      <c r="A142" s="7" t="s">
        <v>473</v>
      </c>
      <c r="B142" s="7" t="str">
        <f t="shared" si="2"/>
        <v>2768-142</v>
      </c>
      <c r="C142" s="7">
        <f>VLOOKUP(B142,'CEBAS-DEWOOD code'!A$2:B$302,2,FALSE)</f>
        <v>1050</v>
      </c>
      <c r="D142" s="7" t="str">
        <f>VLOOKUP(IONOMICS!C142,'Field Table'!A$2:E$661,3,FALSE)</f>
        <v>AA</v>
      </c>
      <c r="E142" s="7" t="str">
        <f>VLOOKUP(IONOMICS!C142,'Field Table'!A$2:E$661,4,FALSE)</f>
        <v>2</v>
      </c>
      <c r="F142" s="7" t="str">
        <f>VLOOKUP(IONOMICS!C142,'Field Table'!A$2:E$661,5,FALSE)</f>
        <v>01</v>
      </c>
      <c r="G142" s="11">
        <v>27.89039039039039</v>
      </c>
      <c r="H142" s="12">
        <v>8.758758758758757E-2</v>
      </c>
      <c r="I142" s="12" t="s">
        <v>333</v>
      </c>
      <c r="J142" s="12" t="s">
        <v>333</v>
      </c>
      <c r="K142" s="12" t="s">
        <v>333</v>
      </c>
      <c r="L142" s="11">
        <v>0.11858108108108109</v>
      </c>
      <c r="M142" s="11">
        <v>0.13763763763763764</v>
      </c>
      <c r="N142" s="12">
        <v>3.7537537537537538E-2</v>
      </c>
      <c r="O142" s="12">
        <v>0.3003003003003003</v>
      </c>
      <c r="P142" s="12">
        <v>3.0030030030030028</v>
      </c>
      <c r="Q142" s="12">
        <v>9.6471471471471464</v>
      </c>
      <c r="R142" s="12">
        <v>3.4672172172172167E-2</v>
      </c>
      <c r="S142" s="12" t="s">
        <v>333</v>
      </c>
      <c r="T142" s="12">
        <v>0.18768768768768768</v>
      </c>
      <c r="U142" s="12">
        <v>1.946946946946947E-2</v>
      </c>
      <c r="V142" s="12">
        <v>76.501501501501508</v>
      </c>
      <c r="W142" s="12" t="s">
        <v>333</v>
      </c>
      <c r="X142" s="13" t="s">
        <v>333</v>
      </c>
      <c r="Y142" s="12">
        <v>0.23773773773773774</v>
      </c>
      <c r="Z142" s="12">
        <v>0.31281281281281281</v>
      </c>
      <c r="AA142" s="13">
        <v>8.4934934934934921E-3</v>
      </c>
      <c r="AB142" s="12">
        <v>0.88838838838838841</v>
      </c>
      <c r="AC142" s="12" t="s">
        <v>333</v>
      </c>
      <c r="AD142" s="12" t="s">
        <v>333</v>
      </c>
      <c r="AE142" s="12">
        <v>20.658158158158155</v>
      </c>
      <c r="AF142" s="14">
        <v>1.1352602602602601E-2</v>
      </c>
      <c r="AG142" s="12">
        <v>5.4429429429429428</v>
      </c>
      <c r="AH142" s="12">
        <v>0.63813813813813813</v>
      </c>
      <c r="AI142" s="12" t="s">
        <v>333</v>
      </c>
      <c r="AJ142" s="12" t="s">
        <v>333</v>
      </c>
      <c r="AK142" s="12">
        <v>8.108108108108107</v>
      </c>
    </row>
    <row r="143" spans="1:37" x14ac:dyDescent="0.25">
      <c r="A143" s="7" t="s">
        <v>474</v>
      </c>
      <c r="B143" s="7" t="str">
        <f t="shared" si="2"/>
        <v>2768-143</v>
      </c>
      <c r="C143" s="7">
        <f>VLOOKUP(B143,'CEBAS-DEWOOD code'!A$2:B$302,2,FALSE)</f>
        <v>1016</v>
      </c>
      <c r="D143" s="7" t="str">
        <f>VLOOKUP(IONOMICS!C143,'Field Table'!A$2:E$661,3,FALSE)</f>
        <v>FS</v>
      </c>
      <c r="E143" s="7" t="str">
        <f>VLOOKUP(IONOMICS!C143,'Field Table'!A$2:E$661,4,FALSE)</f>
        <v>1</v>
      </c>
      <c r="F143" s="7" t="str">
        <f>VLOOKUP(IONOMICS!C143,'Field Table'!A$2:E$661,5,FALSE)</f>
        <v>01</v>
      </c>
      <c r="G143" s="11">
        <v>12.050271069492361</v>
      </c>
      <c r="H143" s="12">
        <v>0.20946278955150319</v>
      </c>
      <c r="I143" s="12" t="s">
        <v>333</v>
      </c>
      <c r="J143" s="12" t="s">
        <v>333</v>
      </c>
      <c r="K143" s="12" t="s">
        <v>333</v>
      </c>
      <c r="L143" s="11">
        <v>0.20847708230655498</v>
      </c>
      <c r="M143" s="11">
        <v>6.1606702809265654E-2</v>
      </c>
      <c r="N143" s="12">
        <v>3.6964021685559387E-2</v>
      </c>
      <c r="O143" s="12">
        <v>9.8570724494825041E-2</v>
      </c>
      <c r="P143" s="12">
        <v>2.5874815179891573</v>
      </c>
      <c r="Q143" s="12">
        <v>14.477575160177427</v>
      </c>
      <c r="R143" s="12">
        <v>8.6397240019714147E-2</v>
      </c>
      <c r="S143" s="12" t="s">
        <v>333</v>
      </c>
      <c r="T143" s="12">
        <v>0.24642681123706262</v>
      </c>
      <c r="U143" s="12">
        <v>1.9627895515032034E-2</v>
      </c>
      <c r="V143" s="12">
        <v>82.676195170034518</v>
      </c>
      <c r="W143" s="12" t="s">
        <v>333</v>
      </c>
      <c r="X143" s="13">
        <v>2.1315919172005916E-4</v>
      </c>
      <c r="Y143" s="12">
        <v>0.88713652045342528</v>
      </c>
      <c r="Z143" s="12">
        <v>0.51749630359783139</v>
      </c>
      <c r="AA143" s="13">
        <v>1.9825036964021686E-2</v>
      </c>
      <c r="AB143" s="12">
        <v>2.4642681123706258</v>
      </c>
      <c r="AC143" s="12" t="s">
        <v>333</v>
      </c>
      <c r="AD143" s="12" t="s">
        <v>333</v>
      </c>
      <c r="AE143" s="12">
        <v>364.83489403647116</v>
      </c>
      <c r="AF143" s="14">
        <v>1.8592902907836373E-2</v>
      </c>
      <c r="AG143" s="12">
        <v>14.773287333661903</v>
      </c>
      <c r="AH143" s="12">
        <v>1.0473139477575162</v>
      </c>
      <c r="AI143" s="12" t="s">
        <v>333</v>
      </c>
      <c r="AJ143" s="12" t="s">
        <v>333</v>
      </c>
      <c r="AK143" s="12">
        <v>5.5569245933957614</v>
      </c>
    </row>
    <row r="144" spans="1:37" x14ac:dyDescent="0.25">
      <c r="A144" s="7" t="s">
        <v>475</v>
      </c>
      <c r="B144" s="7" t="str">
        <f t="shared" si="2"/>
        <v>2768-144</v>
      </c>
      <c r="C144" s="7">
        <f>VLOOKUP(B144,'CEBAS-DEWOOD code'!A$2:B$302,2,FALSE)</f>
        <v>159</v>
      </c>
      <c r="D144" s="7" t="str">
        <f>VLOOKUP(IONOMICS!C144,'Field Table'!A$2:E$661,3,FALSE)</f>
        <v>AA</v>
      </c>
      <c r="E144" s="7" t="str">
        <f>VLOOKUP(IONOMICS!C144,'Field Table'!A$2:E$661,4,FALSE)</f>
        <v>2</v>
      </c>
      <c r="F144" s="7" t="str">
        <f>VLOOKUP(IONOMICS!C144,'Field Table'!A$2:E$661,5,FALSE)</f>
        <v>25</v>
      </c>
      <c r="G144" s="11">
        <v>7.2588582677165352</v>
      </c>
      <c r="H144" s="12">
        <v>0.11072834645669291</v>
      </c>
      <c r="I144" s="12" t="s">
        <v>333</v>
      </c>
      <c r="J144" s="12" t="s">
        <v>333</v>
      </c>
      <c r="K144" s="12" t="s">
        <v>333</v>
      </c>
      <c r="L144" s="11">
        <v>7.0091043307086612E-2</v>
      </c>
      <c r="M144" s="11">
        <v>6.1515748031496072E-2</v>
      </c>
      <c r="N144" s="12" t="s">
        <v>333</v>
      </c>
      <c r="O144" s="12">
        <v>9.8425196850393706E-2</v>
      </c>
      <c r="P144" s="12">
        <v>0.98425196850393715</v>
      </c>
      <c r="Q144" s="12">
        <v>4.9581692913385833</v>
      </c>
      <c r="R144" s="12">
        <v>6.380413385826772E-2</v>
      </c>
      <c r="S144" s="12" t="s">
        <v>333</v>
      </c>
      <c r="T144" s="12">
        <v>0.19685039370078741</v>
      </c>
      <c r="U144" s="12">
        <v>1.7605807086614175E-2</v>
      </c>
      <c r="V144" s="12">
        <v>28.973917322834644</v>
      </c>
      <c r="W144" s="12" t="s">
        <v>333</v>
      </c>
      <c r="X144" s="13">
        <v>3.1003937007874019E-4</v>
      </c>
      <c r="Y144" s="12">
        <v>8.6122047244094488E-2</v>
      </c>
      <c r="Z144" s="12">
        <v>0.19685039370078741</v>
      </c>
      <c r="AA144" s="13">
        <v>7.3203740157480309E-4</v>
      </c>
      <c r="AB144" s="12">
        <v>1.0088582677165356</v>
      </c>
      <c r="AC144" s="12" t="s">
        <v>333</v>
      </c>
      <c r="AD144" s="12" t="s">
        <v>333</v>
      </c>
      <c r="AE144" s="12">
        <v>12.266240157480315</v>
      </c>
      <c r="AF144" s="14">
        <v>6.3090551181102369E-3</v>
      </c>
      <c r="AG144" s="12">
        <v>5.684055118110237</v>
      </c>
      <c r="AH144" s="12">
        <v>0.66437007874015752</v>
      </c>
      <c r="AI144" s="12" t="s">
        <v>333</v>
      </c>
      <c r="AJ144" s="12" t="s">
        <v>333</v>
      </c>
      <c r="AK144" s="12">
        <v>4.2445866141732287</v>
      </c>
    </row>
    <row r="145" spans="1:37" x14ac:dyDescent="0.25">
      <c r="A145" s="7" t="s">
        <v>476</v>
      </c>
      <c r="B145" s="7" t="str">
        <f t="shared" si="2"/>
        <v>2768-145</v>
      </c>
      <c r="C145" s="7">
        <f>VLOOKUP(B145,'CEBAS-DEWOOD code'!A$2:B$302,2,FALSE)</f>
        <v>346</v>
      </c>
      <c r="D145" s="7" t="str">
        <f>VLOOKUP(IONOMICS!C145,'Field Table'!A$2:E$661,3,FALSE)</f>
        <v>FS</v>
      </c>
      <c r="E145" s="7" t="str">
        <f>VLOOKUP(IONOMICS!C145,'Field Table'!A$2:E$661,4,FALSE)</f>
        <v>2</v>
      </c>
      <c r="F145" s="7" t="str">
        <f>VLOOKUP(IONOMICS!C145,'Field Table'!A$2:E$661,5,FALSE)</f>
        <v>25</v>
      </c>
      <c r="G145" s="11">
        <v>58.330248056275451</v>
      </c>
      <c r="H145" s="12" t="s">
        <v>333</v>
      </c>
      <c r="I145" s="12" t="s">
        <v>333</v>
      </c>
      <c r="J145" s="12" t="s">
        <v>333</v>
      </c>
      <c r="K145" s="12" t="s">
        <v>333</v>
      </c>
      <c r="L145" s="11">
        <v>0.39726027397260277</v>
      </c>
      <c r="M145" s="11">
        <v>0.44427989633469084</v>
      </c>
      <c r="N145" s="12">
        <v>3.7023324694557574E-2</v>
      </c>
      <c r="O145" s="12">
        <v>0.2961865975564606</v>
      </c>
      <c r="P145" s="12">
        <v>2.1380970011106997</v>
      </c>
      <c r="Q145" s="12">
        <v>30.183265457238058</v>
      </c>
      <c r="R145" s="12">
        <v>0.15420214735283228</v>
      </c>
      <c r="S145" s="12" t="s">
        <v>333</v>
      </c>
      <c r="T145" s="12">
        <v>0.1480932987782303</v>
      </c>
      <c r="U145" s="12">
        <v>6.376342095520178E-2</v>
      </c>
      <c r="V145" s="12">
        <v>264.34653831914102</v>
      </c>
      <c r="W145" s="12" t="s">
        <v>333</v>
      </c>
      <c r="X145" s="13">
        <v>4.4150314698259904E-4</v>
      </c>
      <c r="Y145" s="12">
        <v>1.6938171047760089</v>
      </c>
      <c r="Z145" s="12">
        <v>5.7201036653091446</v>
      </c>
      <c r="AA145" s="13">
        <v>8.9827841540170306E-3</v>
      </c>
      <c r="AB145" s="12">
        <v>5.451684561273602</v>
      </c>
      <c r="AC145" s="12" t="s">
        <v>333</v>
      </c>
      <c r="AD145" s="12" t="s">
        <v>333</v>
      </c>
      <c r="AE145" s="12">
        <v>76.832654572380591</v>
      </c>
      <c r="AF145" s="14">
        <v>1.6392077008515363E-2</v>
      </c>
      <c r="AG145" s="12">
        <v>24.50944094779711</v>
      </c>
      <c r="AH145" s="12">
        <v>1.3606071825249906</v>
      </c>
      <c r="AI145" s="12">
        <v>3.0451684561273602</v>
      </c>
      <c r="AJ145" s="12">
        <v>5.5534987041836355E-2</v>
      </c>
      <c r="AK145" s="12">
        <v>16.475379489078119</v>
      </c>
    </row>
    <row r="146" spans="1:37" x14ac:dyDescent="0.25">
      <c r="A146" s="7" t="s">
        <v>477</v>
      </c>
      <c r="B146" s="7" t="str">
        <f t="shared" si="2"/>
        <v>2768-146</v>
      </c>
      <c r="C146" s="7">
        <f>VLOOKUP(B146,'CEBAS-DEWOOD code'!A$2:B$302,2,FALSE)</f>
        <v>180</v>
      </c>
      <c r="D146" s="7" t="str">
        <f>VLOOKUP(IONOMICS!C146,'Field Table'!A$2:E$661,3,FALSE)</f>
        <v>FS</v>
      </c>
      <c r="E146" s="7" t="str">
        <f>VLOOKUP(IONOMICS!C146,'Field Table'!A$2:E$661,4,FALSE)</f>
        <v>2</v>
      </c>
      <c r="F146" s="7" t="str">
        <f>VLOOKUP(IONOMICS!C146,'Field Table'!A$2:E$661,5,FALSE)</f>
        <v>10</v>
      </c>
      <c r="G146" s="11">
        <v>3.7247946228528752</v>
      </c>
      <c r="H146" s="12">
        <v>0.10268857356235998</v>
      </c>
      <c r="I146" s="12" t="s">
        <v>333</v>
      </c>
      <c r="J146" s="12" t="s">
        <v>333</v>
      </c>
      <c r="K146" s="12" t="s">
        <v>333</v>
      </c>
      <c r="L146" s="11">
        <v>0.14777819268110531</v>
      </c>
      <c r="M146" s="11">
        <v>6.5347274085138157E-2</v>
      </c>
      <c r="N146" s="12" t="s">
        <v>333</v>
      </c>
      <c r="O146" s="12">
        <v>4.6676624346527265E-2</v>
      </c>
      <c r="P146" s="12">
        <v>1.5403286034353998</v>
      </c>
      <c r="Q146" s="12">
        <v>28.846153846153847</v>
      </c>
      <c r="R146" s="12">
        <v>0.11790515309932789</v>
      </c>
      <c r="S146" s="12" t="s">
        <v>333</v>
      </c>
      <c r="T146" s="12">
        <v>0.23338312173263631</v>
      </c>
      <c r="U146" s="12">
        <v>5.7869678864824498E-2</v>
      </c>
      <c r="V146" s="12">
        <v>36.706497386109042</v>
      </c>
      <c r="W146" s="12" t="s">
        <v>333</v>
      </c>
      <c r="X146" s="13" t="s">
        <v>333</v>
      </c>
      <c r="Y146" s="12">
        <v>0.74682598954443624</v>
      </c>
      <c r="Z146" s="12">
        <v>0.14002987303958178</v>
      </c>
      <c r="AA146" s="13">
        <v>1.141710231516057E-2</v>
      </c>
      <c r="AB146" s="12">
        <v>3.1273338312173267</v>
      </c>
      <c r="AC146" s="12" t="s">
        <v>333</v>
      </c>
      <c r="AD146" s="12" t="s">
        <v>333</v>
      </c>
      <c r="AE146" s="12">
        <v>8.8032113517550421</v>
      </c>
      <c r="AF146" s="14">
        <v>1.3592233009708739E-2</v>
      </c>
      <c r="AG146" s="12">
        <v>10.53024645257655</v>
      </c>
      <c r="AH146" s="12">
        <v>0.80283793876026888</v>
      </c>
      <c r="AI146" s="12" t="s">
        <v>333</v>
      </c>
      <c r="AJ146" s="12" t="s">
        <v>333</v>
      </c>
      <c r="AK146" s="12">
        <v>2.3244958924570573</v>
      </c>
    </row>
    <row r="147" spans="1:37" x14ac:dyDescent="0.25">
      <c r="A147" s="7" t="s">
        <v>478</v>
      </c>
      <c r="B147" s="7" t="str">
        <f t="shared" si="2"/>
        <v>2768-147</v>
      </c>
      <c r="C147" s="7">
        <f>VLOOKUP(B147,'CEBAS-DEWOOD code'!A$2:B$302,2,FALSE)</f>
        <v>1083</v>
      </c>
      <c r="D147" s="7" t="str">
        <f>VLOOKUP(IONOMICS!C147,'Field Table'!A$2:E$661,3,FALSE)</f>
        <v>FS</v>
      </c>
      <c r="E147" s="7" t="str">
        <f>VLOOKUP(IONOMICS!C147,'Field Table'!A$2:E$661,4,FALSE)</f>
        <v>2</v>
      </c>
      <c r="F147" s="7" t="str">
        <f>VLOOKUP(IONOMICS!C147,'Field Table'!A$2:E$661,5,FALSE)</f>
        <v>01</v>
      </c>
      <c r="G147" s="11">
        <v>14.905787348586809</v>
      </c>
      <c r="H147" s="12" t="s">
        <v>333</v>
      </c>
      <c r="I147" s="12" t="s">
        <v>333</v>
      </c>
      <c r="J147" s="12" t="s">
        <v>333</v>
      </c>
      <c r="K147" s="12" t="s">
        <v>333</v>
      </c>
      <c r="L147" s="11">
        <v>0.18494840735755944</v>
      </c>
      <c r="M147" s="11">
        <v>3.3647375504710635E-2</v>
      </c>
      <c r="N147" s="12">
        <v>2.243158366980709E-2</v>
      </c>
      <c r="O147" s="12">
        <v>0.25796321220278151</v>
      </c>
      <c r="P147" s="12">
        <v>2.4001794526693581</v>
      </c>
      <c r="Q147" s="12">
        <v>16.139524450426201</v>
      </c>
      <c r="R147" s="12">
        <v>0.11084567070435172</v>
      </c>
      <c r="S147" s="12" t="s">
        <v>333</v>
      </c>
      <c r="T147" s="12">
        <v>0.16823687752355318</v>
      </c>
      <c r="U147" s="12">
        <v>2.249887842081651E-2</v>
      </c>
      <c r="V147" s="12">
        <v>58.075370121130554</v>
      </c>
      <c r="W147" s="12" t="s">
        <v>333</v>
      </c>
      <c r="X147" s="13">
        <v>8.4118438761776582E-5</v>
      </c>
      <c r="Y147" s="12">
        <v>1.7160161507402425</v>
      </c>
      <c r="Z147" s="12">
        <v>0.61686855091969495</v>
      </c>
      <c r="AA147" s="13">
        <v>2.3362494392104086E-2</v>
      </c>
      <c r="AB147" s="12">
        <v>3.4656796769851952</v>
      </c>
      <c r="AC147" s="12" t="s">
        <v>333</v>
      </c>
      <c r="AD147" s="12" t="s">
        <v>333</v>
      </c>
      <c r="AE147" s="12">
        <v>432.70524899057875</v>
      </c>
      <c r="AF147" s="14">
        <v>2.21511888739345E-2</v>
      </c>
      <c r="AG147" s="12">
        <v>12.662628981606101</v>
      </c>
      <c r="AH147" s="12">
        <v>0.69537909376401974</v>
      </c>
      <c r="AI147" s="12" t="s">
        <v>333</v>
      </c>
      <c r="AJ147" s="12" t="s">
        <v>333</v>
      </c>
      <c r="AK147" s="12">
        <v>2.9946164199192462</v>
      </c>
    </row>
    <row r="148" spans="1:37" x14ac:dyDescent="0.25">
      <c r="A148" s="7" t="s">
        <v>479</v>
      </c>
      <c r="B148" s="7" t="str">
        <f t="shared" si="2"/>
        <v>2768-148</v>
      </c>
      <c r="C148" s="7">
        <f>VLOOKUP(B148,'CEBAS-DEWOOD code'!A$2:B$302,2,FALSE)</f>
        <v>328</v>
      </c>
      <c r="D148" s="7" t="str">
        <f>VLOOKUP(IONOMICS!C148,'Field Table'!A$2:E$661,3,FALSE)</f>
        <v>FS</v>
      </c>
      <c r="E148" s="7" t="str">
        <f>VLOOKUP(IONOMICS!C148,'Field Table'!A$2:E$661,4,FALSE)</f>
        <v>2</v>
      </c>
      <c r="F148" s="7" t="str">
        <f>VLOOKUP(IONOMICS!C148,'Field Table'!A$2:E$661,5,FALSE)</f>
        <v>25</v>
      </c>
      <c r="G148" s="11">
        <v>7.5208913649025062</v>
      </c>
      <c r="H148" s="12">
        <v>1.160631383472609</v>
      </c>
      <c r="I148" s="12">
        <v>0.23212627669452182</v>
      </c>
      <c r="J148" s="12" t="s">
        <v>333</v>
      </c>
      <c r="K148" s="12" t="s">
        <v>333</v>
      </c>
      <c r="L148" s="11">
        <v>0.10234447539461466</v>
      </c>
      <c r="M148" s="11">
        <v>0.75441039925719588</v>
      </c>
      <c r="N148" s="12">
        <v>0.46425255338904364</v>
      </c>
      <c r="O148" s="12">
        <v>0.38300835654596099</v>
      </c>
      <c r="P148" s="12">
        <v>1.8918291550603525</v>
      </c>
      <c r="Q148" s="12">
        <v>12.40714948932219</v>
      </c>
      <c r="R148" s="12">
        <v>0.11361420612813371</v>
      </c>
      <c r="S148" s="12" t="s">
        <v>333</v>
      </c>
      <c r="T148" s="12">
        <v>0.60352831940575669</v>
      </c>
      <c r="U148" s="12">
        <v>4.1782729805013928E-2</v>
      </c>
      <c r="V148" s="12">
        <v>67.281801299907144</v>
      </c>
      <c r="W148" s="12">
        <v>1.9150417827298052</v>
      </c>
      <c r="X148" s="13">
        <v>5.4549675023212623E-4</v>
      </c>
      <c r="Y148" s="12">
        <v>1.160631383472609</v>
      </c>
      <c r="Z148" s="12">
        <v>0.89368616527390898</v>
      </c>
      <c r="AA148" s="13">
        <v>4.2571959145775301E-3</v>
      </c>
      <c r="AB148" s="12">
        <v>5.3272980501392766</v>
      </c>
      <c r="AC148" s="12">
        <v>1.9498607242339832</v>
      </c>
      <c r="AD148" s="12">
        <v>0.23212627669452182</v>
      </c>
      <c r="AE148" s="12">
        <v>20.90297121634169</v>
      </c>
      <c r="AF148" s="14">
        <v>1.3602599814298977E-2</v>
      </c>
      <c r="AG148" s="12">
        <v>9.0297121634168978</v>
      </c>
      <c r="AH148" s="12">
        <v>1.9730733519034356</v>
      </c>
      <c r="AI148" s="12" t="s">
        <v>333</v>
      </c>
      <c r="AJ148" s="12">
        <v>0.19730733519034352</v>
      </c>
      <c r="AK148" s="12">
        <v>6.3138347260909926</v>
      </c>
    </row>
    <row r="149" spans="1:37" x14ac:dyDescent="0.25">
      <c r="A149" s="7" t="s">
        <v>480</v>
      </c>
      <c r="B149" s="7" t="str">
        <f t="shared" si="2"/>
        <v>2768-149</v>
      </c>
      <c r="C149" s="7">
        <f>VLOOKUP(B149,'CEBAS-DEWOOD code'!A$2:B$302,2,FALSE)</f>
        <v>362</v>
      </c>
      <c r="D149" s="7" t="str">
        <f>VLOOKUP(IONOMICS!C149,'Field Table'!A$2:E$661,3,FALSE)</f>
        <v>AA</v>
      </c>
      <c r="E149" s="7" t="str">
        <f>VLOOKUP(IONOMICS!C149,'Field Table'!A$2:E$661,4,FALSE)</f>
        <v>4</v>
      </c>
      <c r="F149" s="7" t="str">
        <f>VLOOKUP(IONOMICS!C149,'Field Table'!A$2:E$661,5,FALSE)</f>
        <v>25</v>
      </c>
      <c r="G149" s="11">
        <v>46.917344173441727</v>
      </c>
      <c r="H149" s="12">
        <v>0.31616982836495028</v>
      </c>
      <c r="I149" s="12">
        <v>3.3875338753387531E-2</v>
      </c>
      <c r="J149" s="12" t="s">
        <v>333</v>
      </c>
      <c r="K149" s="12" t="s">
        <v>333</v>
      </c>
      <c r="L149" s="11">
        <v>7.4525745257452577E-2</v>
      </c>
      <c r="M149" s="11">
        <v>0.25971093044263771</v>
      </c>
      <c r="N149" s="12">
        <v>7.904245709123757E-2</v>
      </c>
      <c r="O149" s="12">
        <v>0.31616982836495028</v>
      </c>
      <c r="P149" s="12">
        <v>1.8744354110207766</v>
      </c>
      <c r="Q149" s="12">
        <v>21.860885275519419</v>
      </c>
      <c r="R149" s="12">
        <v>2.2256097560975612E-2</v>
      </c>
      <c r="S149" s="12" t="s">
        <v>333</v>
      </c>
      <c r="T149" s="12">
        <v>0.25971093044263771</v>
      </c>
      <c r="U149" s="12">
        <v>1.034327009936766E-2</v>
      </c>
      <c r="V149" s="12">
        <v>38.064588979223124</v>
      </c>
      <c r="W149" s="12" t="s">
        <v>333</v>
      </c>
      <c r="X149" s="13">
        <v>7.7235772357723577E-4</v>
      </c>
      <c r="Y149" s="12">
        <v>0.21454381210478771</v>
      </c>
      <c r="Z149" s="12">
        <v>0.97109304426377585</v>
      </c>
      <c r="AA149" s="13">
        <v>4.2321589882565493E-3</v>
      </c>
      <c r="AB149" s="12">
        <v>0.84688346883468835</v>
      </c>
      <c r="AC149" s="12" t="s">
        <v>333</v>
      </c>
      <c r="AD149" s="12" t="s">
        <v>333</v>
      </c>
      <c r="AE149" s="12">
        <v>30.995934959349594</v>
      </c>
      <c r="AF149" s="14">
        <v>1.1935411020776873E-2</v>
      </c>
      <c r="AG149" s="12">
        <v>4.1440831074977416</v>
      </c>
      <c r="AH149" s="12">
        <v>2.6648599819331524</v>
      </c>
      <c r="AI149" s="12" t="s">
        <v>333</v>
      </c>
      <c r="AJ149" s="12">
        <v>3.3875338753387531E-2</v>
      </c>
      <c r="AK149" s="12">
        <v>6.0411020776874427</v>
      </c>
    </row>
    <row r="150" spans="1:37" x14ac:dyDescent="0.25">
      <c r="A150" s="7" t="s">
        <v>481</v>
      </c>
      <c r="B150" s="7" t="str">
        <f t="shared" si="2"/>
        <v>2768-150</v>
      </c>
      <c r="C150" s="7">
        <f>VLOOKUP(B150,'CEBAS-DEWOOD code'!A$2:B$302,2,FALSE)</f>
        <v>1012</v>
      </c>
      <c r="D150" s="7" t="str">
        <f>VLOOKUP(IONOMICS!C150,'Field Table'!A$2:E$661,3,FALSE)</f>
        <v>FS</v>
      </c>
      <c r="E150" s="7" t="str">
        <f>VLOOKUP(IONOMICS!C150,'Field Table'!A$2:E$661,4,FALSE)</f>
        <v>4</v>
      </c>
      <c r="F150" s="7" t="str">
        <f>VLOOKUP(IONOMICS!C150,'Field Table'!A$2:E$661,5,FALSE)</f>
        <v>01</v>
      </c>
      <c r="G150" s="11">
        <v>13.108231014097315</v>
      </c>
      <c r="H150" s="12" t="s">
        <v>333</v>
      </c>
      <c r="I150" s="12" t="s">
        <v>333</v>
      </c>
      <c r="J150" s="12">
        <v>1.4097316962255571</v>
      </c>
      <c r="K150" s="12" t="s">
        <v>333</v>
      </c>
      <c r="L150" s="11">
        <v>0.45122783083219642</v>
      </c>
      <c r="M150" s="11" t="s">
        <v>333</v>
      </c>
      <c r="N150" s="12" t="s">
        <v>333</v>
      </c>
      <c r="O150" s="12" t="s">
        <v>333</v>
      </c>
      <c r="P150" s="12">
        <v>2.2623919963619827</v>
      </c>
      <c r="Q150" s="12">
        <v>14.893133242382902</v>
      </c>
      <c r="R150" s="12">
        <v>2.8490222828558433E-2</v>
      </c>
      <c r="S150" s="12" t="s">
        <v>333</v>
      </c>
      <c r="T150" s="12" t="s">
        <v>333</v>
      </c>
      <c r="U150" s="12">
        <v>2.5204638472032744E-2</v>
      </c>
      <c r="V150" s="12">
        <v>161.09595270577537</v>
      </c>
      <c r="W150" s="12">
        <v>0.38653933606184626</v>
      </c>
      <c r="X150" s="13">
        <v>3.4106412005457021E-4</v>
      </c>
      <c r="Y150" s="12">
        <v>0.25011368804001816</v>
      </c>
      <c r="Z150" s="12">
        <v>1.1141427921782627</v>
      </c>
      <c r="AA150" s="13">
        <v>1.0974306502955888E-2</v>
      </c>
      <c r="AB150" s="12">
        <v>0.38653933606184626</v>
      </c>
      <c r="AC150" s="12">
        <v>1.421100500227376</v>
      </c>
      <c r="AD150" s="12" t="s">
        <v>333</v>
      </c>
      <c r="AE150" s="12">
        <v>520.69122328331059</v>
      </c>
      <c r="AF150" s="14">
        <v>2.1202819463392451E-2</v>
      </c>
      <c r="AG150" s="12">
        <v>21.077762619372439</v>
      </c>
      <c r="AH150" s="12">
        <v>0.98908594815825357</v>
      </c>
      <c r="AI150" s="12">
        <v>4.1950886766712143</v>
      </c>
      <c r="AJ150" s="12" t="s">
        <v>333</v>
      </c>
      <c r="AK150" s="12">
        <v>12.426102773988175</v>
      </c>
    </row>
    <row r="151" spans="1:37" x14ac:dyDescent="0.25">
      <c r="A151" s="7" t="s">
        <v>482</v>
      </c>
      <c r="B151" s="7" t="str">
        <f t="shared" si="2"/>
        <v>2768-151</v>
      </c>
      <c r="C151" s="7">
        <f>VLOOKUP(B151,'CEBAS-DEWOOD code'!A$2:B$302,2,FALSE)</f>
        <v>128</v>
      </c>
      <c r="D151" s="7" t="str">
        <f>VLOOKUP(IONOMICS!C151,'Field Table'!A$2:E$661,3,FALSE)</f>
        <v>AA</v>
      </c>
      <c r="E151" s="7" t="str">
        <f>VLOOKUP(IONOMICS!C151,'Field Table'!A$2:E$661,4,FALSE)</f>
        <v>2</v>
      </c>
      <c r="F151" s="7" t="str">
        <f>VLOOKUP(IONOMICS!C151,'Field Table'!A$2:E$661,5,FALSE)</f>
        <v>10</v>
      </c>
      <c r="G151" s="11">
        <v>4.9572649572649565</v>
      </c>
      <c r="H151" s="12" t="s">
        <v>333</v>
      </c>
      <c r="I151" s="12" t="s">
        <v>333</v>
      </c>
      <c r="J151" s="12" t="s">
        <v>333</v>
      </c>
      <c r="K151" s="12" t="s">
        <v>333</v>
      </c>
      <c r="L151" s="11">
        <v>5.5427350427350419E-2</v>
      </c>
      <c r="M151" s="11" t="s">
        <v>333</v>
      </c>
      <c r="N151" s="12" t="s">
        <v>333</v>
      </c>
      <c r="O151" s="12">
        <v>9.6153846153846145E-2</v>
      </c>
      <c r="P151" s="12">
        <v>0.49145299145299137</v>
      </c>
      <c r="Q151" s="12">
        <v>5.7585470085470085</v>
      </c>
      <c r="R151" s="12">
        <v>8.3376068376068369E-2</v>
      </c>
      <c r="S151" s="12" t="s">
        <v>333</v>
      </c>
      <c r="T151" s="12" t="s">
        <v>333</v>
      </c>
      <c r="U151" s="12">
        <v>1.5576923076923075E-2</v>
      </c>
      <c r="V151" s="12">
        <v>27.179487179487179</v>
      </c>
      <c r="W151" s="12">
        <v>1.0683760683760684E-2</v>
      </c>
      <c r="X151" s="13">
        <v>1.1570512820512819E-3</v>
      </c>
      <c r="Y151" s="12">
        <v>1.0897435897435896</v>
      </c>
      <c r="Z151" s="12">
        <v>0.49145299145299137</v>
      </c>
      <c r="AA151" s="13">
        <v>9.2841880341880346E-4</v>
      </c>
      <c r="AB151" s="12">
        <v>1.1111111111111112</v>
      </c>
      <c r="AC151" s="12">
        <v>0.53418803418803418</v>
      </c>
      <c r="AD151" s="12" t="s">
        <v>333</v>
      </c>
      <c r="AE151" s="12">
        <v>14.98931623931624</v>
      </c>
      <c r="AF151" s="14">
        <v>5.1132478632478634E-3</v>
      </c>
      <c r="AG151" s="12">
        <v>2.6923076923076921</v>
      </c>
      <c r="AH151" s="12">
        <v>0.1388888888888889</v>
      </c>
      <c r="AI151" s="12">
        <v>1.6987179487179487</v>
      </c>
      <c r="AJ151" s="12" t="s">
        <v>333</v>
      </c>
      <c r="AK151" s="12">
        <v>2.4145299145299139</v>
      </c>
    </row>
    <row r="152" spans="1:37" x14ac:dyDescent="0.25">
      <c r="A152" s="7" t="s">
        <v>483</v>
      </c>
      <c r="B152" s="7" t="str">
        <f t="shared" si="2"/>
        <v>2768-152</v>
      </c>
      <c r="C152" s="7">
        <f>VLOOKUP(B152,'CEBAS-DEWOOD code'!A$2:B$302,2,FALSE)</f>
        <v>389</v>
      </c>
      <c r="D152" s="7" t="str">
        <f>VLOOKUP(IONOMICS!C152,'Field Table'!A$2:E$661,3,FALSE)</f>
        <v>AA</v>
      </c>
      <c r="E152" s="7" t="str">
        <f>VLOOKUP(IONOMICS!C152,'Field Table'!A$2:E$661,4,FALSE)</f>
        <v>4</v>
      </c>
      <c r="F152" s="7" t="str">
        <f>VLOOKUP(IONOMICS!C152,'Field Table'!A$2:E$661,5,FALSE)</f>
        <v>10</v>
      </c>
      <c r="G152" s="11">
        <v>119.99511718749999</v>
      </c>
      <c r="H152" s="12">
        <v>0.244140625</v>
      </c>
      <c r="I152" s="12" t="s">
        <v>333</v>
      </c>
      <c r="J152" s="12" t="s">
        <v>333</v>
      </c>
      <c r="K152" s="12" t="s">
        <v>333</v>
      </c>
      <c r="L152" s="11">
        <v>0.16101074218749997</v>
      </c>
      <c r="M152" s="11">
        <v>0.67138671874999989</v>
      </c>
      <c r="N152" s="12" t="s">
        <v>333</v>
      </c>
      <c r="O152" s="12">
        <v>1.220703125E-2</v>
      </c>
      <c r="P152" s="12">
        <v>3.2958984375</v>
      </c>
      <c r="Q152" s="12">
        <v>29.431152343749996</v>
      </c>
      <c r="R152" s="12">
        <v>4.0014648437500001E-2</v>
      </c>
      <c r="S152" s="12" t="s">
        <v>333</v>
      </c>
      <c r="T152" s="12">
        <v>0.34179687499999994</v>
      </c>
      <c r="U152" s="12">
        <v>3.4411621093749997E-2</v>
      </c>
      <c r="V152" s="12">
        <v>63.159179687499993</v>
      </c>
      <c r="W152" s="12" t="s">
        <v>333</v>
      </c>
      <c r="X152" s="13">
        <v>2.7587890624999997E-4</v>
      </c>
      <c r="Y152" s="12">
        <v>0.37841796875</v>
      </c>
      <c r="Z152" s="12">
        <v>0.45166015625</v>
      </c>
      <c r="AA152" s="13">
        <v>2.9138183593749997E-3</v>
      </c>
      <c r="AB152" s="12">
        <v>1.0986328124999998</v>
      </c>
      <c r="AC152" s="12" t="s">
        <v>333</v>
      </c>
      <c r="AD152" s="12" t="s">
        <v>333</v>
      </c>
      <c r="AE152" s="12">
        <v>17.663574218749996</v>
      </c>
      <c r="AF152" s="14">
        <v>1.1618652343749999E-2</v>
      </c>
      <c r="AG152" s="12">
        <v>10.7177734375</v>
      </c>
      <c r="AH152" s="12">
        <v>1.025390625</v>
      </c>
      <c r="AI152" s="12" t="s">
        <v>333</v>
      </c>
      <c r="AJ152" s="12" t="s">
        <v>333</v>
      </c>
      <c r="AK152" s="12">
        <v>12.48779296875</v>
      </c>
    </row>
    <row r="153" spans="1:37" x14ac:dyDescent="0.25">
      <c r="A153" s="7" t="s">
        <v>484</v>
      </c>
      <c r="B153" s="7" t="str">
        <f t="shared" si="2"/>
        <v>2768-153</v>
      </c>
      <c r="C153" s="7">
        <f>VLOOKUP(B153,'CEBAS-DEWOOD code'!A$2:B$302,2,FALSE)</f>
        <v>327</v>
      </c>
      <c r="D153" s="7" t="str">
        <f>VLOOKUP(IONOMICS!C153,'Field Table'!A$2:E$661,3,FALSE)</f>
        <v>FS</v>
      </c>
      <c r="E153" s="7" t="str">
        <f>VLOOKUP(IONOMICS!C153,'Field Table'!A$2:E$661,4,FALSE)</f>
        <v>1</v>
      </c>
      <c r="F153" s="7" t="str">
        <f>VLOOKUP(IONOMICS!C153,'Field Table'!A$2:E$661,5,FALSE)</f>
        <v>25</v>
      </c>
      <c r="G153" s="11">
        <v>5.7701202590194267</v>
      </c>
      <c r="H153" s="12">
        <v>5.7816836262719704E-2</v>
      </c>
      <c r="I153" s="12" t="s">
        <v>333</v>
      </c>
      <c r="J153" s="12" t="s">
        <v>333</v>
      </c>
      <c r="K153" s="12" t="s">
        <v>333</v>
      </c>
      <c r="L153" s="11">
        <v>0.10080943570767809</v>
      </c>
      <c r="M153" s="11">
        <v>4.6253469010175761E-2</v>
      </c>
      <c r="N153" s="12" t="s">
        <v>333</v>
      </c>
      <c r="O153" s="12">
        <v>2.3126734505087881E-2</v>
      </c>
      <c r="P153" s="12">
        <v>0.87881591119333946</v>
      </c>
      <c r="Q153" s="12">
        <v>6.2789084181313592</v>
      </c>
      <c r="R153" s="12">
        <v>0.10938945420906569</v>
      </c>
      <c r="S153" s="12" t="s">
        <v>333</v>
      </c>
      <c r="T153" s="12">
        <v>0.39315448658649393</v>
      </c>
      <c r="U153" s="12">
        <v>2.1669750231267347E-2</v>
      </c>
      <c r="V153" s="12">
        <v>56.533302497687323</v>
      </c>
      <c r="W153" s="12" t="s">
        <v>333</v>
      </c>
      <c r="X153" s="13" t="s">
        <v>333</v>
      </c>
      <c r="Y153" s="12">
        <v>0.75161887141535622</v>
      </c>
      <c r="Z153" s="12">
        <v>0.30064754856614245</v>
      </c>
      <c r="AA153" s="13">
        <v>2.6746068455134136E-3</v>
      </c>
      <c r="AB153" s="12">
        <v>3.5268270120259015</v>
      </c>
      <c r="AC153" s="12" t="s">
        <v>333</v>
      </c>
      <c r="AD153" s="12" t="s">
        <v>333</v>
      </c>
      <c r="AE153" s="12">
        <v>10.037002775208141</v>
      </c>
      <c r="AF153" s="14">
        <v>7.1149398704902864E-3</v>
      </c>
      <c r="AG153" s="12">
        <v>8.6493987049028682</v>
      </c>
      <c r="AH153" s="12">
        <v>1.6073080481036077</v>
      </c>
      <c r="AI153" s="12" t="s">
        <v>333</v>
      </c>
      <c r="AJ153" s="12" t="s">
        <v>333</v>
      </c>
      <c r="AK153" s="12">
        <v>1.3066604995374651</v>
      </c>
    </row>
    <row r="154" spans="1:37" x14ac:dyDescent="0.25">
      <c r="A154" s="7" t="s">
        <v>485</v>
      </c>
      <c r="B154" s="7" t="str">
        <f t="shared" si="2"/>
        <v>2768-154</v>
      </c>
      <c r="C154" s="7">
        <f>VLOOKUP(B154,'CEBAS-DEWOOD code'!A$2:B$302,2,FALSE)</f>
        <v>344</v>
      </c>
      <c r="D154" s="7" t="str">
        <f>VLOOKUP(IONOMICS!C154,'Field Table'!A$2:E$661,3,FALSE)</f>
        <v>AA</v>
      </c>
      <c r="E154" s="7" t="str">
        <f>VLOOKUP(IONOMICS!C154,'Field Table'!A$2:E$661,4,FALSE)</f>
        <v>4</v>
      </c>
      <c r="F154" s="7" t="str">
        <f>VLOOKUP(IONOMICS!C154,'Field Table'!A$2:E$661,5,FALSE)</f>
        <v>25</v>
      </c>
      <c r="G154" s="11">
        <v>76.85546875</v>
      </c>
      <c r="H154" s="12">
        <v>8.5449218749999986E-2</v>
      </c>
      <c r="I154" s="12" t="s">
        <v>333</v>
      </c>
      <c r="J154" s="12" t="s">
        <v>333</v>
      </c>
      <c r="K154" s="12" t="s">
        <v>333</v>
      </c>
      <c r="L154" s="11">
        <v>0.18530273437499997</v>
      </c>
      <c r="M154" s="11">
        <v>0.52490234375</v>
      </c>
      <c r="N154" s="12">
        <v>2.44140625E-2</v>
      </c>
      <c r="O154" s="12">
        <v>0.17089843749999997</v>
      </c>
      <c r="P154" s="12">
        <v>5.17578125</v>
      </c>
      <c r="Q154" s="12">
        <v>10.498046874999998</v>
      </c>
      <c r="R154" s="12">
        <v>0.235595703125</v>
      </c>
      <c r="S154" s="12" t="s">
        <v>333</v>
      </c>
      <c r="T154" s="12">
        <v>0.390625</v>
      </c>
      <c r="U154" s="12">
        <v>2.8149414062499999E-2</v>
      </c>
      <c r="V154" s="12">
        <v>158.5693359375</v>
      </c>
      <c r="W154" s="12" t="s">
        <v>333</v>
      </c>
      <c r="X154" s="13">
        <v>1.6857910156250001E-3</v>
      </c>
      <c r="Y154" s="12">
        <v>0.244140625</v>
      </c>
      <c r="Z154" s="12">
        <v>0.3173828125</v>
      </c>
      <c r="AA154" s="13">
        <v>8.5327148437500003E-4</v>
      </c>
      <c r="AB154" s="12">
        <v>5.48095703125</v>
      </c>
      <c r="AC154" s="12" t="s">
        <v>333</v>
      </c>
      <c r="AD154" s="12" t="s">
        <v>333</v>
      </c>
      <c r="AE154" s="12">
        <v>12.92724609375</v>
      </c>
      <c r="AF154" s="14">
        <v>1.3317871093749999E-2</v>
      </c>
      <c r="AG154" s="12">
        <v>9.1064453125</v>
      </c>
      <c r="AH154" s="12">
        <v>0.5126953125</v>
      </c>
      <c r="AI154" s="12" t="s">
        <v>333</v>
      </c>
      <c r="AJ154" s="12" t="s">
        <v>333</v>
      </c>
      <c r="AK154" s="12">
        <v>13.354492187499998</v>
      </c>
    </row>
    <row r="155" spans="1:37" x14ac:dyDescent="0.25">
      <c r="A155" s="7" t="s">
        <v>486</v>
      </c>
      <c r="B155" s="7" t="str">
        <f t="shared" si="2"/>
        <v>2768-155</v>
      </c>
      <c r="C155" s="7">
        <f>VLOOKUP(B155,'CEBAS-DEWOOD code'!A$2:B$302,2,FALSE)</f>
        <v>158</v>
      </c>
      <c r="D155" s="7" t="str">
        <f>VLOOKUP(IONOMICS!C155,'Field Table'!A$2:E$661,3,FALSE)</f>
        <v>AA</v>
      </c>
      <c r="E155" s="7" t="str">
        <f>VLOOKUP(IONOMICS!C155,'Field Table'!A$2:E$661,4,FALSE)</f>
        <v>1</v>
      </c>
      <c r="F155" s="7" t="str">
        <f>VLOOKUP(IONOMICS!C155,'Field Table'!A$2:E$661,5,FALSE)</f>
        <v>25</v>
      </c>
      <c r="G155" s="11">
        <v>5.0813902331720193</v>
      </c>
      <c r="H155" s="12">
        <v>0.21997360316761991</v>
      </c>
      <c r="I155" s="12" t="s">
        <v>333</v>
      </c>
      <c r="J155" s="12" t="s">
        <v>333</v>
      </c>
      <c r="K155" s="12" t="s">
        <v>333</v>
      </c>
      <c r="L155" s="11">
        <v>4.4632644082710074E-2</v>
      </c>
      <c r="M155" s="11">
        <v>9.898812142542894E-2</v>
      </c>
      <c r="N155" s="12">
        <v>5.4993400791904977E-2</v>
      </c>
      <c r="O155" s="12">
        <v>0.36295644522657283</v>
      </c>
      <c r="P155" s="12">
        <v>0.68191816981962161</v>
      </c>
      <c r="Q155" s="12">
        <v>12.296524417069952</v>
      </c>
      <c r="R155" s="12">
        <v>1.0467443906731193</v>
      </c>
      <c r="S155" s="12" t="s">
        <v>333</v>
      </c>
      <c r="T155" s="12">
        <v>0.23097228332600087</v>
      </c>
      <c r="U155" s="12">
        <v>3.5327760668719753E-2</v>
      </c>
      <c r="V155" s="12">
        <v>15.772107347118345</v>
      </c>
      <c r="W155" s="12" t="s">
        <v>333</v>
      </c>
      <c r="X155" s="13" t="s">
        <v>333</v>
      </c>
      <c r="Y155" s="12">
        <v>0.68191816981962161</v>
      </c>
      <c r="Z155" s="12">
        <v>6.599208095028597E-2</v>
      </c>
      <c r="AA155" s="13">
        <v>1.3990321161460625E-3</v>
      </c>
      <c r="AB155" s="12">
        <v>18.114826220853502</v>
      </c>
      <c r="AC155" s="12" t="s">
        <v>333</v>
      </c>
      <c r="AD155" s="12" t="s">
        <v>333</v>
      </c>
      <c r="AE155" s="12">
        <v>13.319401671799383</v>
      </c>
      <c r="AF155" s="14">
        <v>5.3618565772107349E-3</v>
      </c>
      <c r="AG155" s="12">
        <v>3.5415750109986797</v>
      </c>
      <c r="AH155" s="12">
        <v>0.62692476902771677</v>
      </c>
      <c r="AI155" s="12" t="s">
        <v>333</v>
      </c>
      <c r="AJ155" s="12" t="s">
        <v>333</v>
      </c>
      <c r="AK155" s="12">
        <v>3.057633084029916</v>
      </c>
    </row>
    <row r="156" spans="1:37" x14ac:dyDescent="0.25">
      <c r="A156" s="7" t="s">
        <v>487</v>
      </c>
      <c r="B156" s="7" t="str">
        <f t="shared" si="2"/>
        <v>2768-156</v>
      </c>
      <c r="C156" s="7">
        <f>VLOOKUP(B156,'CEBAS-DEWOOD code'!A$2:B$302,2,FALSE)</f>
        <v>136</v>
      </c>
      <c r="D156" s="7" t="str">
        <f>VLOOKUP(IONOMICS!C156,'Field Table'!A$2:E$661,3,FALSE)</f>
        <v>AA</v>
      </c>
      <c r="E156" s="7" t="str">
        <f>VLOOKUP(IONOMICS!C156,'Field Table'!A$2:E$661,4,FALSE)</f>
        <v>4</v>
      </c>
      <c r="F156" s="7" t="str">
        <f>VLOOKUP(IONOMICS!C156,'Field Table'!A$2:E$661,5,FALSE)</f>
        <v>25</v>
      </c>
      <c r="G156" s="11">
        <v>22.285583941605839</v>
      </c>
      <c r="H156" s="12">
        <v>0.2166970802919708</v>
      </c>
      <c r="I156" s="12" t="s">
        <v>333</v>
      </c>
      <c r="J156" s="12" t="s">
        <v>333</v>
      </c>
      <c r="K156" s="12" t="s">
        <v>333</v>
      </c>
      <c r="L156" s="11">
        <v>0.151117700729927</v>
      </c>
      <c r="M156" s="11">
        <v>0.17107664233576642</v>
      </c>
      <c r="N156" s="12" t="s">
        <v>333</v>
      </c>
      <c r="O156" s="12">
        <v>0.23950729927007297</v>
      </c>
      <c r="P156" s="12">
        <v>0.44479927007299264</v>
      </c>
      <c r="Q156" s="12">
        <v>4.9156021897810209</v>
      </c>
      <c r="R156" s="12">
        <v>8.2208029197080298E-2</v>
      </c>
      <c r="S156" s="12" t="s">
        <v>333</v>
      </c>
      <c r="T156" s="12">
        <v>0.17107664233576642</v>
      </c>
      <c r="U156" s="12">
        <v>2.4406934306569344E-2</v>
      </c>
      <c r="V156" s="12">
        <v>39.051094890510939</v>
      </c>
      <c r="W156" s="12" t="s">
        <v>333</v>
      </c>
      <c r="X156" s="13">
        <v>4.6418795620437958E-4</v>
      </c>
      <c r="Y156" s="12">
        <v>0.2281021897810219</v>
      </c>
      <c r="Z156" s="12">
        <v>0.44479927007299264</v>
      </c>
      <c r="AA156" s="13">
        <v>6.6833941605839422E-4</v>
      </c>
      <c r="AB156" s="12">
        <v>2.1213503649635035</v>
      </c>
      <c r="AC156" s="12" t="s">
        <v>333</v>
      </c>
      <c r="AD156" s="12" t="s">
        <v>333</v>
      </c>
      <c r="AE156" s="12">
        <v>13.845802919708028</v>
      </c>
      <c r="AF156" s="14">
        <v>9.2495437956204383E-3</v>
      </c>
      <c r="AG156" s="12">
        <v>11.302463503649635</v>
      </c>
      <c r="AH156" s="12">
        <v>0.43339416058394159</v>
      </c>
      <c r="AI156" s="12" t="s">
        <v>333</v>
      </c>
      <c r="AJ156" s="12" t="s">
        <v>333</v>
      </c>
      <c r="AK156" s="12">
        <v>4.6989051094890515</v>
      </c>
    </row>
    <row r="157" spans="1:37" x14ac:dyDescent="0.25">
      <c r="A157" s="7" t="s">
        <v>488</v>
      </c>
      <c r="B157" s="7" t="str">
        <f t="shared" si="2"/>
        <v>2768-157</v>
      </c>
      <c r="C157" s="7">
        <f>VLOOKUP(B157,'CEBAS-DEWOOD code'!A$2:B$302,2,FALSE)</f>
        <v>185</v>
      </c>
      <c r="D157" s="7" t="str">
        <f>VLOOKUP(IONOMICS!C157,'Field Table'!A$2:E$661,3,FALSE)</f>
        <v>FS</v>
      </c>
      <c r="E157" s="7" t="str">
        <f>VLOOKUP(IONOMICS!C157,'Field Table'!A$2:E$661,4,FALSE)</f>
        <v>1</v>
      </c>
      <c r="F157" s="7" t="str">
        <f>VLOOKUP(IONOMICS!C157,'Field Table'!A$2:E$661,5,FALSE)</f>
        <v>25</v>
      </c>
      <c r="G157" s="11">
        <v>1.7069205759405481</v>
      </c>
      <c r="H157" s="12">
        <v>0.16256386437529027</v>
      </c>
      <c r="I157" s="12" t="s">
        <v>333</v>
      </c>
      <c r="J157" s="12" t="s">
        <v>333</v>
      </c>
      <c r="K157" s="12" t="s">
        <v>333</v>
      </c>
      <c r="L157" s="11">
        <v>0.12575476079888528</v>
      </c>
      <c r="M157" s="11">
        <v>0.11611704598235022</v>
      </c>
      <c r="N157" s="12">
        <v>4.6446818392940084E-2</v>
      </c>
      <c r="O157" s="12">
        <v>1.1611704598235021E-2</v>
      </c>
      <c r="P157" s="12">
        <v>0.98699489084997694</v>
      </c>
      <c r="Q157" s="12">
        <v>7.76823037621923</v>
      </c>
      <c r="R157" s="12">
        <v>6.3190896423594989E-2</v>
      </c>
      <c r="S157" s="12" t="s">
        <v>333</v>
      </c>
      <c r="T157" s="12">
        <v>0.23223409196470043</v>
      </c>
      <c r="U157" s="12">
        <v>1.5350673478866698E-2</v>
      </c>
      <c r="V157" s="12">
        <v>51.28889921040409</v>
      </c>
      <c r="W157" s="12" t="s">
        <v>333</v>
      </c>
      <c r="X157" s="13" t="s">
        <v>333</v>
      </c>
      <c r="Y157" s="12">
        <v>0.96377148165350668</v>
      </c>
      <c r="Z157" s="12">
        <v>0.12772875058058525</v>
      </c>
      <c r="AA157" s="13">
        <v>3.8423130515559691E-3</v>
      </c>
      <c r="AB157" s="12">
        <v>2.6358569437993498</v>
      </c>
      <c r="AC157" s="12" t="s">
        <v>333</v>
      </c>
      <c r="AD157" s="12" t="s">
        <v>333</v>
      </c>
      <c r="AE157" s="12">
        <v>18.102647468648399</v>
      </c>
      <c r="AF157" s="14">
        <v>9.4310264746864849E-3</v>
      </c>
      <c r="AG157" s="12">
        <v>7.7217835578262894</v>
      </c>
      <c r="AH157" s="12">
        <v>0.40640966093822578</v>
      </c>
      <c r="AI157" s="12" t="s">
        <v>333</v>
      </c>
      <c r="AJ157" s="12" t="s">
        <v>333</v>
      </c>
      <c r="AK157" s="12">
        <v>5.0743149094287041</v>
      </c>
    </row>
    <row r="158" spans="1:37" x14ac:dyDescent="0.25">
      <c r="A158" s="7" t="s">
        <v>489</v>
      </c>
      <c r="B158" s="7" t="str">
        <f t="shared" si="2"/>
        <v>2768-158</v>
      </c>
      <c r="C158" s="7">
        <f>VLOOKUP(B158,'CEBAS-DEWOOD code'!A$2:B$302,2,FALSE)</f>
        <v>345</v>
      </c>
      <c r="D158" s="7" t="str">
        <f>VLOOKUP(IONOMICS!C158,'Field Table'!A$2:E$661,3,FALSE)</f>
        <v>FS</v>
      </c>
      <c r="E158" s="7" t="str">
        <f>VLOOKUP(IONOMICS!C158,'Field Table'!A$2:E$661,4,FALSE)</f>
        <v>1</v>
      </c>
      <c r="F158" s="7" t="str">
        <f>VLOOKUP(IONOMICS!C158,'Field Table'!A$2:E$661,5,FALSE)</f>
        <v>25</v>
      </c>
      <c r="G158" s="11">
        <v>5.4347826086956523</v>
      </c>
      <c r="H158" s="12" t="s">
        <v>333</v>
      </c>
      <c r="I158" s="12" t="s">
        <v>333</v>
      </c>
      <c r="J158" s="12" t="s">
        <v>333</v>
      </c>
      <c r="K158" s="12" t="s">
        <v>333</v>
      </c>
      <c r="L158" s="11">
        <v>9.420289855072464E-2</v>
      </c>
      <c r="M158" s="11" t="s">
        <v>333</v>
      </c>
      <c r="N158" s="12" t="s">
        <v>333</v>
      </c>
      <c r="O158" s="12" t="s">
        <v>333</v>
      </c>
      <c r="P158" s="12">
        <v>0.89186176142697882</v>
      </c>
      <c r="Q158" s="12">
        <v>6.9026384243775549</v>
      </c>
      <c r="R158" s="12">
        <v>0.11956521739130432</v>
      </c>
      <c r="S158" s="12" t="s">
        <v>333</v>
      </c>
      <c r="T158" s="12" t="s">
        <v>333</v>
      </c>
      <c r="U158" s="12">
        <v>2.1283909327387586E-2</v>
      </c>
      <c r="V158" s="12">
        <v>61.807878112225936</v>
      </c>
      <c r="W158" s="12" t="s">
        <v>333</v>
      </c>
      <c r="X158" s="13">
        <v>1.0943887030843552E-3</v>
      </c>
      <c r="Y158" s="12">
        <v>1.2356001486436268</v>
      </c>
      <c r="Z158" s="12">
        <v>0.23225566703827574</v>
      </c>
      <c r="AA158" s="13">
        <v>4.3301746562616128E-3</v>
      </c>
      <c r="AB158" s="12">
        <v>3.1679672984020808</v>
      </c>
      <c r="AC158" s="12">
        <v>0.34373838721664807</v>
      </c>
      <c r="AD158" s="12" t="s">
        <v>333</v>
      </c>
      <c r="AE158" s="12">
        <v>30.146785581568192</v>
      </c>
      <c r="AF158" s="14">
        <v>8.5451505016722398E-3</v>
      </c>
      <c r="AG158" s="12">
        <v>7.144184318097361</v>
      </c>
      <c r="AH158" s="12">
        <v>0.49238201412114457</v>
      </c>
      <c r="AI158" s="12">
        <v>3.874024526198439</v>
      </c>
      <c r="AJ158" s="12" t="s">
        <v>333</v>
      </c>
      <c r="AK158" s="12">
        <v>4.1991824600520244</v>
      </c>
    </row>
    <row r="159" spans="1:37" x14ac:dyDescent="0.25">
      <c r="A159" s="7" t="s">
        <v>490</v>
      </c>
      <c r="B159" s="7" t="str">
        <f t="shared" si="2"/>
        <v>2768-159</v>
      </c>
      <c r="C159" s="7">
        <f>VLOOKUP(B159,'CEBAS-DEWOOD code'!A$2:B$302,2,FALSE)</f>
        <v>78</v>
      </c>
      <c r="D159" s="7" t="str">
        <f>VLOOKUP(IONOMICS!C159,'Field Table'!A$2:E$661,3,FALSE)</f>
        <v>FS</v>
      </c>
      <c r="E159" s="7" t="str">
        <f>VLOOKUP(IONOMICS!C159,'Field Table'!A$2:E$661,4,FALSE)</f>
        <v>4</v>
      </c>
      <c r="F159" s="7" t="str">
        <f>VLOOKUP(IONOMICS!C159,'Field Table'!A$2:E$661,5,FALSE)</f>
        <v>25</v>
      </c>
      <c r="G159" s="11">
        <v>3.6669970267591672</v>
      </c>
      <c r="H159" s="12">
        <v>8.6719524281466787E-2</v>
      </c>
      <c r="I159" s="12" t="s">
        <v>333</v>
      </c>
      <c r="J159" s="12" t="s">
        <v>333</v>
      </c>
      <c r="K159" s="12" t="s">
        <v>333</v>
      </c>
      <c r="L159" s="11">
        <v>0.10173439048562934</v>
      </c>
      <c r="M159" s="11">
        <v>2.4777006937561942E-2</v>
      </c>
      <c r="N159" s="12" t="s">
        <v>333</v>
      </c>
      <c r="O159" s="12">
        <v>0.28493557978196232</v>
      </c>
      <c r="P159" s="12">
        <v>1.214073339940535</v>
      </c>
      <c r="Q159" s="12">
        <v>8.6223984142715544</v>
      </c>
      <c r="R159" s="12">
        <v>0.112103567888999</v>
      </c>
      <c r="S159" s="12" t="s">
        <v>333</v>
      </c>
      <c r="T159" s="12">
        <v>0.38404360753221012</v>
      </c>
      <c r="U159" s="12">
        <v>3.6397423191278498E-2</v>
      </c>
      <c r="V159" s="12">
        <v>68.483647175421197</v>
      </c>
      <c r="W159" s="12" t="s">
        <v>333</v>
      </c>
      <c r="X159" s="13" t="s">
        <v>333</v>
      </c>
      <c r="Y159" s="12">
        <v>0.64420218037661048</v>
      </c>
      <c r="Z159" s="12">
        <v>0.17343904856293357</v>
      </c>
      <c r="AA159" s="13">
        <v>4.9442517343904853E-3</v>
      </c>
      <c r="AB159" s="12">
        <v>4.1129831516352819</v>
      </c>
      <c r="AC159" s="12" t="s">
        <v>333</v>
      </c>
      <c r="AD159" s="12" t="s">
        <v>333</v>
      </c>
      <c r="AE159" s="12">
        <v>16.69970267591675</v>
      </c>
      <c r="AF159" s="14">
        <v>9.4747274529236869E-3</v>
      </c>
      <c r="AG159" s="12">
        <v>6.5039643211100095</v>
      </c>
      <c r="AH159" s="12">
        <v>1.9821605550049555</v>
      </c>
      <c r="AI159" s="12" t="s">
        <v>333</v>
      </c>
      <c r="AJ159" s="12" t="s">
        <v>333</v>
      </c>
      <c r="AK159" s="12">
        <v>1.3131813676907829</v>
      </c>
    </row>
    <row r="160" spans="1:37" x14ac:dyDescent="0.25">
      <c r="A160" s="7" t="s">
        <v>491</v>
      </c>
      <c r="B160" s="7" t="str">
        <f t="shared" si="2"/>
        <v>2768-160</v>
      </c>
      <c r="C160" s="7">
        <f>VLOOKUP(B160,'CEBAS-DEWOOD code'!A$2:B$302,2,FALSE)</f>
        <v>379</v>
      </c>
      <c r="D160" s="7" t="str">
        <f>VLOOKUP(IONOMICS!C160,'Field Table'!A$2:E$661,3,FALSE)</f>
        <v>AA</v>
      </c>
      <c r="E160" s="7" t="str">
        <f>VLOOKUP(IONOMICS!C160,'Field Table'!A$2:E$661,4,FALSE)</f>
        <v>2</v>
      </c>
      <c r="F160" s="7" t="str">
        <f>VLOOKUP(IONOMICS!C160,'Field Table'!A$2:E$661,5,FALSE)</f>
        <v>25</v>
      </c>
      <c r="G160" s="11">
        <v>13.102480112306974</v>
      </c>
      <c r="H160" s="12">
        <v>4.6794571829667758E-2</v>
      </c>
      <c r="I160" s="12" t="s">
        <v>333</v>
      </c>
      <c r="J160" s="12" t="s">
        <v>333</v>
      </c>
      <c r="K160" s="12" t="s">
        <v>333</v>
      </c>
      <c r="L160" s="11">
        <v>7.259007955077211E-2</v>
      </c>
      <c r="M160" s="11">
        <v>0.12868507253158634</v>
      </c>
      <c r="N160" s="12">
        <v>5.8493214787084698E-2</v>
      </c>
      <c r="O160" s="12">
        <v>0.18717828731867103</v>
      </c>
      <c r="P160" s="12">
        <v>1.2283575105287787</v>
      </c>
      <c r="Q160" s="12">
        <v>9.5811885821244722</v>
      </c>
      <c r="R160" s="12">
        <v>0.10744033692091716</v>
      </c>
      <c r="S160" s="12" t="s">
        <v>333</v>
      </c>
      <c r="T160" s="12">
        <v>0.12868507253158634</v>
      </c>
      <c r="U160" s="12">
        <v>1.1885821244735612E-2</v>
      </c>
      <c r="V160" s="12">
        <v>22.087037903603182</v>
      </c>
      <c r="W160" s="12" t="s">
        <v>333</v>
      </c>
      <c r="X160" s="13" t="s">
        <v>333</v>
      </c>
      <c r="Y160" s="12">
        <v>0.26906878802058959</v>
      </c>
      <c r="Z160" s="12">
        <v>0.25737014506317268</v>
      </c>
      <c r="AA160" s="13">
        <v>1.2271876462330369E-3</v>
      </c>
      <c r="AB160" s="12">
        <v>2.4333177351427233</v>
      </c>
      <c r="AC160" s="12" t="s">
        <v>333</v>
      </c>
      <c r="AD160" s="12" t="s">
        <v>333</v>
      </c>
      <c r="AE160" s="12">
        <v>14.880673841834348</v>
      </c>
      <c r="AF160" s="14">
        <v>5.1930276087973799E-3</v>
      </c>
      <c r="AG160" s="12">
        <v>4.3635938231165188</v>
      </c>
      <c r="AH160" s="12">
        <v>3.0065512400561536</v>
      </c>
      <c r="AI160" s="12" t="s">
        <v>333</v>
      </c>
      <c r="AJ160" s="12" t="s">
        <v>333</v>
      </c>
      <c r="AK160" s="12">
        <v>4.1413196069255971</v>
      </c>
    </row>
    <row r="161" spans="1:37" x14ac:dyDescent="0.25">
      <c r="A161" s="7" t="s">
        <v>492</v>
      </c>
      <c r="B161" s="7" t="str">
        <f t="shared" si="2"/>
        <v>2768-161</v>
      </c>
      <c r="C161" s="7">
        <f>VLOOKUP(B161,'CEBAS-DEWOOD code'!A$2:B$302,2,FALSE)</f>
        <v>1026</v>
      </c>
      <c r="D161" s="7" t="str">
        <f>VLOOKUP(IONOMICS!C161,'Field Table'!A$2:E$661,3,FALSE)</f>
        <v>AA</v>
      </c>
      <c r="E161" s="7" t="str">
        <f>VLOOKUP(IONOMICS!C161,'Field Table'!A$2:E$661,4,FALSE)</f>
        <v>2</v>
      </c>
      <c r="F161" s="7" t="str">
        <f>VLOOKUP(IONOMICS!C161,'Field Table'!A$2:E$661,5,FALSE)</f>
        <v>01</v>
      </c>
      <c r="G161" s="11">
        <v>32.9775066717499</v>
      </c>
      <c r="H161" s="12" t="s">
        <v>333</v>
      </c>
      <c r="I161" s="12" t="s">
        <v>333</v>
      </c>
      <c r="J161" s="12" t="s">
        <v>333</v>
      </c>
      <c r="K161" s="12" t="s">
        <v>333</v>
      </c>
      <c r="L161" s="11">
        <v>0.10989325200152499</v>
      </c>
      <c r="M161" s="11">
        <v>0.2382767823103317</v>
      </c>
      <c r="N161" s="12" t="s">
        <v>333</v>
      </c>
      <c r="O161" s="12">
        <v>9.5310712924132693E-2</v>
      </c>
      <c r="P161" s="12">
        <v>2.7640106747998479</v>
      </c>
      <c r="Q161" s="12">
        <v>9.5215402211208549</v>
      </c>
      <c r="R161" s="12">
        <v>8.0461303850552821E-2</v>
      </c>
      <c r="S161" s="12" t="s">
        <v>333</v>
      </c>
      <c r="T161" s="12">
        <v>0.15249714067861228</v>
      </c>
      <c r="U161" s="12">
        <v>1.3210064811284788E-2</v>
      </c>
      <c r="V161" s="12">
        <v>55.099123141441098</v>
      </c>
      <c r="W161" s="12" t="s">
        <v>333</v>
      </c>
      <c r="X161" s="13" t="s">
        <v>333</v>
      </c>
      <c r="Y161" s="12">
        <v>0.31452535264963788</v>
      </c>
      <c r="Z161" s="12">
        <v>6.6717499046892864E-2</v>
      </c>
      <c r="AA161" s="13">
        <v>1.3524590163934428E-2</v>
      </c>
      <c r="AB161" s="12">
        <v>1.4773160503240566</v>
      </c>
      <c r="AC161" s="12" t="s">
        <v>333</v>
      </c>
      <c r="AD161" s="12" t="s">
        <v>333</v>
      </c>
      <c r="AE161" s="12">
        <v>17.279832253145255</v>
      </c>
      <c r="AF161" s="14">
        <v>1.1446816622188336E-2</v>
      </c>
      <c r="AG161" s="12">
        <v>5.9283263438810527</v>
      </c>
      <c r="AH161" s="12">
        <v>0.42889820815859703</v>
      </c>
      <c r="AI161" s="12" t="s">
        <v>333</v>
      </c>
      <c r="AJ161" s="12" t="s">
        <v>333</v>
      </c>
      <c r="AK161" s="12">
        <v>8.4349980937857421</v>
      </c>
    </row>
    <row r="162" spans="1:37" x14ac:dyDescent="0.25">
      <c r="A162" s="7" t="s">
        <v>493</v>
      </c>
      <c r="B162" s="7" t="str">
        <f t="shared" si="2"/>
        <v>2768-162</v>
      </c>
      <c r="C162" s="7">
        <f>VLOOKUP(B162,'CEBAS-DEWOOD code'!A$2:B$302,2,FALSE)</f>
        <v>188</v>
      </c>
      <c r="D162" s="7" t="str">
        <f>VLOOKUP(IONOMICS!C162,'Field Table'!A$2:E$661,3,FALSE)</f>
        <v>AA</v>
      </c>
      <c r="E162" s="7" t="str">
        <f>VLOOKUP(IONOMICS!C162,'Field Table'!A$2:E$661,4,FALSE)</f>
        <v>1</v>
      </c>
      <c r="F162" s="7" t="str">
        <f>VLOOKUP(IONOMICS!C162,'Field Table'!A$2:E$661,5,FALSE)</f>
        <v>10</v>
      </c>
      <c r="G162" s="11">
        <v>9.6746150024838542</v>
      </c>
      <c r="H162" s="12" t="s">
        <v>333</v>
      </c>
      <c r="I162" s="12" t="s">
        <v>333</v>
      </c>
      <c r="J162" s="12" t="s">
        <v>333</v>
      </c>
      <c r="K162" s="12" t="s">
        <v>333</v>
      </c>
      <c r="L162" s="11">
        <v>6.0606060606060608E-2</v>
      </c>
      <c r="M162" s="11">
        <v>0.13661202185792348</v>
      </c>
      <c r="N162" s="12" t="s">
        <v>333</v>
      </c>
      <c r="O162" s="12">
        <v>0.17386984600099351</v>
      </c>
      <c r="P162" s="12">
        <v>1.4530551415797317</v>
      </c>
      <c r="Q162" s="12">
        <v>6.5076999503229009</v>
      </c>
      <c r="R162" s="12">
        <v>0.11415797317436661</v>
      </c>
      <c r="S162" s="12" t="s">
        <v>333</v>
      </c>
      <c r="T162" s="12">
        <v>0.2608047690014903</v>
      </c>
      <c r="U162" s="12">
        <v>1.6095380029806261E-2</v>
      </c>
      <c r="V162" s="12">
        <v>21.274217585692998</v>
      </c>
      <c r="W162" s="12" t="s">
        <v>333</v>
      </c>
      <c r="X162" s="13" t="s">
        <v>333</v>
      </c>
      <c r="Y162" s="12">
        <v>0.57128663686040726</v>
      </c>
      <c r="Z162" s="12">
        <v>0.12419274714356682</v>
      </c>
      <c r="AA162" s="13">
        <v>2.2814207650273225E-3</v>
      </c>
      <c r="AB162" s="12">
        <v>1.8504719324391454</v>
      </c>
      <c r="AC162" s="12" t="s">
        <v>333</v>
      </c>
      <c r="AD162" s="12" t="s">
        <v>333</v>
      </c>
      <c r="AE162" s="12">
        <v>12.220566318926974</v>
      </c>
      <c r="AF162" s="14">
        <v>6.038251366120218E-3</v>
      </c>
      <c r="AG162" s="12">
        <v>3.4898161947342277</v>
      </c>
      <c r="AH162" s="12">
        <v>0.6333830104321907</v>
      </c>
      <c r="AI162" s="12" t="s">
        <v>333</v>
      </c>
      <c r="AJ162" s="12" t="s">
        <v>333</v>
      </c>
      <c r="AK162" s="12">
        <v>5.8494783904619965</v>
      </c>
    </row>
    <row r="163" spans="1:37" x14ac:dyDescent="0.25">
      <c r="A163" s="7" t="s">
        <v>494</v>
      </c>
      <c r="B163" s="7" t="str">
        <f t="shared" si="2"/>
        <v>2768-163</v>
      </c>
      <c r="C163" s="7">
        <f>VLOOKUP(B163,'CEBAS-DEWOOD code'!A$2:B$302,2,FALSE)</f>
        <v>367</v>
      </c>
      <c r="D163" s="7" t="str">
        <f>VLOOKUP(IONOMICS!C163,'Field Table'!A$2:E$661,3,FALSE)</f>
        <v>AA</v>
      </c>
      <c r="E163" s="7" t="str">
        <f>VLOOKUP(IONOMICS!C163,'Field Table'!A$2:E$661,4,FALSE)</f>
        <v>1</v>
      </c>
      <c r="F163" s="7" t="str">
        <f>VLOOKUP(IONOMICS!C163,'Field Table'!A$2:E$661,5,FALSE)</f>
        <v>10</v>
      </c>
      <c r="G163" s="11">
        <v>4.2088718127837934</v>
      </c>
      <c r="H163" s="12">
        <v>9.6053091163115611E-2</v>
      </c>
      <c r="I163" s="12" t="s">
        <v>333</v>
      </c>
      <c r="J163" s="12" t="s">
        <v>333</v>
      </c>
      <c r="K163" s="12" t="s">
        <v>333</v>
      </c>
      <c r="L163" s="11">
        <v>4.5476772616136918E-2</v>
      </c>
      <c r="M163" s="11">
        <v>0.13971358714634999</v>
      </c>
      <c r="N163" s="12">
        <v>8.7320991966468742E-3</v>
      </c>
      <c r="O163" s="12">
        <v>0.10478519035976248</v>
      </c>
      <c r="P163" s="12">
        <v>1.0653161019909185</v>
      </c>
      <c r="Q163" s="12">
        <v>3.9993014320642684</v>
      </c>
      <c r="R163" s="12">
        <v>6.2766329025497725E-2</v>
      </c>
      <c r="S163" s="12" t="s">
        <v>333</v>
      </c>
      <c r="T163" s="12">
        <v>0.18337408312958434</v>
      </c>
      <c r="U163" s="12">
        <v>1.0033181976947258E-2</v>
      </c>
      <c r="V163" s="12">
        <v>36.342996856444294</v>
      </c>
      <c r="W163" s="12" t="s">
        <v>333</v>
      </c>
      <c r="X163" s="13" t="s">
        <v>333</v>
      </c>
      <c r="Y163" s="12">
        <v>0.22703457911281874</v>
      </c>
      <c r="Z163" s="12">
        <v>0.42787286063569679</v>
      </c>
      <c r="AA163" s="13">
        <v>1.2312259867272091E-3</v>
      </c>
      <c r="AB163" s="12">
        <v>1.0653161019909185</v>
      </c>
      <c r="AC163" s="12" t="s">
        <v>333</v>
      </c>
      <c r="AD163" s="12" t="s">
        <v>333</v>
      </c>
      <c r="AE163" s="12">
        <v>6.6189311910583317</v>
      </c>
      <c r="AF163" s="14">
        <v>4.5660146699266508E-3</v>
      </c>
      <c r="AG163" s="12">
        <v>2.8466643381068808</v>
      </c>
      <c r="AH163" s="12">
        <v>0.51519385260216555</v>
      </c>
      <c r="AI163" s="12" t="s">
        <v>333</v>
      </c>
      <c r="AJ163" s="12" t="s">
        <v>333</v>
      </c>
      <c r="AK163" s="12">
        <v>6.060076842472931</v>
      </c>
    </row>
    <row r="164" spans="1:37" x14ac:dyDescent="0.25">
      <c r="A164" s="7" t="s">
        <v>495</v>
      </c>
      <c r="B164" s="7" t="str">
        <f t="shared" si="2"/>
        <v>2768-164</v>
      </c>
      <c r="C164" s="7">
        <f>VLOOKUP(B164,'CEBAS-DEWOOD code'!A$2:B$302,2,FALSE)</f>
        <v>149</v>
      </c>
      <c r="D164" s="7" t="str">
        <f>VLOOKUP(IONOMICS!C164,'Field Table'!A$2:E$661,3,FALSE)</f>
        <v>FS</v>
      </c>
      <c r="E164" s="7" t="str">
        <f>VLOOKUP(IONOMICS!C164,'Field Table'!A$2:E$661,4,FALSE)</f>
        <v>1</v>
      </c>
      <c r="F164" s="7" t="str">
        <f>VLOOKUP(IONOMICS!C164,'Field Table'!A$2:E$661,5,FALSE)</f>
        <v>25</v>
      </c>
      <c r="G164" s="11">
        <v>135.51980198019803</v>
      </c>
      <c r="H164" s="12">
        <v>0.38366336633663362</v>
      </c>
      <c r="I164" s="12" t="s">
        <v>333</v>
      </c>
      <c r="J164" s="12" t="s">
        <v>333</v>
      </c>
      <c r="K164" s="12" t="s">
        <v>333</v>
      </c>
      <c r="L164" s="11">
        <v>0.34096534653465349</v>
      </c>
      <c r="M164" s="11">
        <v>0.11138613861386137</v>
      </c>
      <c r="N164" s="12" t="s">
        <v>333</v>
      </c>
      <c r="O164" s="12">
        <v>0.28465346534653463</v>
      </c>
      <c r="P164" s="12">
        <v>1.4975247524752473</v>
      </c>
      <c r="Q164" s="12">
        <v>79.504950495049499</v>
      </c>
      <c r="R164" s="12">
        <v>9.349009900990099E-2</v>
      </c>
      <c r="S164" s="12" t="s">
        <v>333</v>
      </c>
      <c r="T164" s="12">
        <v>0.4455445544554455</v>
      </c>
      <c r="U164" s="12">
        <v>4.1250000000000002E-2</v>
      </c>
      <c r="V164" s="12">
        <v>98.477722772277218</v>
      </c>
      <c r="W164" s="12" t="s">
        <v>333</v>
      </c>
      <c r="X164" s="13">
        <v>3.7871287128712872E-4</v>
      </c>
      <c r="Y164" s="12">
        <v>1.2623762376237624</v>
      </c>
      <c r="Z164" s="12">
        <v>1.1386138613861385</v>
      </c>
      <c r="AA164" s="13">
        <v>7.4146039603960393E-3</v>
      </c>
      <c r="AB164" s="12">
        <v>3.7995049504950495</v>
      </c>
      <c r="AC164" s="12" t="s">
        <v>333</v>
      </c>
      <c r="AD164" s="12" t="s">
        <v>333</v>
      </c>
      <c r="AE164" s="12">
        <v>185.02475247524751</v>
      </c>
      <c r="AF164" s="14">
        <v>2.9108910891089107E-2</v>
      </c>
      <c r="AG164" s="12">
        <v>19.678217821782177</v>
      </c>
      <c r="AH164" s="12">
        <v>7.2648514851485144</v>
      </c>
      <c r="AI164" s="12" t="s">
        <v>333</v>
      </c>
      <c r="AJ164" s="12">
        <v>0.13613861386138612</v>
      </c>
      <c r="AK164" s="12">
        <v>8.5519801980198</v>
      </c>
    </row>
    <row r="165" spans="1:37" x14ac:dyDescent="0.25">
      <c r="A165" s="7" t="s">
        <v>496</v>
      </c>
      <c r="B165" s="7" t="str">
        <f t="shared" si="2"/>
        <v>2768-165</v>
      </c>
      <c r="C165" s="7">
        <f>VLOOKUP(B165,'CEBAS-DEWOOD code'!A$2:B$302,2,FALSE)</f>
        <v>1048</v>
      </c>
      <c r="D165" s="7" t="str">
        <f>VLOOKUP(IONOMICS!C165,'Field Table'!A$2:E$661,3,FALSE)</f>
        <v>FS</v>
      </c>
      <c r="E165" s="7" t="str">
        <f>VLOOKUP(IONOMICS!C165,'Field Table'!A$2:E$661,4,FALSE)</f>
        <v>4</v>
      </c>
      <c r="F165" s="7" t="str">
        <f>VLOOKUP(IONOMICS!C165,'Field Table'!A$2:E$661,5,FALSE)</f>
        <v>01</v>
      </c>
      <c r="G165" s="11">
        <v>20.081967213114758</v>
      </c>
      <c r="H165" s="12">
        <v>1.1709601873536301E-2</v>
      </c>
      <c r="I165" s="12" t="s">
        <v>333</v>
      </c>
      <c r="J165" s="12" t="s">
        <v>333</v>
      </c>
      <c r="K165" s="12" t="s">
        <v>333</v>
      </c>
      <c r="L165" s="11">
        <v>0.26569086651053869</v>
      </c>
      <c r="M165" s="11">
        <v>9.3676814988290405E-2</v>
      </c>
      <c r="N165" s="12">
        <v>2.3419203747072601E-2</v>
      </c>
      <c r="O165" s="12">
        <v>0.3044496487119438</v>
      </c>
      <c r="P165" s="12">
        <v>2.2482435597189694</v>
      </c>
      <c r="Q165" s="12">
        <v>15.362997658079626</v>
      </c>
      <c r="R165" s="12">
        <v>2.2353629976580795E-2</v>
      </c>
      <c r="S165" s="12" t="s">
        <v>333</v>
      </c>
      <c r="T165" s="12">
        <v>0.21077283372365338</v>
      </c>
      <c r="U165" s="12">
        <v>3.3278688524590164E-2</v>
      </c>
      <c r="V165" s="12">
        <v>159.36768149882903</v>
      </c>
      <c r="W165" s="12" t="s">
        <v>333</v>
      </c>
      <c r="X165" s="13">
        <v>1.1967213114754097E-3</v>
      </c>
      <c r="Y165" s="12">
        <v>0.64402810304449642</v>
      </c>
      <c r="Z165" s="12">
        <v>1.1943793911007026</v>
      </c>
      <c r="AA165" s="13">
        <v>1.1537470725995315E-2</v>
      </c>
      <c r="AB165" s="12">
        <v>0.74941451990632324</v>
      </c>
      <c r="AC165" s="12" t="s">
        <v>333</v>
      </c>
      <c r="AD165" s="12" t="s">
        <v>333</v>
      </c>
      <c r="AE165" s="12">
        <v>321.54566744730681</v>
      </c>
      <c r="AF165" s="14">
        <v>1.8548009367681501E-2</v>
      </c>
      <c r="AG165" s="12">
        <v>16.346604215456676</v>
      </c>
      <c r="AH165" s="12">
        <v>0.84309133489461352</v>
      </c>
      <c r="AI165" s="12" t="s">
        <v>333</v>
      </c>
      <c r="AJ165" s="12" t="s">
        <v>333</v>
      </c>
      <c r="AK165" s="12">
        <v>7.2365339578454329</v>
      </c>
    </row>
    <row r="166" spans="1:37" x14ac:dyDescent="0.25">
      <c r="A166" s="7" t="s">
        <v>497</v>
      </c>
      <c r="B166" s="7" t="str">
        <f t="shared" si="2"/>
        <v>2768-166</v>
      </c>
      <c r="C166" s="7">
        <f>VLOOKUP(B166,'CEBAS-DEWOOD code'!A$2:B$302,2,FALSE)</f>
        <v>1006</v>
      </c>
      <c r="D166" s="7" t="str">
        <f>VLOOKUP(IONOMICS!C166,'Field Table'!A$2:E$661,3,FALSE)</f>
        <v>FS</v>
      </c>
      <c r="E166" s="7" t="str">
        <f>VLOOKUP(IONOMICS!C166,'Field Table'!A$2:E$661,4,FALSE)</f>
        <v>4</v>
      </c>
      <c r="F166" s="7" t="str">
        <f>VLOOKUP(IONOMICS!C166,'Field Table'!A$2:E$661,5,FALSE)</f>
        <v>01</v>
      </c>
      <c r="G166" s="11">
        <v>12.36075407026564</v>
      </c>
      <c r="H166" s="12">
        <v>4.2844901456726654E-2</v>
      </c>
      <c r="I166" s="12" t="s">
        <v>333</v>
      </c>
      <c r="J166" s="12" t="s">
        <v>333</v>
      </c>
      <c r="K166" s="12" t="s">
        <v>333</v>
      </c>
      <c r="L166" s="11">
        <v>0.23703941730934019</v>
      </c>
      <c r="M166" s="11">
        <v>7.4978577549271633E-2</v>
      </c>
      <c r="N166" s="12">
        <v>1.0711225364181664E-2</v>
      </c>
      <c r="O166" s="12">
        <v>0.11782347900599829</v>
      </c>
      <c r="P166" s="12">
        <v>1.8744644387317912</v>
      </c>
      <c r="Q166" s="12">
        <v>13.281919451585262</v>
      </c>
      <c r="R166" s="12">
        <v>1.1932305055698372E-2</v>
      </c>
      <c r="S166" s="12" t="s">
        <v>333</v>
      </c>
      <c r="T166" s="12">
        <v>0.17137960582690662</v>
      </c>
      <c r="U166" s="12">
        <v>2.5342759211653815E-2</v>
      </c>
      <c r="V166" s="12">
        <v>92.705655526992302</v>
      </c>
      <c r="W166" s="12" t="s">
        <v>333</v>
      </c>
      <c r="X166" s="13" t="s">
        <v>333</v>
      </c>
      <c r="Y166" s="12">
        <v>0.86760925449871462</v>
      </c>
      <c r="Z166" s="12">
        <v>1.0925449871465296</v>
      </c>
      <c r="AA166" s="13">
        <v>8.1405312767780635E-3</v>
      </c>
      <c r="AB166" s="12">
        <v>0.66409597257926312</v>
      </c>
      <c r="AC166" s="12" t="s">
        <v>333</v>
      </c>
      <c r="AD166" s="12" t="s">
        <v>333</v>
      </c>
      <c r="AE166" s="12">
        <v>374.25021422450732</v>
      </c>
      <c r="AF166" s="14">
        <v>1.7020137103684663E-2</v>
      </c>
      <c r="AG166" s="12">
        <v>14.674378748928879</v>
      </c>
      <c r="AH166" s="12">
        <v>0.58911739502999139</v>
      </c>
      <c r="AI166" s="12" t="s">
        <v>333</v>
      </c>
      <c r="AJ166" s="12" t="s">
        <v>333</v>
      </c>
      <c r="AK166" s="12">
        <v>6.2660668380462727</v>
      </c>
    </row>
    <row r="167" spans="1:37" x14ac:dyDescent="0.25">
      <c r="A167" s="7" t="s">
        <v>498</v>
      </c>
      <c r="B167" s="7" t="str">
        <f t="shared" si="2"/>
        <v>2768-167</v>
      </c>
      <c r="C167" s="7">
        <f>VLOOKUP(B167,'CEBAS-DEWOOD code'!A$2:B$302,2,FALSE)</f>
        <v>9</v>
      </c>
      <c r="D167" s="7" t="str">
        <f>VLOOKUP(IONOMICS!C167,'Field Table'!A$2:E$661,3,FALSE)</f>
        <v>AA</v>
      </c>
      <c r="E167" s="7" t="str">
        <f>VLOOKUP(IONOMICS!C167,'Field Table'!A$2:E$661,4,FALSE)</f>
        <v>4</v>
      </c>
      <c r="F167" s="7" t="str">
        <f>VLOOKUP(IONOMICS!C167,'Field Table'!A$2:E$661,5,FALSE)</f>
        <v>10</v>
      </c>
      <c r="G167" s="11">
        <v>5.9629629629629628</v>
      </c>
      <c r="H167" s="12">
        <v>0.14814814814814814</v>
      </c>
      <c r="I167" s="12" t="s">
        <v>333</v>
      </c>
      <c r="J167" s="12" t="s">
        <v>333</v>
      </c>
      <c r="K167" s="12" t="s">
        <v>333</v>
      </c>
      <c r="L167" s="11">
        <v>7.1444444444444435E-2</v>
      </c>
      <c r="M167" s="11">
        <v>0.16049382716049382</v>
      </c>
      <c r="N167" s="12" t="s">
        <v>333</v>
      </c>
      <c r="O167" s="12">
        <v>0.12345679012345678</v>
      </c>
      <c r="P167" s="12">
        <v>1.1234567901234567</v>
      </c>
      <c r="Q167" s="12">
        <v>9.2222222222222232</v>
      </c>
      <c r="R167" s="12">
        <v>7.3481481481481481E-2</v>
      </c>
      <c r="S167" s="12" t="s">
        <v>333</v>
      </c>
      <c r="T167" s="12">
        <v>0.24691358024691357</v>
      </c>
      <c r="U167" s="12">
        <v>1.6209876543209874E-2</v>
      </c>
      <c r="V167" s="12">
        <v>25.654320987654319</v>
      </c>
      <c r="W167" s="12" t="s">
        <v>333</v>
      </c>
      <c r="X167" s="13" t="s">
        <v>333</v>
      </c>
      <c r="Y167" s="12">
        <v>0.37037037037037035</v>
      </c>
      <c r="Z167" s="12">
        <v>0.16049382716049382</v>
      </c>
      <c r="AA167" s="13">
        <v>1.6679012345679012E-3</v>
      </c>
      <c r="AB167" s="12">
        <v>1.6296296296296295</v>
      </c>
      <c r="AC167" s="12" t="s">
        <v>333</v>
      </c>
      <c r="AD167" s="12" t="s">
        <v>333</v>
      </c>
      <c r="AE167" s="12">
        <v>9.7777777777777786</v>
      </c>
      <c r="AF167" s="14">
        <v>5.4901234567901226E-3</v>
      </c>
      <c r="AG167" s="12">
        <v>4.3950617283950617</v>
      </c>
      <c r="AH167" s="12">
        <v>0.4814814814814814</v>
      </c>
      <c r="AI167" s="12" t="s">
        <v>333</v>
      </c>
      <c r="AJ167" s="12" t="s">
        <v>333</v>
      </c>
      <c r="AK167" s="12">
        <v>5.382716049382716</v>
      </c>
    </row>
    <row r="168" spans="1:37" x14ac:dyDescent="0.25">
      <c r="A168" s="7" t="s">
        <v>499</v>
      </c>
      <c r="B168" s="7" t="str">
        <f t="shared" si="2"/>
        <v>2768-168</v>
      </c>
      <c r="C168" s="7">
        <f>VLOOKUP(B168,'CEBAS-DEWOOD code'!A$2:B$302,2,FALSE)</f>
        <v>1045</v>
      </c>
      <c r="D168" s="7" t="str">
        <f>VLOOKUP(IONOMICS!C168,'Field Table'!A$2:E$661,3,FALSE)</f>
        <v>AA</v>
      </c>
      <c r="E168" s="7" t="str">
        <f>VLOOKUP(IONOMICS!C168,'Field Table'!A$2:E$661,4,FALSE)</f>
        <v>4</v>
      </c>
      <c r="F168" s="7" t="str">
        <f>VLOOKUP(IONOMICS!C168,'Field Table'!A$2:E$661,5,FALSE)</f>
        <v>01</v>
      </c>
      <c r="G168" s="11">
        <v>170.24539877300614</v>
      </c>
      <c r="H168" s="12" t="s">
        <v>333</v>
      </c>
      <c r="I168" s="12" t="s">
        <v>333</v>
      </c>
      <c r="J168" s="12" t="s">
        <v>333</v>
      </c>
      <c r="K168" s="12" t="s">
        <v>333</v>
      </c>
      <c r="L168" s="11">
        <v>0.43487494100991031</v>
      </c>
      <c r="M168" s="11">
        <v>1.0146295422369043</v>
      </c>
      <c r="N168" s="12">
        <v>2.3596035865974516E-2</v>
      </c>
      <c r="O168" s="12">
        <v>0.70788107597923544</v>
      </c>
      <c r="P168" s="12">
        <v>6.1585653610193489</v>
      </c>
      <c r="Q168" s="12">
        <v>97.569608305804607</v>
      </c>
      <c r="R168" s="12">
        <v>3.1193959414818312E-2</v>
      </c>
      <c r="S168" s="12" t="s">
        <v>333</v>
      </c>
      <c r="T168" s="12">
        <v>0.44832468145351578</v>
      </c>
      <c r="U168" s="12">
        <v>3.4237848041529025E-2</v>
      </c>
      <c r="V168" s="12">
        <v>192.07173194903254</v>
      </c>
      <c r="W168" s="12" t="s">
        <v>333</v>
      </c>
      <c r="X168" s="13">
        <v>2.373761208117036E-3</v>
      </c>
      <c r="Y168" s="12">
        <v>1.5927324209532798</v>
      </c>
      <c r="Z168" s="12">
        <v>8.2704105710240672</v>
      </c>
      <c r="AA168" s="13">
        <v>1.7720622935346861E-2</v>
      </c>
      <c r="AB168" s="12">
        <v>0.7550731477111845</v>
      </c>
      <c r="AC168" s="12" t="s">
        <v>333</v>
      </c>
      <c r="AD168" s="12" t="s">
        <v>333</v>
      </c>
      <c r="AE168" s="12">
        <v>157.38555922605002</v>
      </c>
      <c r="AF168" s="14">
        <v>3.1170363378952334E-2</v>
      </c>
      <c r="AG168" s="12">
        <v>17.850401132609719</v>
      </c>
      <c r="AH168" s="12">
        <v>5.3798961774421903</v>
      </c>
      <c r="AI168" s="12" t="s">
        <v>333</v>
      </c>
      <c r="AJ168" s="12">
        <v>5.8990089664936296E-2</v>
      </c>
      <c r="AK168" s="12">
        <v>32.420953279848987</v>
      </c>
    </row>
    <row r="169" spans="1:37" x14ac:dyDescent="0.25">
      <c r="A169" s="7" t="s">
        <v>500</v>
      </c>
      <c r="B169" s="7" t="str">
        <f t="shared" si="2"/>
        <v>2768-169</v>
      </c>
      <c r="C169" s="7">
        <f>VLOOKUP(B169,'CEBAS-DEWOOD code'!A$2:B$302,2,FALSE)</f>
        <v>334</v>
      </c>
      <c r="D169" s="7" t="str">
        <f>VLOOKUP(IONOMICS!C169,'Field Table'!A$2:E$661,3,FALSE)</f>
        <v>AA</v>
      </c>
      <c r="E169" s="7" t="str">
        <f>VLOOKUP(IONOMICS!C169,'Field Table'!A$2:E$661,4,FALSE)</f>
        <v>4</v>
      </c>
      <c r="F169" s="7" t="str">
        <f>VLOOKUP(IONOMICS!C169,'Field Table'!A$2:E$661,5,FALSE)</f>
        <v>10</v>
      </c>
      <c r="G169" s="11">
        <v>35.870016611295682</v>
      </c>
      <c r="H169" s="12" t="s">
        <v>333</v>
      </c>
      <c r="I169" s="12" t="s">
        <v>333</v>
      </c>
      <c r="J169" s="12" t="s">
        <v>333</v>
      </c>
      <c r="K169" s="12" t="s">
        <v>333</v>
      </c>
      <c r="L169" s="11">
        <v>0.1639327242524917</v>
      </c>
      <c r="M169" s="11">
        <v>0.70598006644518274</v>
      </c>
      <c r="N169" s="12">
        <v>2.0764119601328904E-2</v>
      </c>
      <c r="O169" s="12">
        <v>0.10382059800664453</v>
      </c>
      <c r="P169" s="12">
        <v>2.294435215946844</v>
      </c>
      <c r="Q169" s="12">
        <v>20.629152823920265</v>
      </c>
      <c r="R169" s="12">
        <v>2.2362956810631232E-2</v>
      </c>
      <c r="S169" s="12" t="s">
        <v>333</v>
      </c>
      <c r="T169" s="12">
        <v>0.21802325581395349</v>
      </c>
      <c r="U169" s="12">
        <v>2.5218023255813952E-2</v>
      </c>
      <c r="V169" s="12">
        <v>67.55606312292359</v>
      </c>
      <c r="W169" s="12" t="s">
        <v>333</v>
      </c>
      <c r="X169" s="13">
        <v>6.7171926910298998E-4</v>
      </c>
      <c r="Y169" s="12">
        <v>0.20764119601328906</v>
      </c>
      <c r="Z169" s="12">
        <v>0.92400332225913628</v>
      </c>
      <c r="AA169" s="13">
        <v>2.9931478405315617E-3</v>
      </c>
      <c r="AB169" s="12">
        <v>1.0797342192691031</v>
      </c>
      <c r="AC169" s="12" t="s">
        <v>333</v>
      </c>
      <c r="AD169" s="12" t="s">
        <v>333</v>
      </c>
      <c r="AE169" s="12">
        <v>42.524916943521596</v>
      </c>
      <c r="AF169" s="14">
        <v>1.0901162790697676E-2</v>
      </c>
      <c r="AG169" s="12">
        <v>9.416528239202659</v>
      </c>
      <c r="AH169" s="12">
        <v>1.7960963455149503</v>
      </c>
      <c r="AI169" s="12" t="s">
        <v>333</v>
      </c>
      <c r="AJ169" s="12" t="s">
        <v>333</v>
      </c>
      <c r="AK169" s="12">
        <v>10.153654485049834</v>
      </c>
    </row>
    <row r="170" spans="1:37" x14ac:dyDescent="0.25">
      <c r="A170" s="7" t="s">
        <v>501</v>
      </c>
      <c r="B170" s="7" t="str">
        <f t="shared" si="2"/>
        <v>2768-170</v>
      </c>
      <c r="C170" s="7">
        <f>VLOOKUP(B170,'CEBAS-DEWOOD code'!A$2:B$302,2,FALSE)</f>
        <v>391</v>
      </c>
      <c r="D170" s="7" t="str">
        <f>VLOOKUP(IONOMICS!C170,'Field Table'!A$2:E$661,3,FALSE)</f>
        <v>FS</v>
      </c>
      <c r="E170" s="7" t="str">
        <f>VLOOKUP(IONOMICS!C170,'Field Table'!A$2:E$661,4,FALSE)</f>
        <v>1</v>
      </c>
      <c r="F170" s="7" t="str">
        <f>VLOOKUP(IONOMICS!C170,'Field Table'!A$2:E$661,5,FALSE)</f>
        <v>10</v>
      </c>
      <c r="G170" s="11">
        <v>2.3756660746003546</v>
      </c>
      <c r="H170" s="12">
        <v>0.18872113676731792</v>
      </c>
      <c r="I170" s="12" t="s">
        <v>333</v>
      </c>
      <c r="J170" s="12" t="s">
        <v>333</v>
      </c>
      <c r="K170" s="12" t="s">
        <v>333</v>
      </c>
      <c r="L170" s="11">
        <v>0.1076265541740675</v>
      </c>
      <c r="M170" s="11">
        <v>0.13321492007104793</v>
      </c>
      <c r="N170" s="12">
        <v>6.6607460035523966E-2</v>
      </c>
      <c r="O170" s="12">
        <v>3.3303730017761983E-2</v>
      </c>
      <c r="P170" s="12">
        <v>1.0990230905861458</v>
      </c>
      <c r="Q170" s="12">
        <v>3.3525754884547068</v>
      </c>
      <c r="R170" s="12">
        <v>9.6514209591474248E-2</v>
      </c>
      <c r="S170" s="12" t="s">
        <v>333</v>
      </c>
      <c r="T170" s="12">
        <v>0.18872113676731792</v>
      </c>
      <c r="U170" s="12">
        <v>4.3128330373001768E-2</v>
      </c>
      <c r="V170" s="12">
        <v>76.265541740674948</v>
      </c>
      <c r="W170" s="12" t="s">
        <v>333</v>
      </c>
      <c r="X170" s="13" t="s">
        <v>333</v>
      </c>
      <c r="Y170" s="12">
        <v>1.2100355239786857</v>
      </c>
      <c r="Z170" s="12">
        <v>4.4404973357015987E-2</v>
      </c>
      <c r="AA170" s="13">
        <v>8.5579484902309055E-3</v>
      </c>
      <c r="AB170" s="12">
        <v>2.7753108348134989</v>
      </c>
      <c r="AC170" s="12" t="s">
        <v>333</v>
      </c>
      <c r="AD170" s="12" t="s">
        <v>333</v>
      </c>
      <c r="AE170" s="12">
        <v>12.932948490230906</v>
      </c>
      <c r="AF170" s="14">
        <v>1.2522202486678506E-2</v>
      </c>
      <c r="AG170" s="12">
        <v>8.481349911190053</v>
      </c>
      <c r="AH170" s="12">
        <v>0.18872113676731792</v>
      </c>
      <c r="AI170" s="12" t="s">
        <v>333</v>
      </c>
      <c r="AJ170" s="12" t="s">
        <v>333</v>
      </c>
      <c r="AK170" s="12">
        <v>4.840142095914743</v>
      </c>
    </row>
    <row r="171" spans="1:37" x14ac:dyDescent="0.25">
      <c r="A171" s="7" t="s">
        <v>502</v>
      </c>
      <c r="B171" s="7" t="str">
        <f t="shared" si="2"/>
        <v>2768-171</v>
      </c>
      <c r="C171" s="7">
        <f>VLOOKUP(B171,'CEBAS-DEWOOD code'!A$2:B$302,2,FALSE)</f>
        <v>153</v>
      </c>
      <c r="D171" s="7" t="str">
        <f>VLOOKUP(IONOMICS!C171,'Field Table'!A$2:E$661,3,FALSE)</f>
        <v>AA</v>
      </c>
      <c r="E171" s="7" t="str">
        <f>VLOOKUP(IONOMICS!C171,'Field Table'!A$2:E$661,4,FALSE)</f>
        <v>2</v>
      </c>
      <c r="F171" s="7" t="str">
        <f>VLOOKUP(IONOMICS!C171,'Field Table'!A$2:E$661,5,FALSE)</f>
        <v>10</v>
      </c>
      <c r="G171" s="11">
        <v>8.7633658763365858</v>
      </c>
      <c r="H171" s="12">
        <v>0.10460251046025104</v>
      </c>
      <c r="I171" s="12" t="s">
        <v>333</v>
      </c>
      <c r="J171" s="12" t="s">
        <v>333</v>
      </c>
      <c r="K171" s="12" t="s">
        <v>333</v>
      </c>
      <c r="L171" s="11">
        <v>6.8677359367735932E-2</v>
      </c>
      <c r="M171" s="11">
        <v>0.10460251046025104</v>
      </c>
      <c r="N171" s="12">
        <v>6.9735006973500685E-2</v>
      </c>
      <c r="O171" s="12">
        <v>0.58112505811250581</v>
      </c>
      <c r="P171" s="12">
        <v>0.99953509995350986</v>
      </c>
      <c r="Q171" s="12">
        <v>5.1720130172013015</v>
      </c>
      <c r="R171" s="12">
        <v>0.13598326359832635</v>
      </c>
      <c r="S171" s="12" t="s">
        <v>333</v>
      </c>
      <c r="T171" s="12">
        <v>0.23245002324500233</v>
      </c>
      <c r="U171" s="12">
        <v>1.9490934449093444E-2</v>
      </c>
      <c r="V171" s="12">
        <v>27.894002789400279</v>
      </c>
      <c r="W171" s="12" t="s">
        <v>333</v>
      </c>
      <c r="X171" s="13" t="s">
        <v>333</v>
      </c>
      <c r="Y171" s="12">
        <v>0.27894002789400274</v>
      </c>
      <c r="Z171" s="12">
        <v>0.13947001394700137</v>
      </c>
      <c r="AA171" s="13">
        <v>3.4518828451882842E-3</v>
      </c>
      <c r="AB171" s="12">
        <v>2.4291027429102741</v>
      </c>
      <c r="AC171" s="12" t="s">
        <v>333</v>
      </c>
      <c r="AD171" s="12" t="s">
        <v>333</v>
      </c>
      <c r="AE171" s="12">
        <v>9.8791259879125981</v>
      </c>
      <c r="AF171" s="14">
        <v>6.3656438865643886E-3</v>
      </c>
      <c r="AG171" s="12">
        <v>4.4746629474662942</v>
      </c>
      <c r="AH171" s="12">
        <v>0.79033007903300778</v>
      </c>
      <c r="AI171" s="12" t="s">
        <v>333</v>
      </c>
      <c r="AJ171" s="12" t="s">
        <v>333</v>
      </c>
      <c r="AK171" s="12">
        <v>4.2073454207345415</v>
      </c>
    </row>
    <row r="172" spans="1:37" x14ac:dyDescent="0.25">
      <c r="A172" s="7" t="s">
        <v>503</v>
      </c>
      <c r="B172" s="7" t="str">
        <f t="shared" si="2"/>
        <v>2768-172</v>
      </c>
      <c r="C172" s="7">
        <f>VLOOKUP(B172,'CEBAS-DEWOOD code'!A$2:B$302,2,FALSE)</f>
        <v>384</v>
      </c>
      <c r="D172" s="7" t="str">
        <f>VLOOKUP(IONOMICS!C172,'Field Table'!A$2:E$661,3,FALSE)</f>
        <v>AA</v>
      </c>
      <c r="E172" s="7" t="str">
        <f>VLOOKUP(IONOMICS!C172,'Field Table'!A$2:E$661,4,FALSE)</f>
        <v>1</v>
      </c>
      <c r="F172" s="7" t="str">
        <f>VLOOKUP(IONOMICS!C172,'Field Table'!A$2:E$661,5,FALSE)</f>
        <v>10</v>
      </c>
      <c r="G172" s="11">
        <v>12.059222423146473</v>
      </c>
      <c r="H172" s="12" t="s">
        <v>333</v>
      </c>
      <c r="I172" s="12" t="s">
        <v>333</v>
      </c>
      <c r="J172" s="12" t="s">
        <v>333</v>
      </c>
      <c r="K172" s="12" t="s">
        <v>333</v>
      </c>
      <c r="L172" s="11">
        <v>4.8327305605786616E-2</v>
      </c>
      <c r="M172" s="11">
        <v>0.13562386980108498</v>
      </c>
      <c r="N172" s="12" t="s">
        <v>333</v>
      </c>
      <c r="O172" s="12">
        <v>0.48598553345388784</v>
      </c>
      <c r="P172" s="12">
        <v>1.740506329113924</v>
      </c>
      <c r="Q172" s="12">
        <v>16.986889692585894</v>
      </c>
      <c r="R172" s="12">
        <v>6.4308318264014466E-2</v>
      </c>
      <c r="S172" s="12" t="s">
        <v>333</v>
      </c>
      <c r="T172" s="12">
        <v>0.19213381555153705</v>
      </c>
      <c r="U172" s="12">
        <v>1.0253164556962025E-2</v>
      </c>
      <c r="V172" s="12">
        <v>31.069168173598552</v>
      </c>
      <c r="W172" s="12" t="s">
        <v>333</v>
      </c>
      <c r="X172" s="13">
        <v>9.629294755877034E-4</v>
      </c>
      <c r="Y172" s="12">
        <v>1.311030741410488</v>
      </c>
      <c r="Z172" s="12">
        <v>0.62160940325497283</v>
      </c>
      <c r="AA172" s="13">
        <v>1.9970614828209764E-3</v>
      </c>
      <c r="AB172" s="12">
        <v>1.2319168173598554</v>
      </c>
      <c r="AC172" s="12" t="s">
        <v>333</v>
      </c>
      <c r="AD172" s="12" t="s">
        <v>333</v>
      </c>
      <c r="AE172" s="12">
        <v>10.36392405063291</v>
      </c>
      <c r="AF172" s="14">
        <v>8.4437160940325495E-3</v>
      </c>
      <c r="AG172" s="12">
        <v>3.0741410488245928</v>
      </c>
      <c r="AH172" s="12">
        <v>0.51989150090415903</v>
      </c>
      <c r="AI172" s="12" t="s">
        <v>333</v>
      </c>
      <c r="AJ172" s="12" t="s">
        <v>333</v>
      </c>
      <c r="AK172" s="12">
        <v>7.7418625678119355</v>
      </c>
    </row>
    <row r="173" spans="1:37" x14ac:dyDescent="0.25">
      <c r="A173" s="7" t="s">
        <v>504</v>
      </c>
      <c r="B173" s="7" t="str">
        <f t="shared" si="2"/>
        <v>2768-173</v>
      </c>
      <c r="C173" s="7">
        <f>VLOOKUP(B173,'CEBAS-DEWOOD code'!A$2:B$302,2,FALSE)</f>
        <v>412</v>
      </c>
      <c r="D173" s="7" t="str">
        <f>VLOOKUP(IONOMICS!C173,'Field Table'!A$2:E$661,3,FALSE)</f>
        <v>FS</v>
      </c>
      <c r="E173" s="7" t="str">
        <f>VLOOKUP(IONOMICS!C173,'Field Table'!A$2:E$661,4,FALSE)</f>
        <v>4</v>
      </c>
      <c r="F173" s="7" t="str">
        <f>VLOOKUP(IONOMICS!C173,'Field Table'!A$2:E$661,5,FALSE)</f>
        <v>10</v>
      </c>
      <c r="G173" s="11">
        <v>14.789936492427943</v>
      </c>
      <c r="H173" s="12">
        <v>0.18319491939423546</v>
      </c>
      <c r="I173" s="12" t="s">
        <v>333</v>
      </c>
      <c r="J173" s="12" t="s">
        <v>333</v>
      </c>
      <c r="K173" s="12" t="s">
        <v>333</v>
      </c>
      <c r="L173" s="11">
        <v>0.37799218368343918</v>
      </c>
      <c r="M173" s="11">
        <v>0.21983390327308255</v>
      </c>
      <c r="N173" s="12">
        <v>0.14655593551538837</v>
      </c>
      <c r="O173" s="12">
        <v>0.20762090864680019</v>
      </c>
      <c r="P173" s="12">
        <v>1.7098192476795313</v>
      </c>
      <c r="Q173" s="12">
        <v>19.980459208597949</v>
      </c>
      <c r="R173" s="12">
        <v>6.6108939912066442E-3</v>
      </c>
      <c r="S173" s="12" t="s">
        <v>333</v>
      </c>
      <c r="T173" s="12">
        <v>0.25647288715192967</v>
      </c>
      <c r="U173" s="12">
        <v>0.14008304836345875</v>
      </c>
      <c r="V173" s="12">
        <v>125.42745481191987</v>
      </c>
      <c r="W173" s="12" t="s">
        <v>333</v>
      </c>
      <c r="X173" s="13">
        <v>1.8978993649242796E-3</v>
      </c>
      <c r="Y173" s="12">
        <v>2.4548119198827552</v>
      </c>
      <c r="Z173" s="12">
        <v>0.39081582804103571</v>
      </c>
      <c r="AA173" s="13">
        <v>9.4870542256961423E-3</v>
      </c>
      <c r="AB173" s="12">
        <v>0.58622374206155348</v>
      </c>
      <c r="AC173" s="12" t="s">
        <v>333</v>
      </c>
      <c r="AD173" s="12" t="s">
        <v>333</v>
      </c>
      <c r="AE173" s="12">
        <v>49.108451392281388</v>
      </c>
      <c r="AF173" s="14">
        <v>1.9723986321446021E-2</v>
      </c>
      <c r="AG173" s="12">
        <v>26.245725451880805</v>
      </c>
      <c r="AH173" s="12">
        <v>1.038104543234001</v>
      </c>
      <c r="AI173" s="12" t="s">
        <v>333</v>
      </c>
      <c r="AJ173" s="12" t="s">
        <v>333</v>
      </c>
      <c r="AK173" s="12">
        <v>9.6116267708842216</v>
      </c>
    </row>
    <row r="174" spans="1:37" x14ac:dyDescent="0.25">
      <c r="A174" s="7" t="s">
        <v>505</v>
      </c>
      <c r="B174" s="7" t="str">
        <f t="shared" si="2"/>
        <v>2768-174</v>
      </c>
      <c r="C174" s="7">
        <f>VLOOKUP(B174,'CEBAS-DEWOOD code'!A$2:B$302,2,FALSE)</f>
        <v>1067</v>
      </c>
      <c r="D174" s="7" t="str">
        <f>VLOOKUP(IONOMICS!C174,'Field Table'!A$2:E$661,3,FALSE)</f>
        <v>AA</v>
      </c>
      <c r="E174" s="7" t="str">
        <f>VLOOKUP(IONOMICS!C174,'Field Table'!A$2:E$661,4,FALSE)</f>
        <v>1</v>
      </c>
      <c r="F174" s="7" t="str">
        <f>VLOOKUP(IONOMICS!C174,'Field Table'!A$2:E$661,5,FALSE)</f>
        <v>01</v>
      </c>
      <c r="G174" s="11">
        <v>71.931927133269411</v>
      </c>
      <c r="H174" s="12">
        <v>0.23969319271332695</v>
      </c>
      <c r="I174" s="12" t="s">
        <v>333</v>
      </c>
      <c r="J174" s="12" t="s">
        <v>333</v>
      </c>
      <c r="K174" s="12" t="s">
        <v>333</v>
      </c>
      <c r="L174" s="11">
        <v>0.12991371045062319</v>
      </c>
      <c r="M174" s="11">
        <v>0.34755512943432404</v>
      </c>
      <c r="N174" s="12">
        <v>1.1984659635666348E-2</v>
      </c>
      <c r="O174" s="12">
        <v>1.1145733461169702</v>
      </c>
      <c r="P174" s="12">
        <v>3.2358581016299137</v>
      </c>
      <c r="Q174" s="12">
        <v>24.161073825503355</v>
      </c>
      <c r="R174" s="12">
        <v>0.11752157238734419</v>
      </c>
      <c r="S174" s="12" t="s">
        <v>333</v>
      </c>
      <c r="T174" s="12">
        <v>0.25167785234899326</v>
      </c>
      <c r="U174" s="12">
        <v>2.3909395973154366E-2</v>
      </c>
      <c r="V174" s="12">
        <v>112.12847555129434</v>
      </c>
      <c r="W174" s="12" t="s">
        <v>333</v>
      </c>
      <c r="X174" s="13" t="s">
        <v>333</v>
      </c>
      <c r="Y174" s="12">
        <v>0.58724832214765099</v>
      </c>
      <c r="Z174" s="12">
        <v>0.31160115052732501</v>
      </c>
      <c r="AA174" s="13">
        <v>1.9990412272291466E-2</v>
      </c>
      <c r="AB174" s="12">
        <v>2.3370086289549374</v>
      </c>
      <c r="AC174" s="12" t="s">
        <v>333</v>
      </c>
      <c r="AD174" s="12" t="s">
        <v>333</v>
      </c>
      <c r="AE174" s="12">
        <v>38.386864813039303</v>
      </c>
      <c r="AF174" s="14">
        <v>1.3842281879194632E-2</v>
      </c>
      <c r="AG174" s="12">
        <v>6.7713326941514866</v>
      </c>
      <c r="AH174" s="12">
        <v>1.2104506232023011</v>
      </c>
      <c r="AI174" s="12" t="s">
        <v>333</v>
      </c>
      <c r="AJ174" s="12" t="s">
        <v>333</v>
      </c>
      <c r="AK174" s="12">
        <v>13.374880153403643</v>
      </c>
    </row>
    <row r="175" spans="1:37" x14ac:dyDescent="0.25">
      <c r="A175" s="7" t="s">
        <v>506</v>
      </c>
      <c r="B175" s="7" t="str">
        <f t="shared" si="2"/>
        <v>2768-175</v>
      </c>
      <c r="C175" s="7">
        <f>VLOOKUP(B175,'CEBAS-DEWOOD code'!A$2:B$302,2,FALSE)</f>
        <v>179</v>
      </c>
      <c r="D175" s="7" t="str">
        <f>VLOOKUP(IONOMICS!C175,'Field Table'!A$2:E$661,3,FALSE)</f>
        <v>FS</v>
      </c>
      <c r="E175" s="7" t="str">
        <f>VLOOKUP(IONOMICS!C175,'Field Table'!A$2:E$661,4,FALSE)</f>
        <v>1</v>
      </c>
      <c r="F175" s="7" t="str">
        <f>VLOOKUP(IONOMICS!C175,'Field Table'!A$2:E$661,5,FALSE)</f>
        <v>10</v>
      </c>
      <c r="G175" s="11">
        <v>16.1910197869102</v>
      </c>
      <c r="H175" s="12">
        <v>1.9025875190258754E-2</v>
      </c>
      <c r="I175" s="12" t="s">
        <v>333</v>
      </c>
      <c r="J175" s="12" t="s">
        <v>333</v>
      </c>
      <c r="K175" s="12" t="s">
        <v>333</v>
      </c>
      <c r="L175" s="11">
        <v>0.20719178082191786</v>
      </c>
      <c r="M175" s="11">
        <v>5.7077625570776259E-2</v>
      </c>
      <c r="N175" s="12">
        <v>1.9025875190258754E-2</v>
      </c>
      <c r="O175" s="12">
        <v>0.10464231354642314</v>
      </c>
      <c r="P175" s="12">
        <v>0.88470319634703198</v>
      </c>
      <c r="Q175" s="12">
        <v>8.6187214611872154</v>
      </c>
      <c r="R175" s="12">
        <v>7.4980974124809752E-2</v>
      </c>
      <c r="S175" s="12" t="s">
        <v>333</v>
      </c>
      <c r="T175" s="12">
        <v>0.29490106544901068</v>
      </c>
      <c r="U175" s="12">
        <v>5.8609208523592089E-2</v>
      </c>
      <c r="V175" s="12">
        <v>77.920471841704739</v>
      </c>
      <c r="W175" s="12" t="s">
        <v>333</v>
      </c>
      <c r="X175" s="13" t="s">
        <v>333</v>
      </c>
      <c r="Y175" s="12">
        <v>0.98934550989345527</v>
      </c>
      <c r="Z175" s="12">
        <v>0.18074581430745815</v>
      </c>
      <c r="AA175" s="13">
        <v>5.2606544901065456E-3</v>
      </c>
      <c r="AB175" s="12">
        <v>2.378234398782344</v>
      </c>
      <c r="AC175" s="12" t="s">
        <v>333</v>
      </c>
      <c r="AD175" s="12" t="s">
        <v>333</v>
      </c>
      <c r="AE175" s="12">
        <v>43.94025875190259</v>
      </c>
      <c r="AF175" s="14">
        <v>9.9980974124809757E-3</v>
      </c>
      <c r="AG175" s="12">
        <v>11.244292237442924</v>
      </c>
      <c r="AH175" s="12">
        <v>0.63736681887366831</v>
      </c>
      <c r="AI175" s="12">
        <v>0.12366818873668191</v>
      </c>
      <c r="AJ175" s="12" t="s">
        <v>333</v>
      </c>
      <c r="AK175" s="12">
        <v>2.7587519025875196</v>
      </c>
    </row>
    <row r="176" spans="1:37" x14ac:dyDescent="0.25">
      <c r="A176" s="7" t="s">
        <v>507</v>
      </c>
      <c r="B176" s="7" t="str">
        <f t="shared" si="2"/>
        <v>2768-176</v>
      </c>
      <c r="C176" s="7">
        <f>VLOOKUP(B176,'CEBAS-DEWOOD code'!A$2:B$302,2,FALSE)</f>
        <v>363</v>
      </c>
      <c r="D176" s="7" t="str">
        <f>VLOOKUP(IONOMICS!C176,'Field Table'!A$2:E$661,3,FALSE)</f>
        <v>FS</v>
      </c>
      <c r="E176" s="7" t="str">
        <f>VLOOKUP(IONOMICS!C176,'Field Table'!A$2:E$661,4,FALSE)</f>
        <v>1</v>
      </c>
      <c r="F176" s="7" t="str">
        <f>VLOOKUP(IONOMICS!C176,'Field Table'!A$2:E$661,5,FALSE)</f>
        <v>25</v>
      </c>
      <c r="G176" s="11">
        <v>16.061643835616437</v>
      </c>
      <c r="H176" s="12" t="s">
        <v>333</v>
      </c>
      <c r="I176" s="12" t="s">
        <v>333</v>
      </c>
      <c r="J176" s="12" t="s">
        <v>333</v>
      </c>
      <c r="K176" s="12" t="s">
        <v>333</v>
      </c>
      <c r="L176" s="11">
        <v>9.1552511415525104E-2</v>
      </c>
      <c r="M176" s="11">
        <v>0.13698630136986301</v>
      </c>
      <c r="N176" s="12" t="s">
        <v>333</v>
      </c>
      <c r="O176" s="12">
        <v>0.50228310502283102</v>
      </c>
      <c r="P176" s="12">
        <v>1.3812785388127853</v>
      </c>
      <c r="Q176" s="12">
        <v>17.214611872146115</v>
      </c>
      <c r="R176" s="12">
        <v>0.10982876712328768</v>
      </c>
      <c r="S176" s="12" t="s">
        <v>333</v>
      </c>
      <c r="T176" s="12">
        <v>0.30821917808219179</v>
      </c>
      <c r="U176" s="12">
        <v>1.8253424657534247E-2</v>
      </c>
      <c r="V176" s="12">
        <v>60.8675799086758</v>
      </c>
      <c r="W176" s="12" t="s">
        <v>333</v>
      </c>
      <c r="X176" s="13">
        <v>1.3002283105022832E-3</v>
      </c>
      <c r="Y176" s="12">
        <v>2.5799086757990866</v>
      </c>
      <c r="Z176" s="12">
        <v>0.65068493150684936</v>
      </c>
      <c r="AA176" s="13">
        <v>5.2317351598173516E-3</v>
      </c>
      <c r="AB176" s="12">
        <v>3.6757990867579906</v>
      </c>
      <c r="AC176" s="12" t="s">
        <v>333</v>
      </c>
      <c r="AD176" s="12" t="s">
        <v>333</v>
      </c>
      <c r="AE176" s="12">
        <v>27.739726027397261</v>
      </c>
      <c r="AF176" s="14">
        <v>1.1351598173515982E-2</v>
      </c>
      <c r="AG176" s="12">
        <v>7.7397260273972606</v>
      </c>
      <c r="AH176" s="12">
        <v>1.1872146118721461</v>
      </c>
      <c r="AI176" s="12" t="s">
        <v>333</v>
      </c>
      <c r="AJ176" s="12" t="s">
        <v>333</v>
      </c>
      <c r="AK176" s="12">
        <v>5.6392694063926934</v>
      </c>
    </row>
    <row r="177" spans="1:37" x14ac:dyDescent="0.25">
      <c r="A177" s="7" t="s">
        <v>508</v>
      </c>
      <c r="B177" s="7" t="str">
        <f t="shared" si="2"/>
        <v>2768-177</v>
      </c>
      <c r="C177" s="7">
        <f>VLOOKUP(B177,'CEBAS-DEWOOD code'!A$2:B$302,2,FALSE)</f>
        <v>1046</v>
      </c>
      <c r="D177" s="7" t="str">
        <f>VLOOKUP(IONOMICS!C177,'Field Table'!A$2:E$661,3,FALSE)</f>
        <v>FS</v>
      </c>
      <c r="E177" s="7" t="str">
        <f>VLOOKUP(IONOMICS!C177,'Field Table'!A$2:E$661,4,FALSE)</f>
        <v>1</v>
      </c>
      <c r="F177" s="7" t="str">
        <f>VLOOKUP(IONOMICS!C177,'Field Table'!A$2:E$661,5,FALSE)</f>
        <v>01</v>
      </c>
      <c r="G177" s="11">
        <v>17.3943661971831</v>
      </c>
      <c r="H177" s="12">
        <v>4.6948356807511742E-2</v>
      </c>
      <c r="I177" s="12" t="s">
        <v>333</v>
      </c>
      <c r="J177" s="12" t="s">
        <v>333</v>
      </c>
      <c r="K177" s="12" t="s">
        <v>333</v>
      </c>
      <c r="L177" s="11">
        <v>0.32969483568075114</v>
      </c>
      <c r="M177" s="11">
        <v>0.10563380281690141</v>
      </c>
      <c r="N177" s="12">
        <v>9.3896713615023483E-2</v>
      </c>
      <c r="O177" s="12">
        <v>1.5375586854460095</v>
      </c>
      <c r="P177" s="12">
        <v>2.5469483568075115</v>
      </c>
      <c r="Q177" s="12">
        <v>22.124413145539908</v>
      </c>
      <c r="R177" s="12">
        <v>8.5645539906103282E-2</v>
      </c>
      <c r="S177" s="12" t="s">
        <v>333</v>
      </c>
      <c r="T177" s="12">
        <v>0.16431924882629106</v>
      </c>
      <c r="U177" s="12">
        <v>2.3474178403755871E-2</v>
      </c>
      <c r="V177" s="12">
        <v>103.39201877934273</v>
      </c>
      <c r="W177" s="12" t="s">
        <v>333</v>
      </c>
      <c r="X177" s="13" t="s">
        <v>333</v>
      </c>
      <c r="Y177" s="12">
        <v>1.1384976525821595</v>
      </c>
      <c r="Z177" s="12">
        <v>1.1854460093896715</v>
      </c>
      <c r="AA177" s="13">
        <v>1.715962441314554E-2</v>
      </c>
      <c r="AB177" s="12">
        <v>2.5821596244131455</v>
      </c>
      <c r="AC177" s="12" t="s">
        <v>333</v>
      </c>
      <c r="AD177" s="12" t="s">
        <v>333</v>
      </c>
      <c r="AE177" s="12">
        <v>461.97183098591552</v>
      </c>
      <c r="AF177" s="14">
        <v>2.0387323943661974E-2</v>
      </c>
      <c r="AG177" s="12">
        <v>22.73474178403756</v>
      </c>
      <c r="AH177" s="12">
        <v>0.76291079812206575</v>
      </c>
      <c r="AI177" s="12" t="s">
        <v>333</v>
      </c>
      <c r="AJ177" s="12" t="s">
        <v>333</v>
      </c>
      <c r="AK177" s="12">
        <v>7.652582159624413</v>
      </c>
    </row>
    <row r="178" spans="1:37" x14ac:dyDescent="0.25">
      <c r="A178" s="7" t="s">
        <v>509</v>
      </c>
      <c r="B178" s="7" t="str">
        <f t="shared" si="2"/>
        <v>2768-178</v>
      </c>
      <c r="C178" s="7">
        <f>VLOOKUP(B178,'CEBAS-DEWOOD code'!A$2:B$302,2,FALSE)</f>
        <v>385</v>
      </c>
      <c r="D178" s="7" t="str">
        <f>VLOOKUP(IONOMICS!C178,'Field Table'!A$2:E$661,3,FALSE)</f>
        <v>AA</v>
      </c>
      <c r="E178" s="7" t="str">
        <f>VLOOKUP(IONOMICS!C178,'Field Table'!A$2:E$661,4,FALSE)</f>
        <v>1</v>
      </c>
      <c r="F178" s="7" t="str">
        <f>VLOOKUP(IONOMICS!C178,'Field Table'!A$2:E$661,5,FALSE)</f>
        <v>10</v>
      </c>
      <c r="G178" s="11">
        <v>5.1071003570011895</v>
      </c>
      <c r="H178" s="12">
        <v>3.9666798889329634E-2</v>
      </c>
      <c r="I178" s="12" t="s">
        <v>333</v>
      </c>
      <c r="J178" s="12" t="s">
        <v>333</v>
      </c>
      <c r="K178" s="12" t="s">
        <v>333</v>
      </c>
      <c r="L178" s="11">
        <v>4.3881396271320906E-2</v>
      </c>
      <c r="M178" s="11">
        <v>0.12891709639032131</v>
      </c>
      <c r="N178" s="12" t="s">
        <v>333</v>
      </c>
      <c r="O178" s="12">
        <v>0.14875049583498612</v>
      </c>
      <c r="P178" s="12">
        <v>1.4974216580721937</v>
      </c>
      <c r="Q178" s="12">
        <v>3.9865132883776275</v>
      </c>
      <c r="R178" s="12">
        <v>8.5521618405394698E-2</v>
      </c>
      <c r="S178" s="12" t="s">
        <v>333</v>
      </c>
      <c r="T178" s="12">
        <v>0.1388337961126537</v>
      </c>
      <c r="U178" s="12">
        <v>9.750099166997225E-3</v>
      </c>
      <c r="V178" s="12">
        <v>34.014280047600167</v>
      </c>
      <c r="W178" s="12" t="s">
        <v>333</v>
      </c>
      <c r="X178" s="13" t="s">
        <v>333</v>
      </c>
      <c r="Y178" s="12">
        <v>8.9250297500991671E-2</v>
      </c>
      <c r="Z178" s="12">
        <v>9.9166997223324085E-3</v>
      </c>
      <c r="AA178" s="13">
        <v>9.728282427608093E-4</v>
      </c>
      <c r="AB178" s="12">
        <v>1.5172550575168584</v>
      </c>
      <c r="AC178" s="12" t="s">
        <v>333</v>
      </c>
      <c r="AD178" s="12" t="s">
        <v>333</v>
      </c>
      <c r="AE178" s="12">
        <v>15.866719555731853</v>
      </c>
      <c r="AF178" s="14">
        <v>4.8611662038873463E-3</v>
      </c>
      <c r="AG178" s="12">
        <v>2.8857596191987307</v>
      </c>
      <c r="AH178" s="12">
        <v>0.19833399444664818</v>
      </c>
      <c r="AI178" s="12" t="s">
        <v>333</v>
      </c>
      <c r="AJ178" s="12" t="s">
        <v>333</v>
      </c>
      <c r="AK178" s="12">
        <v>6.1582705275684253</v>
      </c>
    </row>
    <row r="179" spans="1:37" x14ac:dyDescent="0.25">
      <c r="A179" s="7" t="s">
        <v>510</v>
      </c>
      <c r="B179" s="7" t="str">
        <f t="shared" si="2"/>
        <v>2768-179</v>
      </c>
      <c r="C179" s="7">
        <f>VLOOKUP(B179,'CEBAS-DEWOOD code'!A$2:B$302,2,FALSE)</f>
        <v>138</v>
      </c>
      <c r="D179" s="7" t="str">
        <f>VLOOKUP(IONOMICS!C179,'Field Table'!A$2:E$661,3,FALSE)</f>
        <v>FS</v>
      </c>
      <c r="E179" s="7" t="str">
        <f>VLOOKUP(IONOMICS!C179,'Field Table'!A$2:E$661,4,FALSE)</f>
        <v>2</v>
      </c>
      <c r="F179" s="7" t="str">
        <f>VLOOKUP(IONOMICS!C179,'Field Table'!A$2:E$661,5,FALSE)</f>
        <v>25</v>
      </c>
      <c r="G179" s="11">
        <v>4.5122887864823351</v>
      </c>
      <c r="H179" s="12">
        <v>6.7204301075268799E-2</v>
      </c>
      <c r="I179" s="12" t="s">
        <v>333</v>
      </c>
      <c r="J179" s="12" t="s">
        <v>333</v>
      </c>
      <c r="K179" s="12" t="s">
        <v>333</v>
      </c>
      <c r="L179" s="11">
        <v>0.32114055299539168</v>
      </c>
      <c r="M179" s="11">
        <v>9.6006144393241163E-2</v>
      </c>
      <c r="N179" s="12" t="s">
        <v>333</v>
      </c>
      <c r="O179" s="12" t="s">
        <v>333</v>
      </c>
      <c r="P179" s="12">
        <v>1.2864823348694316</v>
      </c>
      <c r="Q179" s="12">
        <v>10.781490015360983</v>
      </c>
      <c r="R179" s="12">
        <v>9.8790322580645143E-2</v>
      </c>
      <c r="S179" s="12" t="s">
        <v>333</v>
      </c>
      <c r="T179" s="12">
        <v>0.18241167434715821</v>
      </c>
      <c r="U179" s="12">
        <v>5.9408602150537629E-2</v>
      </c>
      <c r="V179" s="12">
        <v>75.134408602150529</v>
      </c>
      <c r="W179" s="12" t="s">
        <v>333</v>
      </c>
      <c r="X179" s="13" t="s">
        <v>333</v>
      </c>
      <c r="Y179" s="12">
        <v>0.51843317972350234</v>
      </c>
      <c r="Z179" s="12">
        <v>0.11520737327188939</v>
      </c>
      <c r="AA179" s="13">
        <v>9.1983486943164345E-3</v>
      </c>
      <c r="AB179" s="12">
        <v>2.7265745007680491</v>
      </c>
      <c r="AC179" s="12" t="s">
        <v>333</v>
      </c>
      <c r="AD179" s="12" t="s">
        <v>333</v>
      </c>
      <c r="AE179" s="12">
        <v>25.297619047619047</v>
      </c>
      <c r="AF179" s="14">
        <v>1.2615207373271889E-2</v>
      </c>
      <c r="AG179" s="12">
        <v>17.108294930875577</v>
      </c>
      <c r="AH179" s="12">
        <v>2.419354838709677</v>
      </c>
      <c r="AI179" s="12">
        <v>0.71044546850998458</v>
      </c>
      <c r="AJ179" s="12" t="s">
        <v>333</v>
      </c>
      <c r="AK179" s="12">
        <v>3.3794162826420888</v>
      </c>
    </row>
    <row r="180" spans="1:37" x14ac:dyDescent="0.25">
      <c r="A180" s="7" t="s">
        <v>511</v>
      </c>
      <c r="B180" s="7" t="str">
        <f t="shared" si="2"/>
        <v>2768-180</v>
      </c>
      <c r="C180" s="7" t="e">
        <f>VLOOKUP(B180,'CEBAS-DEWOOD code'!A$2:B$302,2,FALSE)</f>
        <v>#N/A</v>
      </c>
      <c r="D180" s="7" t="e">
        <f>VLOOKUP(IONOMICS!C180,'Field Table'!A$2:E$661,3,FALSE)</f>
        <v>#N/A</v>
      </c>
      <c r="E180" s="7" t="e">
        <f>VLOOKUP(IONOMICS!C180,'Field Table'!A$2:E$661,4,FALSE)</f>
        <v>#N/A</v>
      </c>
      <c r="F180" s="7" t="e">
        <f>VLOOKUP(IONOMICS!C180,'Field Table'!A$2:E$661,5,FALSE)</f>
        <v>#N/A</v>
      </c>
      <c r="G180" s="11">
        <v>29.304834198961245</v>
      </c>
      <c r="H180" s="12">
        <v>5.9928086296444256E-2</v>
      </c>
      <c r="I180" s="12" t="s">
        <v>333</v>
      </c>
      <c r="J180" s="12" t="s">
        <v>333</v>
      </c>
      <c r="K180" s="12" t="s">
        <v>333</v>
      </c>
      <c r="L180" s="11">
        <v>0.12135437475029964</v>
      </c>
      <c r="M180" s="11">
        <v>0.21973631642029562</v>
      </c>
      <c r="N180" s="12" t="s">
        <v>333</v>
      </c>
      <c r="O180" s="12">
        <v>0.18977227327207349</v>
      </c>
      <c r="P180" s="12">
        <v>2.9864163004394721</v>
      </c>
      <c r="Q180" s="12">
        <v>16.510187774670396</v>
      </c>
      <c r="R180" s="12">
        <v>2.4151018777467042E-2</v>
      </c>
      <c r="S180" s="12" t="s">
        <v>333</v>
      </c>
      <c r="T180" s="12">
        <v>0.18977227327207349</v>
      </c>
      <c r="U180" s="12">
        <v>2.4980023971234517E-2</v>
      </c>
      <c r="V180" s="12">
        <v>42.548941270475424</v>
      </c>
      <c r="W180" s="12" t="s">
        <v>333</v>
      </c>
      <c r="X180" s="13">
        <v>7.8705553335996789E-4</v>
      </c>
      <c r="Y180" s="12">
        <v>0.60926887734718327</v>
      </c>
      <c r="Z180" s="12">
        <v>0.74910107870555331</v>
      </c>
      <c r="AA180" s="13">
        <v>4.4756292449061119E-3</v>
      </c>
      <c r="AB180" s="12">
        <v>0.69916100679184978</v>
      </c>
      <c r="AC180" s="12" t="s">
        <v>333</v>
      </c>
      <c r="AD180" s="12" t="s">
        <v>333</v>
      </c>
      <c r="AE180" s="12">
        <v>25.049940071913703</v>
      </c>
      <c r="AF180" s="14">
        <v>1.0647223332001599E-2</v>
      </c>
      <c r="AG180" s="12">
        <v>5.6232520974830198</v>
      </c>
      <c r="AH180" s="12">
        <v>0.75908909308829398</v>
      </c>
      <c r="AI180" s="12" t="s">
        <v>333</v>
      </c>
      <c r="AJ180" s="12" t="s">
        <v>333</v>
      </c>
      <c r="AK180" s="12">
        <v>12.155413503795444</v>
      </c>
    </row>
    <row r="181" spans="1:37" x14ac:dyDescent="0.25">
      <c r="A181" s="7" t="s">
        <v>512</v>
      </c>
      <c r="B181" s="7" t="str">
        <f t="shared" si="2"/>
        <v>2768-181</v>
      </c>
      <c r="C181" s="7">
        <f>VLOOKUP(B181,'CEBAS-DEWOOD code'!A$2:B$302,2,FALSE)</f>
        <v>117</v>
      </c>
      <c r="D181" s="7" t="str">
        <f>VLOOKUP(IONOMICS!C181,'Field Table'!A$2:E$661,3,FALSE)</f>
        <v>AA</v>
      </c>
      <c r="E181" s="7" t="str">
        <f>VLOOKUP(IONOMICS!C181,'Field Table'!A$2:E$661,4,FALSE)</f>
        <v>4</v>
      </c>
      <c r="F181" s="7" t="str">
        <f>VLOOKUP(IONOMICS!C181,'Field Table'!A$2:E$661,5,FALSE)</f>
        <v>10</v>
      </c>
      <c r="G181" s="11">
        <v>38.78250591016549</v>
      </c>
      <c r="H181" s="12">
        <v>0.1182033096926714</v>
      </c>
      <c r="I181" s="12" t="s">
        <v>333</v>
      </c>
      <c r="J181" s="12" t="s">
        <v>333</v>
      </c>
      <c r="K181" s="12" t="s">
        <v>333</v>
      </c>
      <c r="L181" s="11">
        <v>0.15401891252955083</v>
      </c>
      <c r="M181" s="11">
        <v>0.36643026004728135</v>
      </c>
      <c r="N181" s="12" t="s">
        <v>333</v>
      </c>
      <c r="O181" s="12">
        <v>0.1182033096926714</v>
      </c>
      <c r="P181" s="12">
        <v>2.2695035460992909</v>
      </c>
      <c r="Q181" s="12">
        <v>18.51063829787234</v>
      </c>
      <c r="R181" s="12">
        <v>8.6182033096926722E-2</v>
      </c>
      <c r="S181" s="12" t="s">
        <v>333</v>
      </c>
      <c r="T181" s="12">
        <v>0.18912529550827425</v>
      </c>
      <c r="U181" s="12">
        <v>2.7742316784869978E-2</v>
      </c>
      <c r="V181" s="12">
        <v>72.080378250591025</v>
      </c>
      <c r="W181" s="12" t="s">
        <v>333</v>
      </c>
      <c r="X181" s="13">
        <v>1.9267139479905434E-4</v>
      </c>
      <c r="Y181" s="12">
        <v>2.3640661938534282E-2</v>
      </c>
      <c r="Z181" s="12">
        <v>0.36643026004728135</v>
      </c>
      <c r="AA181" s="13">
        <v>4.3676122931442084E-3</v>
      </c>
      <c r="AB181" s="12">
        <v>2.0330969267139478</v>
      </c>
      <c r="AC181" s="12" t="s">
        <v>333</v>
      </c>
      <c r="AD181" s="12" t="s">
        <v>333</v>
      </c>
      <c r="AE181" s="12">
        <v>52.789598108747043</v>
      </c>
      <c r="AF181" s="14">
        <v>1.0630023640661937E-2</v>
      </c>
      <c r="AG181" s="12">
        <v>8.5106382978723403</v>
      </c>
      <c r="AH181" s="12">
        <v>1.7139479905437356</v>
      </c>
      <c r="AI181" s="12" t="s">
        <v>333</v>
      </c>
      <c r="AJ181" s="12" t="s">
        <v>333</v>
      </c>
      <c r="AK181" s="12">
        <v>5.1891252955082754</v>
      </c>
    </row>
    <row r="182" spans="1:37" x14ac:dyDescent="0.25">
      <c r="A182" s="7" t="s">
        <v>513</v>
      </c>
      <c r="B182" s="7" t="str">
        <f t="shared" si="2"/>
        <v>2768-182</v>
      </c>
      <c r="C182" s="7">
        <f>VLOOKUP(B182,'CEBAS-DEWOOD code'!A$2:B$302,2,FALSE)</f>
        <v>1076</v>
      </c>
      <c r="D182" s="7" t="str">
        <f>VLOOKUP(IONOMICS!C182,'Field Table'!A$2:E$661,3,FALSE)</f>
        <v>FS</v>
      </c>
      <c r="E182" s="7" t="str">
        <f>VLOOKUP(IONOMICS!C182,'Field Table'!A$2:E$661,4,FALSE)</f>
        <v>1</v>
      </c>
      <c r="F182" s="7" t="str">
        <f>VLOOKUP(IONOMICS!C182,'Field Table'!A$2:E$661,5,FALSE)</f>
        <v>01</v>
      </c>
      <c r="G182" s="11">
        <v>10.842041800643086</v>
      </c>
      <c r="H182" s="12">
        <v>3.0144694533762059E-2</v>
      </c>
      <c r="I182" s="12" t="s">
        <v>333</v>
      </c>
      <c r="J182" s="12" t="s">
        <v>333</v>
      </c>
      <c r="K182" s="12" t="s">
        <v>333</v>
      </c>
      <c r="L182" s="11">
        <v>0.26647909967845657</v>
      </c>
      <c r="M182" s="11">
        <v>9.0434083601286172E-2</v>
      </c>
      <c r="N182" s="12">
        <v>3.0144694533762059E-2</v>
      </c>
      <c r="O182" s="12">
        <v>0.2009646302250804</v>
      </c>
      <c r="P182" s="12">
        <v>1.9091639871382635</v>
      </c>
      <c r="Q182" s="12">
        <v>7.7773311897106101</v>
      </c>
      <c r="R182" s="12">
        <v>8.8434485530546628E-2</v>
      </c>
      <c r="S182" s="12" t="s">
        <v>333</v>
      </c>
      <c r="T182" s="12">
        <v>0.30144694533762056</v>
      </c>
      <c r="U182" s="12">
        <v>2.0478295819935689E-2</v>
      </c>
      <c r="V182" s="12">
        <v>71.995578778135055</v>
      </c>
      <c r="W182" s="12" t="s">
        <v>333</v>
      </c>
      <c r="X182" s="13" t="s">
        <v>333</v>
      </c>
      <c r="Y182" s="12">
        <v>0.74356913183279749</v>
      </c>
      <c r="Z182" s="12">
        <v>1.1555466237942122</v>
      </c>
      <c r="AA182" s="13">
        <v>1.434887459807074E-2</v>
      </c>
      <c r="AB182" s="12">
        <v>2.3311897106109325</v>
      </c>
      <c r="AC182" s="12" t="s">
        <v>333</v>
      </c>
      <c r="AD182" s="12" t="s">
        <v>333</v>
      </c>
      <c r="AE182" s="12">
        <v>333.8022508038585</v>
      </c>
      <c r="AF182" s="14">
        <v>1.8137057877813504E-2</v>
      </c>
      <c r="AG182" s="12">
        <v>16.680064308681676</v>
      </c>
      <c r="AH182" s="12">
        <v>0.40192926045016081</v>
      </c>
      <c r="AI182" s="12" t="s">
        <v>333</v>
      </c>
      <c r="AJ182" s="12" t="s">
        <v>333</v>
      </c>
      <c r="AK182" s="12">
        <v>8.2495980707395518</v>
      </c>
    </row>
    <row r="183" spans="1:37" x14ac:dyDescent="0.25">
      <c r="A183" s="7" t="s">
        <v>514</v>
      </c>
      <c r="B183" s="7" t="str">
        <f t="shared" si="2"/>
        <v>2768-183</v>
      </c>
      <c r="C183" s="7">
        <f>VLOOKUP(B183,'CEBAS-DEWOOD code'!A$2:B$302,2,FALSE)</f>
        <v>45</v>
      </c>
      <c r="D183" s="7" t="str">
        <f>VLOOKUP(IONOMICS!C183,'Field Table'!A$2:E$661,3,FALSE)</f>
        <v>AA</v>
      </c>
      <c r="E183" s="7" t="str">
        <f>VLOOKUP(IONOMICS!C183,'Field Table'!A$2:E$661,4,FALSE)</f>
        <v>4</v>
      </c>
      <c r="F183" s="7" t="str">
        <f>VLOOKUP(IONOMICS!C183,'Field Table'!A$2:E$661,5,FALSE)</f>
        <v>10</v>
      </c>
      <c r="G183" s="11">
        <v>6.4008042895442356</v>
      </c>
      <c r="H183" s="12">
        <v>8.3780160857908851E-3</v>
      </c>
      <c r="I183" s="12" t="s">
        <v>333</v>
      </c>
      <c r="J183" s="12" t="s">
        <v>333</v>
      </c>
      <c r="K183" s="12" t="s">
        <v>333</v>
      </c>
      <c r="L183" s="11">
        <v>0.20350201072386059</v>
      </c>
      <c r="M183" s="11">
        <v>0.12567024128686327</v>
      </c>
      <c r="N183" s="12">
        <v>3.351206434316354E-2</v>
      </c>
      <c r="O183" s="12">
        <v>0.10053619302949061</v>
      </c>
      <c r="P183" s="12">
        <v>0.98022788203753342</v>
      </c>
      <c r="Q183" s="12">
        <v>40.21447721179625</v>
      </c>
      <c r="R183" s="12">
        <v>5.8796916890080438E-2</v>
      </c>
      <c r="S183" s="12" t="s">
        <v>333</v>
      </c>
      <c r="T183" s="12">
        <v>0.19269436997319034</v>
      </c>
      <c r="U183" s="12">
        <v>4.6020442359249333E-2</v>
      </c>
      <c r="V183" s="12">
        <v>113.94101876675603</v>
      </c>
      <c r="W183" s="12" t="s">
        <v>333</v>
      </c>
      <c r="X183" s="13" t="s">
        <v>333</v>
      </c>
      <c r="Y183" s="12">
        <v>6.7024128686327081E-2</v>
      </c>
      <c r="Z183" s="12">
        <v>0.27647453083109919</v>
      </c>
      <c r="AA183" s="13">
        <v>2.0040214477211795E-3</v>
      </c>
      <c r="AB183" s="12">
        <v>0.9048257372654156</v>
      </c>
      <c r="AC183" s="12" t="s">
        <v>333</v>
      </c>
      <c r="AD183" s="12" t="s">
        <v>333</v>
      </c>
      <c r="AE183" s="12">
        <v>10.388739946380698</v>
      </c>
      <c r="AF183" s="14">
        <v>7.5812667560321715E-3</v>
      </c>
      <c r="AG183" s="12">
        <v>9.0817694369973196</v>
      </c>
      <c r="AH183" s="12">
        <v>0.37701072386058976</v>
      </c>
      <c r="AI183" s="12">
        <v>8.3780160857908851E-3</v>
      </c>
      <c r="AJ183" s="12" t="s">
        <v>333</v>
      </c>
      <c r="AK183" s="12">
        <v>6.9286193029490617</v>
      </c>
    </row>
    <row r="184" spans="1:37" x14ac:dyDescent="0.25">
      <c r="A184" s="7" t="s">
        <v>515</v>
      </c>
      <c r="B184" s="7" t="str">
        <f t="shared" si="2"/>
        <v>2768-184</v>
      </c>
      <c r="C184" s="7">
        <f>VLOOKUP(B184,'CEBAS-DEWOOD code'!A$2:B$302,2,FALSE)</f>
        <v>178</v>
      </c>
      <c r="D184" s="7" t="str">
        <f>VLOOKUP(IONOMICS!C184,'Field Table'!A$2:E$661,3,FALSE)</f>
        <v>AA</v>
      </c>
      <c r="E184" s="7" t="str">
        <f>VLOOKUP(IONOMICS!C184,'Field Table'!A$2:E$661,4,FALSE)</f>
        <v>4</v>
      </c>
      <c r="F184" s="7" t="str">
        <f>VLOOKUP(IONOMICS!C184,'Field Table'!A$2:E$661,5,FALSE)</f>
        <v>10</v>
      </c>
      <c r="G184" s="11">
        <v>8.9173844949099443</v>
      </c>
      <c r="H184" s="12">
        <v>2.9365700861393888E-2</v>
      </c>
      <c r="I184" s="12" t="s">
        <v>333</v>
      </c>
      <c r="J184" s="12" t="s">
        <v>333</v>
      </c>
      <c r="K184" s="12" t="s">
        <v>333</v>
      </c>
      <c r="L184" s="11">
        <v>7.5274079874706343E-2</v>
      </c>
      <c r="M184" s="11">
        <v>6.8519968676585732E-2</v>
      </c>
      <c r="N184" s="12" t="s">
        <v>333</v>
      </c>
      <c r="O184" s="12">
        <v>0.1566170712607674</v>
      </c>
      <c r="P184" s="12">
        <v>1.9283476898981988</v>
      </c>
      <c r="Q184" s="12">
        <v>6.4996084573218473</v>
      </c>
      <c r="R184" s="12">
        <v>7.1789350039154265E-2</v>
      </c>
      <c r="S184" s="12" t="s">
        <v>333</v>
      </c>
      <c r="T184" s="12">
        <v>0.19577133907595928</v>
      </c>
      <c r="U184" s="12">
        <v>1.364526233359436E-2</v>
      </c>
      <c r="V184" s="12">
        <v>29.3167580266249</v>
      </c>
      <c r="W184" s="12" t="s">
        <v>333</v>
      </c>
      <c r="X184" s="13">
        <v>3.9937353171495696E-4</v>
      </c>
      <c r="Y184" s="12">
        <v>0.21534847298355519</v>
      </c>
      <c r="Z184" s="12">
        <v>0.11746280344557555</v>
      </c>
      <c r="AA184" s="13">
        <v>3.7304228660924041E-3</v>
      </c>
      <c r="AB184" s="12">
        <v>2.6624902114330458</v>
      </c>
      <c r="AC184" s="12" t="s">
        <v>333</v>
      </c>
      <c r="AD184" s="12" t="s">
        <v>333</v>
      </c>
      <c r="AE184" s="12">
        <v>9.7102584181675802</v>
      </c>
      <c r="AF184" s="14">
        <v>7.0301487862176977E-3</v>
      </c>
      <c r="AG184" s="12">
        <v>4.7768206734534058</v>
      </c>
      <c r="AH184" s="12">
        <v>0.43069694596711039</v>
      </c>
      <c r="AI184" s="12" t="s">
        <v>333</v>
      </c>
      <c r="AJ184" s="12" t="s">
        <v>333</v>
      </c>
      <c r="AK184" s="12">
        <v>5.8731401722787782</v>
      </c>
    </row>
    <row r="185" spans="1:37" x14ac:dyDescent="0.25">
      <c r="A185" s="7" t="s">
        <v>516</v>
      </c>
      <c r="B185" s="7" t="str">
        <f t="shared" si="2"/>
        <v>2768-185</v>
      </c>
      <c r="C185" s="7">
        <f>VLOOKUP(B185,'CEBAS-DEWOOD code'!A$2:B$302,2,FALSE)</f>
        <v>343</v>
      </c>
      <c r="D185" s="7" t="str">
        <f>VLOOKUP(IONOMICS!C185,'Field Table'!A$2:E$661,3,FALSE)</f>
        <v>AA</v>
      </c>
      <c r="E185" s="7" t="str">
        <f>VLOOKUP(IONOMICS!C185,'Field Table'!A$2:E$661,4,FALSE)</f>
        <v>2</v>
      </c>
      <c r="F185" s="7" t="str">
        <f>VLOOKUP(IONOMICS!C185,'Field Table'!A$2:E$661,5,FALSE)</f>
        <v>25</v>
      </c>
      <c r="G185" s="11">
        <v>9.9253055681303746</v>
      </c>
      <c r="H185" s="12">
        <v>3.3952014486192846E-2</v>
      </c>
      <c r="I185" s="12" t="s">
        <v>333</v>
      </c>
      <c r="J185" s="12" t="s">
        <v>333</v>
      </c>
      <c r="K185" s="12" t="s">
        <v>333</v>
      </c>
      <c r="L185" s="11">
        <v>5.3689452240832949E-2</v>
      </c>
      <c r="M185" s="11">
        <v>6.7904028972385691E-2</v>
      </c>
      <c r="N185" s="12">
        <v>2.2634676324128564E-2</v>
      </c>
      <c r="O185" s="12" t="s">
        <v>333</v>
      </c>
      <c r="P185" s="12">
        <v>0.75826165685830693</v>
      </c>
      <c r="Q185" s="12">
        <v>15.855590765052058</v>
      </c>
      <c r="R185" s="12">
        <v>8.2401539157990034E-2</v>
      </c>
      <c r="S185" s="12" t="s">
        <v>333</v>
      </c>
      <c r="T185" s="12" t="s">
        <v>333</v>
      </c>
      <c r="U185" s="12">
        <v>1.1588954277953825E-2</v>
      </c>
      <c r="V185" s="12">
        <v>22.521502942507922</v>
      </c>
      <c r="W185" s="12" t="s">
        <v>333</v>
      </c>
      <c r="X185" s="13" t="s">
        <v>333</v>
      </c>
      <c r="Y185" s="12" t="s">
        <v>333</v>
      </c>
      <c r="Z185" s="12">
        <v>0.21502942507922135</v>
      </c>
      <c r="AA185" s="13">
        <v>1.7055228610230874E-3</v>
      </c>
      <c r="AB185" s="12">
        <v>1.6862833861475779</v>
      </c>
      <c r="AC185" s="12" t="s">
        <v>333</v>
      </c>
      <c r="AD185" s="12" t="s">
        <v>333</v>
      </c>
      <c r="AE185" s="12">
        <v>201.10909913988226</v>
      </c>
      <c r="AF185" s="14">
        <v>4.1070620190131286E-3</v>
      </c>
      <c r="AG185" s="12">
        <v>3.1462200090538701</v>
      </c>
      <c r="AH185" s="12">
        <v>3.4631054775916703</v>
      </c>
      <c r="AI185" s="12" t="s">
        <v>333</v>
      </c>
      <c r="AJ185" s="12" t="s">
        <v>333</v>
      </c>
      <c r="AK185" s="12">
        <v>2.6029877772747847</v>
      </c>
    </row>
    <row r="186" spans="1:37" x14ac:dyDescent="0.25">
      <c r="A186" s="7" t="s">
        <v>517</v>
      </c>
      <c r="B186" s="7" t="str">
        <f t="shared" si="2"/>
        <v>2768-186</v>
      </c>
      <c r="C186" s="7">
        <f>VLOOKUP(B186,'CEBAS-DEWOOD code'!A$2:B$302,2,FALSE)</f>
        <v>373</v>
      </c>
      <c r="D186" s="7" t="str">
        <f>VLOOKUP(IONOMICS!C186,'Field Table'!A$2:E$661,3,FALSE)</f>
        <v>FS</v>
      </c>
      <c r="E186" s="7" t="str">
        <f>VLOOKUP(IONOMICS!C186,'Field Table'!A$2:E$661,4,FALSE)</f>
        <v>1</v>
      </c>
      <c r="F186" s="7" t="str">
        <f>VLOOKUP(IONOMICS!C186,'Field Table'!A$2:E$661,5,FALSE)</f>
        <v>10</v>
      </c>
      <c r="G186" s="11">
        <v>3.4261715296198054</v>
      </c>
      <c r="H186" s="12">
        <v>0.1326259946949602</v>
      </c>
      <c r="I186" s="12" t="s">
        <v>333</v>
      </c>
      <c r="J186" s="12" t="s">
        <v>333</v>
      </c>
      <c r="K186" s="12" t="s">
        <v>333</v>
      </c>
      <c r="L186" s="11">
        <v>0.11648983200707337</v>
      </c>
      <c r="M186" s="11">
        <v>8.8417329796640132E-2</v>
      </c>
      <c r="N186" s="12">
        <v>1.1052166224580016E-2</v>
      </c>
      <c r="O186" s="12" t="s">
        <v>333</v>
      </c>
      <c r="P186" s="12">
        <v>1.2709991158267018</v>
      </c>
      <c r="Q186" s="12">
        <v>3.4261715296198054</v>
      </c>
      <c r="R186" s="12">
        <v>6.7716622458001766E-2</v>
      </c>
      <c r="S186" s="12" t="s">
        <v>333</v>
      </c>
      <c r="T186" s="12">
        <v>0.22104332449160036</v>
      </c>
      <c r="U186" s="12">
        <v>2.7276746242263481E-2</v>
      </c>
      <c r="V186" s="12">
        <v>78.337754199823152</v>
      </c>
      <c r="W186" s="12" t="s">
        <v>333</v>
      </c>
      <c r="X186" s="13" t="s">
        <v>333</v>
      </c>
      <c r="Y186" s="12">
        <v>0.92838196286472141</v>
      </c>
      <c r="Z186" s="12">
        <v>0.18788682581786029</v>
      </c>
      <c r="AA186" s="13">
        <v>6.247789566755084E-3</v>
      </c>
      <c r="AB186" s="12">
        <v>2.4425287356321839</v>
      </c>
      <c r="AC186" s="12" t="s">
        <v>333</v>
      </c>
      <c r="AD186" s="12" t="s">
        <v>333</v>
      </c>
      <c r="AE186" s="12">
        <v>27.564102564102566</v>
      </c>
      <c r="AF186" s="14">
        <v>8.288019451812555E-3</v>
      </c>
      <c r="AG186" s="12">
        <v>8.1675508399646315</v>
      </c>
      <c r="AH186" s="12">
        <v>0.27630415561450045</v>
      </c>
      <c r="AI186" s="12" t="s">
        <v>333</v>
      </c>
      <c r="AJ186" s="12" t="s">
        <v>333</v>
      </c>
      <c r="AK186" s="12">
        <v>2.8293545534924842</v>
      </c>
    </row>
    <row r="187" spans="1:37" x14ac:dyDescent="0.25">
      <c r="A187" s="7" t="s">
        <v>518</v>
      </c>
      <c r="B187" s="7" t="str">
        <f t="shared" si="2"/>
        <v>2768-187</v>
      </c>
      <c r="C187" s="7">
        <f>VLOOKUP(B187,'CEBAS-DEWOOD code'!A$2:B$302,2,FALSE)</f>
        <v>353</v>
      </c>
      <c r="D187" s="7" t="str">
        <f>VLOOKUP(IONOMICS!C187,'Field Table'!A$2:E$661,3,FALSE)</f>
        <v>AA</v>
      </c>
      <c r="E187" s="7" t="str">
        <f>VLOOKUP(IONOMICS!C187,'Field Table'!A$2:E$661,4,FALSE)</f>
        <v>4</v>
      </c>
      <c r="F187" s="7" t="str">
        <f>VLOOKUP(IONOMICS!C187,'Field Table'!A$2:E$661,5,FALSE)</f>
        <v>10</v>
      </c>
      <c r="G187" s="11">
        <v>15.791238265534197</v>
      </c>
      <c r="H187" s="12" t="s">
        <v>333</v>
      </c>
      <c r="I187" s="12" t="s">
        <v>333</v>
      </c>
      <c r="J187" s="12" t="s">
        <v>333</v>
      </c>
      <c r="K187" s="12" t="s">
        <v>333</v>
      </c>
      <c r="L187" s="11">
        <v>0.20976754582029503</v>
      </c>
      <c r="M187" s="11">
        <v>0.49172999552972729</v>
      </c>
      <c r="N187" s="12">
        <v>1.1175681716584712E-2</v>
      </c>
      <c r="O187" s="12">
        <v>0.14528386231560125</v>
      </c>
      <c r="P187" s="12">
        <v>3.0062583817612873</v>
      </c>
      <c r="Q187" s="12">
        <v>6.6495306213679024</v>
      </c>
      <c r="R187" s="12">
        <v>4.7641931157800625E-2</v>
      </c>
      <c r="S187" s="12" t="s">
        <v>333</v>
      </c>
      <c r="T187" s="12">
        <v>0.22351363433169424</v>
      </c>
      <c r="U187" s="12">
        <v>4.7060795708538224E-2</v>
      </c>
      <c r="V187" s="12">
        <v>166.07063030844881</v>
      </c>
      <c r="W187" s="12" t="s">
        <v>333</v>
      </c>
      <c r="X187" s="13">
        <v>1.9222172552525703E-3</v>
      </c>
      <c r="Y187" s="12">
        <v>0.24586499776486365</v>
      </c>
      <c r="Z187" s="12">
        <v>0.86052749217702273</v>
      </c>
      <c r="AA187" s="13">
        <v>3.892489941886455E-3</v>
      </c>
      <c r="AB187" s="12">
        <v>1.240500670540903</v>
      </c>
      <c r="AC187" s="12" t="s">
        <v>333</v>
      </c>
      <c r="AD187" s="12" t="s">
        <v>333</v>
      </c>
      <c r="AE187" s="12">
        <v>11.198033080017881</v>
      </c>
      <c r="AF187" s="14">
        <v>1.7568171658471167E-2</v>
      </c>
      <c r="AG187" s="12">
        <v>11.343316942333482</v>
      </c>
      <c r="AH187" s="12">
        <v>0.42467590523021903</v>
      </c>
      <c r="AI187" s="12" t="s">
        <v>333</v>
      </c>
      <c r="AJ187" s="12" t="s">
        <v>333</v>
      </c>
      <c r="AK187" s="12">
        <v>16.025927581582476</v>
      </c>
    </row>
    <row r="188" spans="1:37" x14ac:dyDescent="0.25">
      <c r="A188" s="7" t="s">
        <v>519</v>
      </c>
      <c r="B188" s="7" t="str">
        <f t="shared" si="2"/>
        <v>2768-188</v>
      </c>
      <c r="C188" s="7">
        <f>VLOOKUP(B188,'CEBAS-DEWOOD code'!A$2:B$302,2,FALSE)</f>
        <v>5</v>
      </c>
      <c r="D188" s="7" t="str">
        <f>VLOOKUP(IONOMICS!C188,'Field Table'!A$2:E$661,3,FALSE)</f>
        <v>FS</v>
      </c>
      <c r="E188" s="7" t="str">
        <f>VLOOKUP(IONOMICS!C188,'Field Table'!A$2:E$661,4,FALSE)</f>
        <v>2</v>
      </c>
      <c r="F188" s="7" t="str">
        <f>VLOOKUP(IONOMICS!C188,'Field Table'!A$2:E$661,5,FALSE)</f>
        <v>25</v>
      </c>
      <c r="G188" s="11">
        <v>12.301777991350312</v>
      </c>
      <c r="H188" s="12">
        <v>2.4026910139356077E-2</v>
      </c>
      <c r="I188" s="12" t="s">
        <v>333</v>
      </c>
      <c r="J188" s="12" t="s">
        <v>333</v>
      </c>
      <c r="K188" s="12" t="s">
        <v>333</v>
      </c>
      <c r="L188" s="11">
        <v>0.12181643440653532</v>
      </c>
      <c r="M188" s="11">
        <v>0.10812109562710234</v>
      </c>
      <c r="N188" s="12">
        <v>7.2080730418068228E-2</v>
      </c>
      <c r="O188" s="12">
        <v>0.54060547813551174</v>
      </c>
      <c r="P188" s="12">
        <v>1.237385872176838</v>
      </c>
      <c r="Q188" s="12">
        <v>41.830850552618934</v>
      </c>
      <c r="R188" s="12">
        <v>0.19882268140317155</v>
      </c>
      <c r="S188" s="12" t="s">
        <v>333</v>
      </c>
      <c r="T188" s="12">
        <v>0.34839019702066309</v>
      </c>
      <c r="U188" s="12">
        <v>5.0792888034598749E-2</v>
      </c>
      <c r="V188" s="12">
        <v>45.242671792407492</v>
      </c>
      <c r="W188" s="12" t="s">
        <v>333</v>
      </c>
      <c r="X188" s="13">
        <v>1.1256607400288324E-3</v>
      </c>
      <c r="Y188" s="12">
        <v>1.5977895242671789</v>
      </c>
      <c r="Z188" s="12">
        <v>0.18020182604517057</v>
      </c>
      <c r="AA188" s="13">
        <v>5.2366650648726573E-3</v>
      </c>
      <c r="AB188" s="12">
        <v>7.0158577606919748</v>
      </c>
      <c r="AC188" s="12" t="s">
        <v>333</v>
      </c>
      <c r="AD188" s="12" t="s">
        <v>333</v>
      </c>
      <c r="AE188" s="12">
        <v>47.933685728015384</v>
      </c>
      <c r="AF188" s="14">
        <v>1.1841662662181644E-2</v>
      </c>
      <c r="AG188" s="12">
        <v>8.3974050937049487</v>
      </c>
      <c r="AH188" s="12">
        <v>5.3459875060067272</v>
      </c>
      <c r="AI188" s="12" t="s">
        <v>333</v>
      </c>
      <c r="AJ188" s="12" t="s">
        <v>333</v>
      </c>
      <c r="AK188" s="12">
        <v>4.649207111965401</v>
      </c>
    </row>
    <row r="189" spans="1:37" x14ac:dyDescent="0.25">
      <c r="A189" s="7" t="s">
        <v>520</v>
      </c>
      <c r="B189" s="7" t="str">
        <f t="shared" si="2"/>
        <v>2768-189</v>
      </c>
      <c r="C189" s="7">
        <f>VLOOKUP(B189,'CEBAS-DEWOOD code'!A$2:B$302,2,FALSE)</f>
        <v>11</v>
      </c>
      <c r="D189" s="7" t="str">
        <f>VLOOKUP(IONOMICS!C189,'Field Table'!A$2:E$661,3,FALSE)</f>
        <v>FS</v>
      </c>
      <c r="E189" s="7" t="str">
        <f>VLOOKUP(IONOMICS!C189,'Field Table'!A$2:E$661,4,FALSE)</f>
        <v>2</v>
      </c>
      <c r="F189" s="7" t="str">
        <f>VLOOKUP(IONOMICS!C189,'Field Table'!A$2:E$661,5,FALSE)</f>
        <v>10</v>
      </c>
      <c r="G189" s="11">
        <v>1.6560353287536802</v>
      </c>
      <c r="H189" s="12">
        <v>1.2266928361138371E-2</v>
      </c>
      <c r="I189" s="12" t="s">
        <v>333</v>
      </c>
      <c r="J189" s="12" t="s">
        <v>333</v>
      </c>
      <c r="K189" s="12" t="s">
        <v>333</v>
      </c>
      <c r="L189" s="11">
        <v>8.8591756624141316E-2</v>
      </c>
      <c r="M189" s="11">
        <v>6.1334641805691856E-2</v>
      </c>
      <c r="N189" s="12">
        <v>3.6800785083415097E-2</v>
      </c>
      <c r="O189" s="12">
        <v>2.7968596663395489</v>
      </c>
      <c r="P189" s="12">
        <v>1.0426889106967616</v>
      </c>
      <c r="Q189" s="12">
        <v>3.7291462217860647</v>
      </c>
      <c r="R189" s="12">
        <v>7.6840039254170753E-2</v>
      </c>
      <c r="S189" s="12" t="s">
        <v>333</v>
      </c>
      <c r="T189" s="12">
        <v>0.14720314033366044</v>
      </c>
      <c r="U189" s="12">
        <v>4.029685966633955E-2</v>
      </c>
      <c r="V189" s="12">
        <v>63.272816486751722</v>
      </c>
      <c r="W189" s="12" t="s">
        <v>333</v>
      </c>
      <c r="X189" s="13" t="s">
        <v>333</v>
      </c>
      <c r="Y189" s="12">
        <v>1.5701668302257115</v>
      </c>
      <c r="Z189" s="12">
        <v>0.18400392541707555</v>
      </c>
      <c r="AA189" s="13">
        <v>3.9928851815505401E-3</v>
      </c>
      <c r="AB189" s="12">
        <v>1.8155053974484787</v>
      </c>
      <c r="AC189" s="12" t="s">
        <v>333</v>
      </c>
      <c r="AD189" s="12" t="s">
        <v>333</v>
      </c>
      <c r="AE189" s="12">
        <v>27.060843964671243</v>
      </c>
      <c r="AF189" s="14">
        <v>9.0505397448478898E-3</v>
      </c>
      <c r="AG189" s="12">
        <v>7.8017664376840044</v>
      </c>
      <c r="AH189" s="12">
        <v>0.29440628066732089</v>
      </c>
      <c r="AI189" s="12" t="s">
        <v>333</v>
      </c>
      <c r="AJ189" s="12" t="s">
        <v>333</v>
      </c>
      <c r="AK189" s="12">
        <v>2.5515210991167812</v>
      </c>
    </row>
    <row r="190" spans="1:37" x14ac:dyDescent="0.25">
      <c r="A190" s="7" t="s">
        <v>521</v>
      </c>
      <c r="B190" s="7" t="str">
        <f t="shared" si="2"/>
        <v>2768-190</v>
      </c>
      <c r="C190" s="7">
        <f>VLOOKUP(B190,'CEBAS-DEWOOD code'!A$2:B$302,2,FALSE)</f>
        <v>1002</v>
      </c>
      <c r="D190" s="7" t="str">
        <f>VLOOKUP(IONOMICS!C190,'Field Table'!A$2:E$661,3,FALSE)</f>
        <v>AA</v>
      </c>
      <c r="E190" s="7" t="str">
        <f>VLOOKUP(IONOMICS!C190,'Field Table'!A$2:E$661,4,FALSE)</f>
        <v>2</v>
      </c>
      <c r="F190" s="7" t="str">
        <f>VLOOKUP(IONOMICS!C190,'Field Table'!A$2:E$661,5,FALSE)</f>
        <v>01</v>
      </c>
      <c r="G190" s="11">
        <v>12.185495806610755</v>
      </c>
      <c r="H190" s="12">
        <v>0.16033547113961522</v>
      </c>
      <c r="I190" s="12" t="s">
        <v>333</v>
      </c>
      <c r="J190" s="12" t="s">
        <v>333</v>
      </c>
      <c r="K190" s="12" t="s">
        <v>333</v>
      </c>
      <c r="L190" s="11">
        <v>7.5037000493339917E-2</v>
      </c>
      <c r="M190" s="11">
        <v>9.8667982239763197E-2</v>
      </c>
      <c r="N190" s="12" t="s">
        <v>333</v>
      </c>
      <c r="O190" s="12">
        <v>0.56734089787863839</v>
      </c>
      <c r="P190" s="12">
        <v>2.0596941292550568</v>
      </c>
      <c r="Q190" s="12">
        <v>11.544153922052294</v>
      </c>
      <c r="R190" s="12">
        <v>4.1243216576221015E-2</v>
      </c>
      <c r="S190" s="12" t="s">
        <v>333</v>
      </c>
      <c r="T190" s="12">
        <v>0.16033547113961522</v>
      </c>
      <c r="U190" s="12">
        <v>1.2506166748889986E-2</v>
      </c>
      <c r="V190" s="12">
        <v>36.827824370991614</v>
      </c>
      <c r="W190" s="12" t="s">
        <v>333</v>
      </c>
      <c r="X190" s="13" t="s">
        <v>333</v>
      </c>
      <c r="Y190" s="12">
        <v>0.2713369511593488</v>
      </c>
      <c r="Z190" s="12">
        <v>0.1110014800197336</v>
      </c>
      <c r="AA190" s="13">
        <v>7.0189935865811555E-3</v>
      </c>
      <c r="AB190" s="12">
        <v>0.77701036013813518</v>
      </c>
      <c r="AC190" s="12" t="s">
        <v>333</v>
      </c>
      <c r="AD190" s="12" t="s">
        <v>333</v>
      </c>
      <c r="AE190" s="12">
        <v>17.143561914158859</v>
      </c>
      <c r="AF190" s="14">
        <v>7.3396645288603844E-3</v>
      </c>
      <c r="AG190" s="12">
        <v>3.4657128761716827</v>
      </c>
      <c r="AH190" s="12">
        <v>0.34533793783917116</v>
      </c>
      <c r="AI190" s="12" t="s">
        <v>333</v>
      </c>
      <c r="AJ190" s="12" t="s">
        <v>333</v>
      </c>
      <c r="AK190" s="12">
        <v>5.6610754810064146</v>
      </c>
    </row>
    <row r="191" spans="1:37" x14ac:dyDescent="0.25">
      <c r="A191" s="7" t="s">
        <v>522</v>
      </c>
      <c r="B191" s="7" t="str">
        <f t="shared" si="2"/>
        <v>2768-191</v>
      </c>
      <c r="C191" s="7">
        <f>VLOOKUP(B191,'CEBAS-DEWOOD code'!A$2:B$302,2,FALSE)</f>
        <v>335</v>
      </c>
      <c r="D191" s="7" t="str">
        <f>VLOOKUP(IONOMICS!C191,'Field Table'!A$2:E$661,3,FALSE)</f>
        <v>AA</v>
      </c>
      <c r="E191" s="7" t="str">
        <f>VLOOKUP(IONOMICS!C191,'Field Table'!A$2:E$661,4,FALSE)</f>
        <v>4</v>
      </c>
      <c r="F191" s="7" t="str">
        <f>VLOOKUP(IONOMICS!C191,'Field Table'!A$2:E$661,5,FALSE)</f>
        <v>10</v>
      </c>
      <c r="G191" s="11">
        <v>15.861200183234084</v>
      </c>
      <c r="H191" s="12">
        <v>0.10306917086578103</v>
      </c>
      <c r="I191" s="12" t="s">
        <v>333</v>
      </c>
      <c r="J191" s="12" t="s">
        <v>333</v>
      </c>
      <c r="K191" s="12" t="s">
        <v>333</v>
      </c>
      <c r="L191" s="11">
        <v>0.14028859367842419</v>
      </c>
      <c r="M191" s="11">
        <v>0.50389372423270729</v>
      </c>
      <c r="N191" s="12" t="s">
        <v>333</v>
      </c>
      <c r="O191" s="12">
        <v>0.12597343105817682</v>
      </c>
      <c r="P191" s="12">
        <v>2.1071919377004122</v>
      </c>
      <c r="Q191" s="12">
        <v>12.081997251488776</v>
      </c>
      <c r="R191" s="12">
        <v>4.220109940448924E-2</v>
      </c>
      <c r="S191" s="12" t="s">
        <v>333</v>
      </c>
      <c r="T191" s="12">
        <v>0.22904260192395787</v>
      </c>
      <c r="U191" s="12">
        <v>2.9122766834631244E-2</v>
      </c>
      <c r="V191" s="12">
        <v>54.12276683463125</v>
      </c>
      <c r="W191" s="12" t="s">
        <v>333</v>
      </c>
      <c r="X191" s="13" t="s">
        <v>333</v>
      </c>
      <c r="Y191" s="12">
        <v>0.25194686211635364</v>
      </c>
      <c r="Z191" s="12">
        <v>0.629867155290884</v>
      </c>
      <c r="AA191" s="13">
        <v>1.701786532295007E-3</v>
      </c>
      <c r="AB191" s="12">
        <v>1.0994044892349977</v>
      </c>
      <c r="AC191" s="12" t="s">
        <v>333</v>
      </c>
      <c r="AD191" s="12" t="s">
        <v>333</v>
      </c>
      <c r="AE191" s="12">
        <v>37.047640861200186</v>
      </c>
      <c r="AF191" s="14">
        <v>8.8879981676591863E-3</v>
      </c>
      <c r="AG191" s="12">
        <v>10.054970224461751</v>
      </c>
      <c r="AH191" s="12">
        <v>2.5538250114521301</v>
      </c>
      <c r="AI191" s="12" t="s">
        <v>333</v>
      </c>
      <c r="AJ191" s="12" t="s">
        <v>333</v>
      </c>
      <c r="AK191" s="12">
        <v>9.058634906092534</v>
      </c>
    </row>
    <row r="192" spans="1:37" x14ac:dyDescent="0.25">
      <c r="A192" s="7" t="s">
        <v>523</v>
      </c>
      <c r="B192" s="7" t="str">
        <f t="shared" si="2"/>
        <v>2768-192</v>
      </c>
      <c r="C192" s="7">
        <f>VLOOKUP(B192,'CEBAS-DEWOOD code'!A$2:B$302,2,FALSE)</f>
        <v>1041</v>
      </c>
      <c r="D192" s="7" t="str">
        <f>VLOOKUP(IONOMICS!C192,'Field Table'!A$2:E$661,3,FALSE)</f>
        <v>FS</v>
      </c>
      <c r="E192" s="7" t="str">
        <f>VLOOKUP(IONOMICS!C192,'Field Table'!A$2:E$661,4,FALSE)</f>
        <v>2</v>
      </c>
      <c r="F192" s="7" t="str">
        <f>VLOOKUP(IONOMICS!C192,'Field Table'!A$2:E$661,5,FALSE)</f>
        <v>01</v>
      </c>
      <c r="G192" s="11">
        <v>10.916988416988417</v>
      </c>
      <c r="H192" s="12">
        <v>6.7567567567567557E-2</v>
      </c>
      <c r="I192" s="12" t="s">
        <v>333</v>
      </c>
      <c r="J192" s="12" t="s">
        <v>333</v>
      </c>
      <c r="K192" s="12" t="s">
        <v>333</v>
      </c>
      <c r="L192" s="11">
        <v>0.28223938223938222</v>
      </c>
      <c r="M192" s="11">
        <v>7.7220077220077218E-2</v>
      </c>
      <c r="N192" s="12" t="s">
        <v>333</v>
      </c>
      <c r="O192" s="12">
        <v>0.81081081081081074</v>
      </c>
      <c r="P192" s="12">
        <v>2.2393822393822393</v>
      </c>
      <c r="Q192" s="12">
        <v>9.7393822393822393</v>
      </c>
      <c r="R192" s="12">
        <v>0.12905405405405404</v>
      </c>
      <c r="S192" s="12" t="s">
        <v>333</v>
      </c>
      <c r="T192" s="12">
        <v>0.13513513513513511</v>
      </c>
      <c r="U192" s="12">
        <v>3.5617760617760619E-2</v>
      </c>
      <c r="V192" s="12">
        <v>88.320463320463318</v>
      </c>
      <c r="W192" s="12" t="s">
        <v>333</v>
      </c>
      <c r="X192" s="13" t="s">
        <v>333</v>
      </c>
      <c r="Y192" s="12">
        <v>0.6853281853281854</v>
      </c>
      <c r="Z192" s="12">
        <v>0.82046332046332049</v>
      </c>
      <c r="AA192" s="13">
        <v>2.6052123552123552E-2</v>
      </c>
      <c r="AB192" s="12">
        <v>4.1119691119691115</v>
      </c>
      <c r="AC192" s="12" t="s">
        <v>333</v>
      </c>
      <c r="AD192" s="12" t="s">
        <v>333</v>
      </c>
      <c r="AE192" s="12">
        <v>530.88803088803093</v>
      </c>
      <c r="AF192" s="14">
        <v>2.1534749034749032E-2</v>
      </c>
      <c r="AG192" s="12">
        <v>17.47104247104247</v>
      </c>
      <c r="AH192" s="12">
        <v>0.5501930501930502</v>
      </c>
      <c r="AI192" s="12" t="s">
        <v>333</v>
      </c>
      <c r="AJ192" s="12" t="s">
        <v>333</v>
      </c>
      <c r="AK192" s="12">
        <v>4.9131274131274125</v>
      </c>
    </row>
    <row r="193" spans="1:37" x14ac:dyDescent="0.25">
      <c r="A193" s="7" t="s">
        <v>524</v>
      </c>
      <c r="B193" s="7" t="str">
        <f t="shared" si="2"/>
        <v>2768-193</v>
      </c>
      <c r="C193" s="7">
        <f>VLOOKUP(B193,'CEBAS-DEWOOD code'!A$2:B$302,2,FALSE)</f>
        <v>165</v>
      </c>
      <c r="D193" s="7" t="str">
        <f>VLOOKUP(IONOMICS!C193,'Field Table'!A$2:E$661,3,FALSE)</f>
        <v>AA</v>
      </c>
      <c r="E193" s="7" t="str">
        <f>VLOOKUP(IONOMICS!C193,'Field Table'!A$2:E$661,4,FALSE)</f>
        <v>2</v>
      </c>
      <c r="F193" s="7" t="str">
        <f>VLOOKUP(IONOMICS!C193,'Field Table'!A$2:E$661,5,FALSE)</f>
        <v>10</v>
      </c>
      <c r="G193" s="11">
        <v>7.2092084006462045</v>
      </c>
      <c r="H193" s="12">
        <v>6.0581583198707593E-2</v>
      </c>
      <c r="I193" s="12" t="s">
        <v>333</v>
      </c>
      <c r="J193" s="12" t="s">
        <v>333</v>
      </c>
      <c r="K193" s="12" t="s">
        <v>333</v>
      </c>
      <c r="L193" s="11">
        <v>7.209208400646204E-2</v>
      </c>
      <c r="M193" s="11">
        <v>8.0775444264943458E-2</v>
      </c>
      <c r="N193" s="12">
        <v>3.0290791599353797E-2</v>
      </c>
      <c r="O193" s="12">
        <v>0.13126009693053314</v>
      </c>
      <c r="P193" s="12">
        <v>0.62600969305331178</v>
      </c>
      <c r="Q193" s="12">
        <v>2.4232633279483036</v>
      </c>
      <c r="R193" s="12">
        <v>9.9273021001615516E-2</v>
      </c>
      <c r="S193" s="12" t="s">
        <v>333</v>
      </c>
      <c r="T193" s="12">
        <v>0.24232633279483037</v>
      </c>
      <c r="U193" s="12">
        <v>1.8598546042003235E-2</v>
      </c>
      <c r="V193" s="12">
        <v>26.363085621970921</v>
      </c>
      <c r="W193" s="12" t="s">
        <v>333</v>
      </c>
      <c r="X193" s="13">
        <v>2.8978190630048466E-4</v>
      </c>
      <c r="Y193" s="12" t="s">
        <v>333</v>
      </c>
      <c r="Z193" s="12">
        <v>9.0872374798061387E-2</v>
      </c>
      <c r="AA193" s="13">
        <v>1.0813812600969307E-3</v>
      </c>
      <c r="AB193" s="12">
        <v>2.0294830371567043</v>
      </c>
      <c r="AC193" s="12" t="s">
        <v>333</v>
      </c>
      <c r="AD193" s="12" t="s">
        <v>333</v>
      </c>
      <c r="AE193" s="12">
        <v>14.246768982229403</v>
      </c>
      <c r="AF193" s="14">
        <v>4.6425686591276254E-3</v>
      </c>
      <c r="AG193" s="12">
        <v>4.5739095315024239</v>
      </c>
      <c r="AH193" s="12">
        <v>0.27261712439418417</v>
      </c>
      <c r="AI193" s="12" t="s">
        <v>333</v>
      </c>
      <c r="AJ193" s="12" t="s">
        <v>333</v>
      </c>
      <c r="AK193" s="12">
        <v>3.3622778675282721</v>
      </c>
    </row>
    <row r="194" spans="1:37" x14ac:dyDescent="0.25">
      <c r="A194" s="7" t="s">
        <v>525</v>
      </c>
      <c r="B194" s="7" t="str">
        <f t="shared" si="2"/>
        <v>2768-194</v>
      </c>
      <c r="C194" s="7">
        <f>VLOOKUP(B194,'CEBAS-DEWOOD code'!A$2:B$302,2,FALSE)</f>
        <v>140</v>
      </c>
      <c r="D194" s="7" t="str">
        <f>VLOOKUP(IONOMICS!C194,'Field Table'!A$2:E$661,3,FALSE)</f>
        <v>AA</v>
      </c>
      <c r="E194" s="7" t="str">
        <f>VLOOKUP(IONOMICS!C194,'Field Table'!A$2:E$661,4,FALSE)</f>
        <v>1</v>
      </c>
      <c r="F194" s="7" t="str">
        <f>VLOOKUP(IONOMICS!C194,'Field Table'!A$2:E$661,5,FALSE)</f>
        <v>10</v>
      </c>
      <c r="G194" s="11">
        <v>4.918032786885246</v>
      </c>
      <c r="H194" s="12" t="s">
        <v>333</v>
      </c>
      <c r="I194" s="12" t="s">
        <v>333</v>
      </c>
      <c r="J194" s="12" t="s">
        <v>333</v>
      </c>
      <c r="K194" s="12" t="s">
        <v>333</v>
      </c>
      <c r="L194" s="11">
        <v>6.8627049180327887E-2</v>
      </c>
      <c r="M194" s="11">
        <v>5.1229508196721313E-2</v>
      </c>
      <c r="N194" s="12">
        <v>5.1229508196721313E-2</v>
      </c>
      <c r="O194" s="12">
        <v>0.12295081967213115</v>
      </c>
      <c r="P194" s="12">
        <v>0.84016393442622961</v>
      </c>
      <c r="Q194" s="12">
        <v>2.5512295081967213</v>
      </c>
      <c r="R194" s="12">
        <v>0.1598360655737705</v>
      </c>
      <c r="S194" s="12" t="s">
        <v>333</v>
      </c>
      <c r="T194" s="12">
        <v>3.0737704918032786E-2</v>
      </c>
      <c r="U194" s="12">
        <v>1.8401639344262297E-2</v>
      </c>
      <c r="V194" s="12">
        <v>18.770491803278688</v>
      </c>
      <c r="W194" s="12" t="s">
        <v>333</v>
      </c>
      <c r="X194" s="13" t="s">
        <v>333</v>
      </c>
      <c r="Y194" s="12" t="s">
        <v>333</v>
      </c>
      <c r="Z194" s="12">
        <v>6.1475409836065573E-2</v>
      </c>
      <c r="AA194" s="13">
        <v>1.4559426229508198E-3</v>
      </c>
      <c r="AB194" s="12">
        <v>2.2745901639344264</v>
      </c>
      <c r="AC194" s="12" t="s">
        <v>333</v>
      </c>
      <c r="AD194" s="12" t="s">
        <v>333</v>
      </c>
      <c r="AE194" s="12">
        <v>6.8032786885245899</v>
      </c>
      <c r="AF194" s="14">
        <v>5.9047131147540993E-3</v>
      </c>
      <c r="AG194" s="12">
        <v>3.5348360655737707</v>
      </c>
      <c r="AH194" s="12">
        <v>0.36885245901639346</v>
      </c>
      <c r="AI194" s="12" t="s">
        <v>333</v>
      </c>
      <c r="AJ194" s="12" t="s">
        <v>333</v>
      </c>
      <c r="AK194" s="12">
        <v>2.459016393442623</v>
      </c>
    </row>
    <row r="195" spans="1:37" x14ac:dyDescent="0.25">
      <c r="A195" s="7" t="s">
        <v>526</v>
      </c>
      <c r="B195" s="7" t="str">
        <f t="shared" ref="B195:B258" si="3">RIGHT(A195, LEN(A195)-7)</f>
        <v>2768-195</v>
      </c>
      <c r="C195" s="7">
        <f>VLOOKUP(B195,'CEBAS-DEWOOD code'!A$2:B$302,2,FALSE)</f>
        <v>1080</v>
      </c>
      <c r="D195" s="7" t="str">
        <f>VLOOKUP(IONOMICS!C195,'Field Table'!A$2:E$661,3,FALSE)</f>
        <v>AA</v>
      </c>
      <c r="E195" s="7" t="str">
        <f>VLOOKUP(IONOMICS!C195,'Field Table'!A$2:E$661,4,FALSE)</f>
        <v>2</v>
      </c>
      <c r="F195" s="7" t="str">
        <f>VLOOKUP(IONOMICS!C195,'Field Table'!A$2:E$661,5,FALSE)</f>
        <v>01</v>
      </c>
      <c r="G195" s="11">
        <v>15.653465346534652</v>
      </c>
      <c r="H195" s="12" t="s">
        <v>333</v>
      </c>
      <c r="I195" s="12" t="s">
        <v>333</v>
      </c>
      <c r="J195" s="12" t="s">
        <v>333</v>
      </c>
      <c r="K195" s="12" t="s">
        <v>333</v>
      </c>
      <c r="L195" s="11">
        <v>9.115841584158417E-2</v>
      </c>
      <c r="M195" s="11">
        <v>0.14851485148514851</v>
      </c>
      <c r="N195" s="12" t="s">
        <v>333</v>
      </c>
      <c r="O195" s="12">
        <v>6.9306930693069299E-2</v>
      </c>
      <c r="P195" s="12">
        <v>2.0693069306930694</v>
      </c>
      <c r="Q195" s="12">
        <v>7.564356435643564</v>
      </c>
      <c r="R195" s="12">
        <v>1.894059405940594E-2</v>
      </c>
      <c r="S195" s="12" t="s">
        <v>333</v>
      </c>
      <c r="T195" s="12">
        <v>0.18811881188118812</v>
      </c>
      <c r="U195" s="12">
        <v>1.9702970297029703E-2</v>
      </c>
      <c r="V195" s="12">
        <v>34.663366336633665</v>
      </c>
      <c r="W195" s="12" t="s">
        <v>333</v>
      </c>
      <c r="X195" s="13">
        <v>9.1089108910891083E-5</v>
      </c>
      <c r="Y195" s="12" t="s">
        <v>333</v>
      </c>
      <c r="Z195" s="12">
        <v>0.31683168316831684</v>
      </c>
      <c r="AA195" s="13">
        <v>3.5663366336633664E-3</v>
      </c>
      <c r="AB195" s="12">
        <v>0.48514851485148514</v>
      </c>
      <c r="AC195" s="12" t="s">
        <v>333</v>
      </c>
      <c r="AD195" s="12" t="s">
        <v>333</v>
      </c>
      <c r="AE195" s="12">
        <v>23.881188118811881</v>
      </c>
      <c r="AF195" s="14">
        <v>7.1227722772277237E-3</v>
      </c>
      <c r="AG195" s="12">
        <v>4.5148514851485153</v>
      </c>
      <c r="AH195" s="12">
        <v>0.63366336633663367</v>
      </c>
      <c r="AI195" s="12" t="s">
        <v>333</v>
      </c>
      <c r="AJ195" s="12" t="s">
        <v>333</v>
      </c>
      <c r="AK195" s="12">
        <v>8.2871287128712865</v>
      </c>
    </row>
    <row r="196" spans="1:37" x14ac:dyDescent="0.25">
      <c r="A196" s="7" t="s">
        <v>527</v>
      </c>
      <c r="B196" s="7" t="str">
        <f t="shared" si="3"/>
        <v>2768-196</v>
      </c>
      <c r="C196" s="7">
        <f>VLOOKUP(B196,'CEBAS-DEWOOD code'!A$2:B$302,2,FALSE)</f>
        <v>370</v>
      </c>
      <c r="D196" s="7" t="str">
        <f>VLOOKUP(IONOMICS!C196,'Field Table'!A$2:E$661,3,FALSE)</f>
        <v>AA</v>
      </c>
      <c r="E196" s="7" t="str">
        <f>VLOOKUP(IONOMICS!C196,'Field Table'!A$2:E$661,4,FALSE)</f>
        <v>4</v>
      </c>
      <c r="F196" s="7" t="str">
        <f>VLOOKUP(IONOMICS!C196,'Field Table'!A$2:E$661,5,FALSE)</f>
        <v>10</v>
      </c>
      <c r="G196" s="11">
        <v>25.154185022026432</v>
      </c>
      <c r="H196" s="12">
        <v>1.1013215859030838E-2</v>
      </c>
      <c r="I196" s="12" t="s">
        <v>333</v>
      </c>
      <c r="J196" s="12" t="s">
        <v>333</v>
      </c>
      <c r="K196" s="12" t="s">
        <v>333</v>
      </c>
      <c r="L196" s="11">
        <v>0.28689427312775329</v>
      </c>
      <c r="M196" s="11">
        <v>0.66079295154185014</v>
      </c>
      <c r="N196" s="12" t="s">
        <v>333</v>
      </c>
      <c r="O196" s="12">
        <v>1.4977973568281937</v>
      </c>
      <c r="P196" s="12">
        <v>3.5352422907488981</v>
      </c>
      <c r="Q196" s="12">
        <v>7.0814977973568274</v>
      </c>
      <c r="R196" s="12">
        <v>5.8248898678414096E-2</v>
      </c>
      <c r="S196" s="12" t="s">
        <v>333</v>
      </c>
      <c r="T196" s="12">
        <v>0.29735682819383263</v>
      </c>
      <c r="U196" s="12">
        <v>6.3160792951541853E-2</v>
      </c>
      <c r="V196" s="12">
        <v>223.01762114537445</v>
      </c>
      <c r="W196" s="12" t="s">
        <v>333</v>
      </c>
      <c r="X196" s="13">
        <v>1.5671806167400883E-3</v>
      </c>
      <c r="Y196" s="12">
        <v>0.25330396475770922</v>
      </c>
      <c r="Z196" s="12">
        <v>0.88105726872246704</v>
      </c>
      <c r="AA196" s="13">
        <v>3.9427312775330396E-3</v>
      </c>
      <c r="AB196" s="12">
        <v>1.4317180616740088</v>
      </c>
      <c r="AC196" s="12" t="s">
        <v>333</v>
      </c>
      <c r="AD196" s="12" t="s">
        <v>333</v>
      </c>
      <c r="AE196" s="12">
        <v>25.2863436123348</v>
      </c>
      <c r="AF196" s="14">
        <v>2.4669603524229079E-2</v>
      </c>
      <c r="AG196" s="12">
        <v>14.306167400881055</v>
      </c>
      <c r="AH196" s="12">
        <v>0.74889867841409685</v>
      </c>
      <c r="AI196" s="12">
        <v>3.7555066079295152</v>
      </c>
      <c r="AJ196" s="12" t="s">
        <v>333</v>
      </c>
      <c r="AK196" s="12">
        <v>21.453744493392069</v>
      </c>
    </row>
    <row r="197" spans="1:37" x14ac:dyDescent="0.25">
      <c r="A197" s="7" t="s">
        <v>528</v>
      </c>
      <c r="B197" s="7" t="str">
        <f t="shared" si="3"/>
        <v>2768-197</v>
      </c>
      <c r="C197" s="7">
        <f>VLOOKUP(B197,'CEBAS-DEWOOD code'!A$2:B$302,2,FALSE)</f>
        <v>2</v>
      </c>
      <c r="D197" s="7" t="str">
        <f>VLOOKUP(IONOMICS!C197,'Field Table'!A$2:E$661,3,FALSE)</f>
        <v>AA</v>
      </c>
      <c r="E197" s="7" t="str">
        <f>VLOOKUP(IONOMICS!C197,'Field Table'!A$2:E$661,4,FALSE)</f>
        <v>2</v>
      </c>
      <c r="F197" s="7" t="str">
        <f>VLOOKUP(IONOMICS!C197,'Field Table'!A$2:E$661,5,FALSE)</f>
        <v>25</v>
      </c>
      <c r="G197" s="11">
        <v>5.1089588377723967</v>
      </c>
      <c r="H197" s="12" t="s">
        <v>333</v>
      </c>
      <c r="I197" s="12" t="s">
        <v>333</v>
      </c>
      <c r="J197" s="12" t="s">
        <v>333</v>
      </c>
      <c r="K197" s="12" t="s">
        <v>333</v>
      </c>
      <c r="L197" s="11">
        <v>5.0460048426150123E-2</v>
      </c>
      <c r="M197" s="11">
        <v>3.6319612590799029E-2</v>
      </c>
      <c r="N197" s="12">
        <v>2.4213075060532691E-2</v>
      </c>
      <c r="O197" s="12">
        <v>6.0532687651331726E-2</v>
      </c>
      <c r="P197" s="12">
        <v>0.89588377723970947</v>
      </c>
      <c r="Q197" s="12">
        <v>3.5108958837772404</v>
      </c>
      <c r="R197" s="12">
        <v>0.12154963680387408</v>
      </c>
      <c r="S197" s="12" t="s">
        <v>333</v>
      </c>
      <c r="T197" s="12">
        <v>0.13317191283292978</v>
      </c>
      <c r="U197" s="12">
        <v>1.1843825665859564E-2</v>
      </c>
      <c r="V197" s="12">
        <v>18.571428571428573</v>
      </c>
      <c r="W197" s="12" t="s">
        <v>333</v>
      </c>
      <c r="X197" s="13" t="s">
        <v>333</v>
      </c>
      <c r="Y197" s="12">
        <v>0.66585956416464886</v>
      </c>
      <c r="Z197" s="12">
        <v>0.12106537530266345</v>
      </c>
      <c r="AA197" s="13">
        <v>7.7360774818401945E-4</v>
      </c>
      <c r="AB197" s="12">
        <v>2.38498789346247</v>
      </c>
      <c r="AC197" s="12" t="s">
        <v>333</v>
      </c>
      <c r="AD197" s="12" t="s">
        <v>333</v>
      </c>
      <c r="AE197" s="12">
        <v>14.624697336561745</v>
      </c>
      <c r="AF197" s="14">
        <v>4.7893462469733661E-3</v>
      </c>
      <c r="AG197" s="12">
        <v>3.0629539951573848</v>
      </c>
      <c r="AH197" s="12">
        <v>0.78692493946731246</v>
      </c>
      <c r="AI197" s="12" t="s">
        <v>333</v>
      </c>
      <c r="AJ197" s="12" t="s">
        <v>333</v>
      </c>
      <c r="AK197" s="12">
        <v>3.4261501210653758</v>
      </c>
    </row>
    <row r="198" spans="1:37" x14ac:dyDescent="0.25">
      <c r="A198" s="7" t="s">
        <v>529</v>
      </c>
      <c r="B198" s="7" t="str">
        <f t="shared" si="3"/>
        <v>2768-198</v>
      </c>
      <c r="C198" s="7">
        <f>VLOOKUP(B198,'CEBAS-DEWOOD code'!A$2:B$302,2,FALSE)</f>
        <v>1019</v>
      </c>
      <c r="D198" s="7" t="str">
        <f>VLOOKUP(IONOMICS!C198,'Field Table'!A$2:E$661,3,FALSE)</f>
        <v>AA</v>
      </c>
      <c r="E198" s="7" t="str">
        <f>VLOOKUP(IONOMICS!C198,'Field Table'!A$2:E$661,4,FALSE)</f>
        <v>1</v>
      </c>
      <c r="F198" s="7" t="str">
        <f>VLOOKUP(IONOMICS!C198,'Field Table'!A$2:E$661,5,FALSE)</f>
        <v>01</v>
      </c>
      <c r="G198" s="11">
        <v>134.26918131161591</v>
      </c>
      <c r="H198" s="12">
        <v>0.25717959708529786</v>
      </c>
      <c r="I198" s="12" t="s">
        <v>333</v>
      </c>
      <c r="J198" s="12" t="s">
        <v>333</v>
      </c>
      <c r="K198" s="12" t="s">
        <v>333</v>
      </c>
      <c r="L198" s="11">
        <v>0.16984569224174881</v>
      </c>
      <c r="M198" s="11">
        <v>0.4500642948992713</v>
      </c>
      <c r="N198" s="12">
        <v>6.4294899271324465E-2</v>
      </c>
      <c r="O198" s="12">
        <v>0.42863266180882986</v>
      </c>
      <c r="P198" s="12">
        <v>3.2790398628375481</v>
      </c>
      <c r="Q198" s="12">
        <v>37.858979854264895</v>
      </c>
      <c r="R198" s="12">
        <v>0.16609515645092154</v>
      </c>
      <c r="S198" s="12" t="s">
        <v>333</v>
      </c>
      <c r="T198" s="12">
        <v>0.30004286326618085</v>
      </c>
      <c r="U198" s="12">
        <v>2.9950707243891983E-2</v>
      </c>
      <c r="V198" s="12">
        <v>139.94856408058294</v>
      </c>
      <c r="W198" s="12" t="s">
        <v>333</v>
      </c>
      <c r="X198" s="13">
        <v>5.1328761251607374E-4</v>
      </c>
      <c r="Y198" s="12">
        <v>0.40720102871838831</v>
      </c>
      <c r="Z198" s="12">
        <v>0.417916845263609</v>
      </c>
      <c r="AA198" s="13">
        <v>2.4335619374196316E-2</v>
      </c>
      <c r="AB198" s="12">
        <v>3.6969567081011574</v>
      </c>
      <c r="AC198" s="12" t="s">
        <v>333</v>
      </c>
      <c r="AD198" s="12" t="s">
        <v>333</v>
      </c>
      <c r="AE198" s="12">
        <v>99.957136733819112</v>
      </c>
      <c r="AF198" s="14">
        <v>1.7713244749249891E-2</v>
      </c>
      <c r="AG198" s="12">
        <v>8.5405057865409333</v>
      </c>
      <c r="AH198" s="12">
        <v>2.9147021003000426</v>
      </c>
      <c r="AI198" s="12" t="s">
        <v>333</v>
      </c>
      <c r="AJ198" s="12" t="s">
        <v>333</v>
      </c>
      <c r="AK198" s="12">
        <v>17.091727389627088</v>
      </c>
    </row>
    <row r="199" spans="1:37" x14ac:dyDescent="0.25">
      <c r="A199" s="7" t="s">
        <v>530</v>
      </c>
      <c r="B199" s="7" t="str">
        <f t="shared" si="3"/>
        <v>2768-199</v>
      </c>
      <c r="C199" s="7">
        <f>VLOOKUP(B199,'CEBAS-DEWOOD code'!A$2:B$302,2,FALSE)</f>
        <v>1023</v>
      </c>
      <c r="D199" s="7" t="str">
        <f>VLOOKUP(IONOMICS!C199,'Field Table'!A$2:E$661,3,FALSE)</f>
        <v>FS</v>
      </c>
      <c r="E199" s="7" t="str">
        <f>VLOOKUP(IONOMICS!C199,'Field Table'!A$2:E$661,4,FALSE)</f>
        <v>2</v>
      </c>
      <c r="F199" s="7" t="str">
        <f>VLOOKUP(IONOMICS!C199,'Field Table'!A$2:E$661,5,FALSE)</f>
        <v>01</v>
      </c>
      <c r="G199" s="11">
        <v>9.0370955011838987</v>
      </c>
      <c r="H199" s="12">
        <v>2.9597474348855561E-2</v>
      </c>
      <c r="I199" s="12" t="s">
        <v>333</v>
      </c>
      <c r="J199" s="12" t="s">
        <v>333</v>
      </c>
      <c r="K199" s="12" t="s">
        <v>333</v>
      </c>
      <c r="L199" s="11">
        <v>0.19810576164167321</v>
      </c>
      <c r="M199" s="11">
        <v>1.973164956590371E-2</v>
      </c>
      <c r="N199" s="12">
        <v>2.9597474348855561E-2</v>
      </c>
      <c r="O199" s="12">
        <v>8.879242304656669E-2</v>
      </c>
      <c r="P199" s="12">
        <v>2.3184688239936859</v>
      </c>
      <c r="Q199" s="12">
        <v>8.2182320441988939</v>
      </c>
      <c r="R199" s="12">
        <v>8.8900947119179161E-2</v>
      </c>
      <c r="S199" s="12" t="s">
        <v>333</v>
      </c>
      <c r="T199" s="12">
        <v>0.14798737174427781</v>
      </c>
      <c r="U199" s="12">
        <v>2.5276243093922651E-2</v>
      </c>
      <c r="V199" s="12">
        <v>66.653512233622735</v>
      </c>
      <c r="W199" s="12" t="s">
        <v>333</v>
      </c>
      <c r="X199" s="13">
        <v>3.0978689818468824E-4</v>
      </c>
      <c r="Y199" s="12">
        <v>0.59194948697711125</v>
      </c>
      <c r="Z199" s="12">
        <v>0.39463299131807417</v>
      </c>
      <c r="AA199" s="13">
        <v>1.8192580899763222E-2</v>
      </c>
      <c r="AB199" s="12">
        <v>2.7032359905288081</v>
      </c>
      <c r="AC199" s="12" t="s">
        <v>333</v>
      </c>
      <c r="AD199" s="12" t="s">
        <v>333</v>
      </c>
      <c r="AE199" s="12">
        <v>295.48145224940805</v>
      </c>
      <c r="AF199" s="14">
        <v>1.9593528018942381E-2</v>
      </c>
      <c r="AG199" s="12">
        <v>12.144830307813733</v>
      </c>
      <c r="AH199" s="12">
        <v>0.39463299131807417</v>
      </c>
      <c r="AI199" s="12" t="s">
        <v>333</v>
      </c>
      <c r="AJ199" s="12" t="s">
        <v>333</v>
      </c>
      <c r="AK199" s="12">
        <v>7.9419889502762437</v>
      </c>
    </row>
    <row r="200" spans="1:37" x14ac:dyDescent="0.25">
      <c r="A200" s="7" t="s">
        <v>531</v>
      </c>
      <c r="B200" s="7" t="str">
        <f t="shared" si="3"/>
        <v>2768-200</v>
      </c>
      <c r="C200" s="7">
        <f>VLOOKUP(B200,'CEBAS-DEWOOD code'!A$2:B$302,2,FALSE)</f>
        <v>164</v>
      </c>
      <c r="D200" s="7" t="str">
        <f>VLOOKUP(IONOMICS!C200,'Field Table'!A$2:E$661,3,FALSE)</f>
        <v>AA</v>
      </c>
      <c r="E200" s="7" t="str">
        <f>VLOOKUP(IONOMICS!C200,'Field Table'!A$2:E$661,4,FALSE)</f>
        <v>1</v>
      </c>
      <c r="F200" s="7" t="str">
        <f>VLOOKUP(IONOMICS!C200,'Field Table'!A$2:E$661,5,FALSE)</f>
        <v>10</v>
      </c>
      <c r="G200" s="11">
        <v>5.1284584980237158</v>
      </c>
      <c r="H200" s="12" t="s">
        <v>333</v>
      </c>
      <c r="I200" s="12" t="s">
        <v>333</v>
      </c>
      <c r="J200" s="12" t="s">
        <v>333</v>
      </c>
      <c r="K200" s="12" t="s">
        <v>333</v>
      </c>
      <c r="L200" s="11">
        <v>4.2292490118577081E-2</v>
      </c>
      <c r="M200" s="11">
        <v>3.9525691699604744E-2</v>
      </c>
      <c r="N200" s="12" t="s">
        <v>333</v>
      </c>
      <c r="O200" s="12">
        <v>6.916996047430829E-2</v>
      </c>
      <c r="P200" s="12">
        <v>0.95849802371541504</v>
      </c>
      <c r="Q200" s="12">
        <v>2.6086956521739131</v>
      </c>
      <c r="R200" s="12">
        <v>6.7322134387351767E-2</v>
      </c>
      <c r="S200" s="12" t="s">
        <v>333</v>
      </c>
      <c r="T200" s="12">
        <v>0.18774703557312253</v>
      </c>
      <c r="U200" s="12">
        <v>1.2213438735177865E-2</v>
      </c>
      <c r="V200" s="12">
        <v>19.03162055335968</v>
      </c>
      <c r="W200" s="12" t="s">
        <v>333</v>
      </c>
      <c r="X200" s="13" t="s">
        <v>333</v>
      </c>
      <c r="Y200" s="12">
        <v>0.10869565217391304</v>
      </c>
      <c r="Z200" s="12">
        <v>0.14822134387351779</v>
      </c>
      <c r="AA200" s="13">
        <v>1.6047430830039525E-3</v>
      </c>
      <c r="AB200" s="12">
        <v>1.3142292490118574</v>
      </c>
      <c r="AC200" s="12" t="s">
        <v>333</v>
      </c>
      <c r="AD200" s="12" t="s">
        <v>333</v>
      </c>
      <c r="AE200" s="12">
        <v>9.3280632411067188</v>
      </c>
      <c r="AF200" s="14">
        <v>5.8003952569169962E-3</v>
      </c>
      <c r="AG200" s="12">
        <v>3.3794466403162056</v>
      </c>
      <c r="AH200" s="12">
        <v>0.15810276679841898</v>
      </c>
      <c r="AI200" s="12" t="s">
        <v>333</v>
      </c>
      <c r="AJ200" s="12" t="s">
        <v>333</v>
      </c>
      <c r="AK200" s="12">
        <v>2.5889328063241108</v>
      </c>
    </row>
    <row r="201" spans="1:37" x14ac:dyDescent="0.25">
      <c r="A201" s="7" t="s">
        <v>532</v>
      </c>
      <c r="B201" s="7" t="str">
        <f t="shared" si="3"/>
        <v>2768-201</v>
      </c>
      <c r="C201" s="7">
        <f>VLOOKUP(B201,'CEBAS-DEWOOD code'!A$2:B$302,2,FALSE)</f>
        <v>109</v>
      </c>
      <c r="D201" s="7" t="str">
        <f>VLOOKUP(IONOMICS!C201,'Field Table'!A$2:E$661,3,FALSE)</f>
        <v>AA</v>
      </c>
      <c r="E201" s="7" t="str">
        <f>VLOOKUP(IONOMICS!C201,'Field Table'!A$2:E$661,4,FALSE)</f>
        <v>1</v>
      </c>
      <c r="F201" s="7" t="str">
        <f>VLOOKUP(IONOMICS!C201,'Field Table'!A$2:E$661,5,FALSE)</f>
        <v>25</v>
      </c>
      <c r="G201" s="11">
        <v>20.807153214113097</v>
      </c>
      <c r="H201" s="12">
        <v>0.14499758337361043</v>
      </c>
      <c r="I201" s="12" t="s">
        <v>333</v>
      </c>
      <c r="J201" s="12" t="s">
        <v>333</v>
      </c>
      <c r="K201" s="12" t="s">
        <v>333</v>
      </c>
      <c r="L201" s="11">
        <v>7.6449975833736111E-2</v>
      </c>
      <c r="M201" s="11">
        <v>7.2498791686805217E-2</v>
      </c>
      <c r="N201" s="12" t="s">
        <v>333</v>
      </c>
      <c r="O201" s="12">
        <v>0.79748670855485748</v>
      </c>
      <c r="P201" s="12">
        <v>1.1237312711454808</v>
      </c>
      <c r="Q201" s="12">
        <v>12.179797003383277</v>
      </c>
      <c r="R201" s="12">
        <v>0.15623489608506524</v>
      </c>
      <c r="S201" s="12" t="s">
        <v>333</v>
      </c>
      <c r="T201" s="12">
        <v>0.42290961817303047</v>
      </c>
      <c r="U201" s="12">
        <v>1.7061382310294828E-2</v>
      </c>
      <c r="V201" s="12">
        <v>32.805703238279364</v>
      </c>
      <c r="W201" s="12" t="s">
        <v>333</v>
      </c>
      <c r="X201" s="13" t="s">
        <v>333</v>
      </c>
      <c r="Y201" s="12">
        <v>0.14499758337361043</v>
      </c>
      <c r="Z201" s="12">
        <v>2.4891251812469792</v>
      </c>
      <c r="AA201" s="13">
        <v>2.2692121797970033E-3</v>
      </c>
      <c r="AB201" s="12">
        <v>4.0236829386176902</v>
      </c>
      <c r="AC201" s="12" t="s">
        <v>333</v>
      </c>
      <c r="AD201" s="12" t="s">
        <v>333</v>
      </c>
      <c r="AE201" s="12">
        <v>15.248912518124699</v>
      </c>
      <c r="AF201" s="14">
        <v>5.9074432092798453E-3</v>
      </c>
      <c r="AG201" s="12">
        <v>5.4736587723537946</v>
      </c>
      <c r="AH201" s="12">
        <v>5.7153214113098123</v>
      </c>
      <c r="AI201" s="12" t="s">
        <v>333</v>
      </c>
      <c r="AJ201" s="12" t="s">
        <v>333</v>
      </c>
      <c r="AK201" s="12">
        <v>5.642822619623006</v>
      </c>
    </row>
    <row r="202" spans="1:37" x14ac:dyDescent="0.25">
      <c r="A202" s="7" t="s">
        <v>533</v>
      </c>
      <c r="B202" s="7" t="str">
        <f t="shared" si="3"/>
        <v>2768-202</v>
      </c>
      <c r="C202" s="7">
        <f>VLOOKUP(B202,'CEBAS-DEWOOD code'!A$2:B$302,2,FALSE)</f>
        <v>4</v>
      </c>
      <c r="D202" s="7" t="str">
        <f>VLOOKUP(IONOMICS!C202,'Field Table'!A$2:E$661,3,FALSE)</f>
        <v>FS</v>
      </c>
      <c r="E202" s="7" t="str">
        <f>VLOOKUP(IONOMICS!C202,'Field Table'!A$2:E$661,4,FALSE)</f>
        <v>1</v>
      </c>
      <c r="F202" s="7" t="str">
        <f>VLOOKUP(IONOMICS!C202,'Field Table'!A$2:E$661,5,FALSE)</f>
        <v>25</v>
      </c>
      <c r="G202" s="11">
        <v>9.7135291285507943</v>
      </c>
      <c r="H202" s="12">
        <v>1.5286470871449207</v>
      </c>
      <c r="I202" s="12">
        <v>0.24073182474723159</v>
      </c>
      <c r="J202" s="12" t="s">
        <v>333</v>
      </c>
      <c r="K202" s="12" t="s">
        <v>333</v>
      </c>
      <c r="L202" s="11">
        <v>0.1364949446316803</v>
      </c>
      <c r="M202" s="11">
        <v>0.93885411651420314</v>
      </c>
      <c r="N202" s="12">
        <v>0.61386615310544057</v>
      </c>
      <c r="O202" s="12">
        <v>0.66201251805488681</v>
      </c>
      <c r="P202" s="12">
        <v>1.5045739046701974</v>
      </c>
      <c r="Q202" s="12">
        <v>29.405392392874337</v>
      </c>
      <c r="R202" s="12">
        <v>4.4547424169475207E-2</v>
      </c>
      <c r="S202" s="12" t="s">
        <v>333</v>
      </c>
      <c r="T202" s="12">
        <v>0.60182956186807901</v>
      </c>
      <c r="U202" s="12">
        <v>1.776600866634569E-2</v>
      </c>
      <c r="V202" s="12">
        <v>72.448242657679344</v>
      </c>
      <c r="W202" s="12">
        <v>2.3350987000481465</v>
      </c>
      <c r="X202" s="13">
        <v>6.2590274434280214E-5</v>
      </c>
      <c r="Y202" s="12">
        <v>3.5628310062590276</v>
      </c>
      <c r="Z202" s="12">
        <v>1.0351468464130957</v>
      </c>
      <c r="AA202" s="13">
        <v>3.3341357727491579E-3</v>
      </c>
      <c r="AB202" s="12">
        <v>1.9980741454020221</v>
      </c>
      <c r="AC202" s="12">
        <v>2.2147327876745306</v>
      </c>
      <c r="AD202" s="12">
        <v>0.55368319691863266</v>
      </c>
      <c r="AE202" s="12">
        <v>26.504573904670199</v>
      </c>
      <c r="AF202" s="14">
        <v>1.1107366393837265E-2</v>
      </c>
      <c r="AG202" s="12">
        <v>10.917188252286953</v>
      </c>
      <c r="AH202" s="12">
        <v>2.2508425613866154</v>
      </c>
      <c r="AI202" s="12" t="s">
        <v>333</v>
      </c>
      <c r="AJ202" s="12">
        <v>0.22869523350987001</v>
      </c>
      <c r="AK202" s="12">
        <v>3.7313432835820897</v>
      </c>
    </row>
    <row r="203" spans="1:37" x14ac:dyDescent="0.25">
      <c r="A203" s="7" t="s">
        <v>534</v>
      </c>
      <c r="B203" s="7" t="str">
        <f t="shared" si="3"/>
        <v>2768-203</v>
      </c>
      <c r="C203" s="7">
        <f>VLOOKUP(B203,'CEBAS-DEWOOD code'!A$2:B$302,2,FALSE)</f>
        <v>392</v>
      </c>
      <c r="D203" s="7" t="str">
        <f>VLOOKUP(IONOMICS!C203,'Field Table'!A$2:E$661,3,FALSE)</f>
        <v>FS</v>
      </c>
      <c r="E203" s="7" t="str">
        <f>VLOOKUP(IONOMICS!C203,'Field Table'!A$2:E$661,4,FALSE)</f>
        <v>2</v>
      </c>
      <c r="F203" s="7" t="str">
        <f>VLOOKUP(IONOMICS!C203,'Field Table'!A$2:E$661,5,FALSE)</f>
        <v>10</v>
      </c>
      <c r="G203" s="11">
        <v>2.1532990912682735</v>
      </c>
      <c r="H203" s="12">
        <v>0.29632556301856972</v>
      </c>
      <c r="I203" s="12" t="s">
        <v>333</v>
      </c>
      <c r="J203" s="12" t="s">
        <v>333</v>
      </c>
      <c r="K203" s="12" t="s">
        <v>333</v>
      </c>
      <c r="L203" s="11">
        <v>0.11764124851837218</v>
      </c>
      <c r="M203" s="11">
        <v>0.19755037534571318</v>
      </c>
      <c r="N203" s="12">
        <v>0.10865270644014224</v>
      </c>
      <c r="O203" s="12">
        <v>8.8897668905570923E-2</v>
      </c>
      <c r="P203" s="12">
        <v>1.0865270644014222</v>
      </c>
      <c r="Q203" s="12">
        <v>3.2595811932042675</v>
      </c>
      <c r="R203" s="12">
        <v>3.0284472540497827E-2</v>
      </c>
      <c r="S203" s="12" t="s">
        <v>333</v>
      </c>
      <c r="T203" s="12">
        <v>0.34571315685499809</v>
      </c>
      <c r="U203" s="12">
        <v>8.1015408929276958E-2</v>
      </c>
      <c r="V203" s="12">
        <v>47.876333465033582</v>
      </c>
      <c r="W203" s="12" t="s">
        <v>333</v>
      </c>
      <c r="X203" s="13" t="s">
        <v>333</v>
      </c>
      <c r="Y203" s="12">
        <v>1.0272619517977084</v>
      </c>
      <c r="Z203" s="12">
        <v>0.17779533781114185</v>
      </c>
      <c r="AA203" s="13">
        <v>4.335242986961676E-3</v>
      </c>
      <c r="AB203" s="12">
        <v>1.9162386408534176</v>
      </c>
      <c r="AC203" s="12" t="s">
        <v>333</v>
      </c>
      <c r="AD203" s="12" t="s">
        <v>333</v>
      </c>
      <c r="AE203" s="12">
        <v>12.188858158830502</v>
      </c>
      <c r="AF203" s="14">
        <v>1.0559067562228368E-2</v>
      </c>
      <c r="AG203" s="12">
        <v>9.4527854602923735</v>
      </c>
      <c r="AH203" s="12">
        <v>0.30620308178585542</v>
      </c>
      <c r="AI203" s="12">
        <v>2.0841564598972737</v>
      </c>
      <c r="AJ203" s="12" t="s">
        <v>333</v>
      </c>
      <c r="AK203" s="12">
        <v>2.5780323982615569</v>
      </c>
    </row>
    <row r="204" spans="1:37" x14ac:dyDescent="0.25">
      <c r="A204" s="7" t="s">
        <v>535</v>
      </c>
      <c r="B204" s="7" t="str">
        <f t="shared" si="3"/>
        <v>2768-204</v>
      </c>
      <c r="C204" s="7">
        <f>VLOOKUP(B204,'CEBAS-DEWOOD code'!A$2:B$302,2,FALSE)</f>
        <v>400</v>
      </c>
      <c r="D204" s="7" t="str">
        <f>VLOOKUP(IONOMICS!C204,'Field Table'!A$2:E$661,3,FALSE)</f>
        <v>FS</v>
      </c>
      <c r="E204" s="7" t="str">
        <f>VLOOKUP(IONOMICS!C204,'Field Table'!A$2:E$661,4,FALSE)</f>
        <v>2</v>
      </c>
      <c r="F204" s="7" t="str">
        <f>VLOOKUP(IONOMICS!C204,'Field Table'!A$2:E$661,5,FALSE)</f>
        <v>25</v>
      </c>
      <c r="G204" s="11">
        <v>6.9750211685012697</v>
      </c>
      <c r="H204" s="12">
        <v>0.275190516511431</v>
      </c>
      <c r="I204" s="12" t="s">
        <v>333</v>
      </c>
      <c r="J204" s="12" t="s">
        <v>333</v>
      </c>
      <c r="K204" s="12" t="s">
        <v>333</v>
      </c>
      <c r="L204" s="11">
        <v>0.1124047417442845</v>
      </c>
      <c r="M204" s="11">
        <v>0.17993226079593563</v>
      </c>
      <c r="N204" s="12">
        <v>8.4674005080440304E-2</v>
      </c>
      <c r="O204" s="12">
        <v>1.0584250635055038E-2</v>
      </c>
      <c r="P204" s="12">
        <v>1.2701100762066047</v>
      </c>
      <c r="Q204" s="12">
        <v>4.6253175275190515</v>
      </c>
      <c r="R204" s="12">
        <v>0.10312235393734125</v>
      </c>
      <c r="S204" s="12" t="s">
        <v>333</v>
      </c>
      <c r="T204" s="12">
        <v>0.20110076206604574</v>
      </c>
      <c r="U204" s="12">
        <v>7.538103302286199E-2</v>
      </c>
      <c r="V204" s="12">
        <v>87.193056731583397</v>
      </c>
      <c r="W204" s="12" t="s">
        <v>333</v>
      </c>
      <c r="X204" s="13">
        <v>9.9491955969517373E-5</v>
      </c>
      <c r="Y204" s="12">
        <v>0.86790855207451323</v>
      </c>
      <c r="Z204" s="12">
        <v>0.38103302286198137</v>
      </c>
      <c r="AA204" s="13">
        <v>5.7842929720575784E-3</v>
      </c>
      <c r="AB204" s="12">
        <v>3.7679932260795939</v>
      </c>
      <c r="AC204" s="12" t="s">
        <v>333</v>
      </c>
      <c r="AD204" s="12" t="s">
        <v>333</v>
      </c>
      <c r="AE204" s="12">
        <v>15.410668924640136</v>
      </c>
      <c r="AF204" s="14">
        <v>1.0022226926333616E-2</v>
      </c>
      <c r="AG204" s="12">
        <v>9.5681625740897545</v>
      </c>
      <c r="AH204" s="12">
        <v>0.68797629127857751</v>
      </c>
      <c r="AI204" s="12">
        <v>0.40220152413209148</v>
      </c>
      <c r="AJ204" s="12" t="s">
        <v>333</v>
      </c>
      <c r="AK204" s="12">
        <v>2.2226926333615582</v>
      </c>
    </row>
    <row r="205" spans="1:37" x14ac:dyDescent="0.25">
      <c r="A205" s="7" t="s">
        <v>536</v>
      </c>
      <c r="B205" s="7" t="str">
        <f t="shared" si="3"/>
        <v>2768-205</v>
      </c>
      <c r="C205" s="7">
        <f>VLOOKUP(B205,'CEBAS-DEWOOD code'!A$2:B$302,2,FALSE)</f>
        <v>143</v>
      </c>
      <c r="D205" s="7" t="str">
        <f>VLOOKUP(IONOMICS!C205,'Field Table'!A$2:E$661,3,FALSE)</f>
        <v>FS</v>
      </c>
      <c r="E205" s="7" t="str">
        <f>VLOOKUP(IONOMICS!C205,'Field Table'!A$2:E$661,4,FALSE)</f>
        <v>1</v>
      </c>
      <c r="F205" s="7" t="str">
        <f>VLOOKUP(IONOMICS!C205,'Field Table'!A$2:E$661,5,FALSE)</f>
        <v>10</v>
      </c>
      <c r="G205" s="11">
        <v>9.068236233040702</v>
      </c>
      <c r="H205" s="12">
        <v>0.13966480446927373</v>
      </c>
      <c r="I205" s="12" t="s">
        <v>333</v>
      </c>
      <c r="J205" s="12" t="s">
        <v>333</v>
      </c>
      <c r="K205" s="12" t="s">
        <v>333</v>
      </c>
      <c r="L205" s="11">
        <v>9.7795291300877898E-2</v>
      </c>
      <c r="M205" s="11">
        <v>5.9856344772545887E-2</v>
      </c>
      <c r="N205" s="12">
        <v>4.9880287310454914E-2</v>
      </c>
      <c r="O205" s="12">
        <v>3.9904229848363927E-2</v>
      </c>
      <c r="P205" s="12">
        <v>1.1173184357541899</v>
      </c>
      <c r="Q205" s="12">
        <v>3.9405426975259381</v>
      </c>
      <c r="R205" s="12">
        <v>7.0331205107741421E-2</v>
      </c>
      <c r="S205" s="12" t="s">
        <v>333</v>
      </c>
      <c r="T205" s="12">
        <v>0.15961691939345571</v>
      </c>
      <c r="U205" s="12">
        <v>6.3527533918595377E-2</v>
      </c>
      <c r="V205" s="12">
        <v>40.552673583399837</v>
      </c>
      <c r="W205" s="12" t="s">
        <v>333</v>
      </c>
      <c r="X205" s="13">
        <v>1.1412609736632085E-3</v>
      </c>
      <c r="Y205" s="12">
        <v>0.58858739026336793</v>
      </c>
      <c r="Z205" s="12">
        <v>8.9784517158818841E-2</v>
      </c>
      <c r="AA205" s="13">
        <v>7.8142458100558653E-3</v>
      </c>
      <c r="AB205" s="12">
        <v>2.4840383080606543</v>
      </c>
      <c r="AC205" s="12" t="s">
        <v>333</v>
      </c>
      <c r="AD205" s="12" t="s">
        <v>333</v>
      </c>
      <c r="AE205" s="12">
        <v>20.231444533120513</v>
      </c>
      <c r="AF205" s="14">
        <v>1.2110933758978452E-2</v>
      </c>
      <c r="AG205" s="12">
        <v>6.2749401436552281</v>
      </c>
      <c r="AH205" s="12">
        <v>0.72825219473264169</v>
      </c>
      <c r="AI205" s="12" t="s">
        <v>333</v>
      </c>
      <c r="AJ205" s="12" t="s">
        <v>333</v>
      </c>
      <c r="AK205" s="12">
        <v>2.5139664804469275</v>
      </c>
    </row>
    <row r="206" spans="1:37" x14ac:dyDescent="0.25">
      <c r="A206" s="7" t="s">
        <v>537</v>
      </c>
      <c r="B206" s="7" t="str">
        <f t="shared" si="3"/>
        <v>2768-206</v>
      </c>
      <c r="C206" s="7">
        <f>VLOOKUP(B206,'CEBAS-DEWOOD code'!A$2:B$302,2,FALSE)</f>
        <v>169</v>
      </c>
      <c r="D206" s="7" t="str">
        <f>VLOOKUP(IONOMICS!C206,'Field Table'!A$2:E$661,3,FALSE)</f>
        <v>FS</v>
      </c>
      <c r="E206" s="7" t="str">
        <f>VLOOKUP(IONOMICS!C206,'Field Table'!A$2:E$661,4,FALSE)</f>
        <v>4</v>
      </c>
      <c r="F206" s="7" t="str">
        <f>VLOOKUP(IONOMICS!C206,'Field Table'!A$2:E$661,5,FALSE)</f>
        <v>10</v>
      </c>
      <c r="G206" s="11">
        <v>25.173697270471461</v>
      </c>
      <c r="H206" s="12">
        <v>0.17369727047146399</v>
      </c>
      <c r="I206" s="12" t="s">
        <v>333</v>
      </c>
      <c r="J206" s="12" t="s">
        <v>333</v>
      </c>
      <c r="K206" s="12" t="s">
        <v>333</v>
      </c>
      <c r="L206" s="11">
        <v>0.21588089330024812</v>
      </c>
      <c r="M206" s="11">
        <v>0.12406947890818859</v>
      </c>
      <c r="N206" s="12">
        <v>8.6848635235731997E-2</v>
      </c>
      <c r="O206" s="12">
        <v>0.16129032258064516</v>
      </c>
      <c r="P206" s="12">
        <v>1.8114143920595531</v>
      </c>
      <c r="Q206" s="12">
        <v>17.295285359801486</v>
      </c>
      <c r="R206" s="12">
        <v>2.8138957816377166E-2</v>
      </c>
      <c r="S206" s="12" t="s">
        <v>333</v>
      </c>
      <c r="T206" s="12">
        <v>9.9255583126550861E-2</v>
      </c>
      <c r="U206" s="12">
        <v>2.4913151364764269E-2</v>
      </c>
      <c r="V206" s="12">
        <v>31.464019851116621</v>
      </c>
      <c r="W206" s="12" t="s">
        <v>333</v>
      </c>
      <c r="X206" s="13">
        <v>1.478908188585608E-3</v>
      </c>
      <c r="Y206" s="12">
        <v>0.7568238213399503</v>
      </c>
      <c r="Z206" s="12">
        <v>0.44665012406947885</v>
      </c>
      <c r="AA206" s="13">
        <v>1.5545905707196028E-2</v>
      </c>
      <c r="AB206" s="12">
        <v>0.91811414392059543</v>
      </c>
      <c r="AC206" s="12" t="s">
        <v>333</v>
      </c>
      <c r="AD206" s="12" t="s">
        <v>333</v>
      </c>
      <c r="AE206" s="12">
        <v>73.138957816377172</v>
      </c>
      <c r="AF206" s="14">
        <v>1.816377171215881E-2</v>
      </c>
      <c r="AG206" s="12">
        <v>20.062034739454095</v>
      </c>
      <c r="AH206" s="12">
        <v>1.6749379652605458</v>
      </c>
      <c r="AI206" s="12" t="s">
        <v>333</v>
      </c>
      <c r="AJ206" s="12" t="s">
        <v>333</v>
      </c>
      <c r="AK206" s="12">
        <v>5.0372208436724559</v>
      </c>
    </row>
    <row r="207" spans="1:37" x14ac:dyDescent="0.25">
      <c r="A207" s="7" t="s">
        <v>538</v>
      </c>
      <c r="B207" s="7" t="str">
        <f t="shared" si="3"/>
        <v>2768-207</v>
      </c>
      <c r="C207" s="7">
        <f>VLOOKUP(B207,'CEBAS-DEWOOD code'!A$2:B$302,2,FALSE)</f>
        <v>1088</v>
      </c>
      <c r="D207" s="7" t="str">
        <f>VLOOKUP(IONOMICS!C207,'Field Table'!A$2:E$661,3,FALSE)</f>
        <v>FS</v>
      </c>
      <c r="E207" s="7" t="str">
        <f>VLOOKUP(IONOMICS!C207,'Field Table'!A$2:E$661,4,FALSE)</f>
        <v>1</v>
      </c>
      <c r="F207" s="7" t="str">
        <f>VLOOKUP(IONOMICS!C207,'Field Table'!A$2:E$661,5,FALSE)</f>
        <v>01</v>
      </c>
      <c r="G207" s="11">
        <v>13.20546737213404</v>
      </c>
      <c r="H207" s="12" t="s">
        <v>333</v>
      </c>
      <c r="I207" s="12" t="s">
        <v>333</v>
      </c>
      <c r="J207" s="12" t="s">
        <v>333</v>
      </c>
      <c r="K207" s="12" t="s">
        <v>333</v>
      </c>
      <c r="L207" s="11">
        <v>0.30125661375661372</v>
      </c>
      <c r="M207" s="11">
        <v>8.8183421516754845E-2</v>
      </c>
      <c r="N207" s="12" t="s">
        <v>333</v>
      </c>
      <c r="O207" s="12">
        <v>9.9206349206349201E-2</v>
      </c>
      <c r="P207" s="12">
        <v>2.1053791887125222</v>
      </c>
      <c r="Q207" s="12">
        <v>9.1269841269841265</v>
      </c>
      <c r="R207" s="12">
        <v>7.4625220458553784E-2</v>
      </c>
      <c r="S207" s="12" t="s">
        <v>333</v>
      </c>
      <c r="T207" s="12">
        <v>0.36375661375661378</v>
      </c>
      <c r="U207" s="12">
        <v>2.1593915343915342E-2</v>
      </c>
      <c r="V207" s="12">
        <v>104.6957671957672</v>
      </c>
      <c r="W207" s="12" t="s">
        <v>333</v>
      </c>
      <c r="X207" s="13" t="s">
        <v>333</v>
      </c>
      <c r="Y207" s="12">
        <v>0.3968253968253968</v>
      </c>
      <c r="Z207" s="12">
        <v>0.79365079365079361</v>
      </c>
      <c r="AA207" s="13">
        <v>2.244268077601411E-2</v>
      </c>
      <c r="AB207" s="12">
        <v>2.4029982363315696</v>
      </c>
      <c r="AC207" s="12" t="s">
        <v>333</v>
      </c>
      <c r="AD207" s="12" t="s">
        <v>333</v>
      </c>
      <c r="AE207" s="12">
        <v>596.45061728395046</v>
      </c>
      <c r="AF207" s="14">
        <v>1.6082451499118165E-2</v>
      </c>
      <c r="AG207" s="12">
        <v>18.529541446208111</v>
      </c>
      <c r="AH207" s="12">
        <v>0.66137566137566139</v>
      </c>
      <c r="AI207" s="12" t="s">
        <v>333</v>
      </c>
      <c r="AJ207" s="12" t="s">
        <v>333</v>
      </c>
      <c r="AK207" s="12">
        <v>7.8042328042328046</v>
      </c>
    </row>
    <row r="208" spans="1:37" x14ac:dyDescent="0.25">
      <c r="A208" s="7" t="s">
        <v>539</v>
      </c>
      <c r="B208" s="7" t="str">
        <f t="shared" si="3"/>
        <v>2768-208</v>
      </c>
      <c r="C208" s="7">
        <f>VLOOKUP(B208,'CEBAS-DEWOOD code'!A$2:B$302,2,FALSE)</f>
        <v>113</v>
      </c>
      <c r="D208" s="7" t="str">
        <f>VLOOKUP(IONOMICS!C208,'Field Table'!A$2:E$661,3,FALSE)</f>
        <v>FS</v>
      </c>
      <c r="E208" s="7" t="str">
        <f>VLOOKUP(IONOMICS!C208,'Field Table'!A$2:E$661,4,FALSE)</f>
        <v>2</v>
      </c>
      <c r="F208" s="7" t="str">
        <f>VLOOKUP(IONOMICS!C208,'Field Table'!A$2:E$661,5,FALSE)</f>
        <v>25</v>
      </c>
      <c r="G208" s="11">
        <v>10.923623445825932</v>
      </c>
      <c r="H208" s="12">
        <v>0.22202486678507993</v>
      </c>
      <c r="I208" s="12" t="s">
        <v>333</v>
      </c>
      <c r="J208" s="12" t="s">
        <v>333</v>
      </c>
      <c r="K208" s="12" t="s">
        <v>333</v>
      </c>
      <c r="L208" s="11">
        <v>0.17695381882770869</v>
      </c>
      <c r="M208" s="11">
        <v>6.6607460035523966E-2</v>
      </c>
      <c r="N208" s="12">
        <v>6.6607460035523966E-2</v>
      </c>
      <c r="O208" s="12">
        <v>3.3303730017761983E-2</v>
      </c>
      <c r="P208" s="12">
        <v>1.0879218472468917</v>
      </c>
      <c r="Q208" s="12">
        <v>8.4369449378330366</v>
      </c>
      <c r="R208" s="12">
        <v>0.11989342806394317</v>
      </c>
      <c r="S208" s="12" t="s">
        <v>333</v>
      </c>
      <c r="T208" s="12">
        <v>0.33303730017761984</v>
      </c>
      <c r="U208" s="12">
        <v>3.7289076376554174E-2</v>
      </c>
      <c r="V208" s="12">
        <v>61.034635879218463</v>
      </c>
      <c r="W208" s="12" t="s">
        <v>333</v>
      </c>
      <c r="X208" s="13">
        <v>6.7495559502664295E-4</v>
      </c>
      <c r="Y208" s="12">
        <v>0.88809946714031973</v>
      </c>
      <c r="Z208" s="12">
        <v>2.2202486678507993E-2</v>
      </c>
      <c r="AA208" s="13">
        <v>7.2624333925399645E-3</v>
      </c>
      <c r="AB208" s="12">
        <v>4.4960035523978679</v>
      </c>
      <c r="AC208" s="12" t="s">
        <v>333</v>
      </c>
      <c r="AD208" s="12" t="s">
        <v>333</v>
      </c>
      <c r="AE208" s="12">
        <v>40.452930728241562</v>
      </c>
      <c r="AF208" s="14">
        <v>1.2810834813499112E-2</v>
      </c>
      <c r="AG208" s="12">
        <v>13.521314387211367</v>
      </c>
      <c r="AH208" s="12">
        <v>3.097246891651865</v>
      </c>
      <c r="AI208" s="12" t="s">
        <v>333</v>
      </c>
      <c r="AJ208" s="12" t="s">
        <v>333</v>
      </c>
      <c r="AK208" s="12">
        <v>6.9604795737122558</v>
      </c>
    </row>
    <row r="209" spans="1:37" x14ac:dyDescent="0.25">
      <c r="A209" s="7" t="s">
        <v>540</v>
      </c>
      <c r="B209" s="7" t="str">
        <f t="shared" si="3"/>
        <v>2768-209</v>
      </c>
      <c r="C209" s="7">
        <f>VLOOKUP(B209,'CEBAS-DEWOOD code'!A$2:B$302,2,FALSE)</f>
        <v>115</v>
      </c>
      <c r="D209" s="7" t="str">
        <f>VLOOKUP(IONOMICS!C209,'Field Table'!A$2:E$661,3,FALSE)</f>
        <v>AA</v>
      </c>
      <c r="E209" s="7" t="str">
        <f>VLOOKUP(IONOMICS!C209,'Field Table'!A$2:E$661,4,FALSE)</f>
        <v>1</v>
      </c>
      <c r="F209" s="7" t="str">
        <f>VLOOKUP(IONOMICS!C209,'Field Table'!A$2:E$661,5,FALSE)</f>
        <v>10</v>
      </c>
      <c r="G209" s="11">
        <v>14.859389895138229</v>
      </c>
      <c r="H209" s="12" t="s">
        <v>333</v>
      </c>
      <c r="I209" s="12" t="s">
        <v>333</v>
      </c>
      <c r="J209" s="12" t="s">
        <v>333</v>
      </c>
      <c r="K209" s="12" t="s">
        <v>333</v>
      </c>
      <c r="L209" s="11">
        <v>6.0855576739752157E-2</v>
      </c>
      <c r="M209" s="11">
        <v>8.3412774070543372E-2</v>
      </c>
      <c r="N209" s="12" t="s">
        <v>333</v>
      </c>
      <c r="O209" s="12">
        <v>3.5748331744518587E-2</v>
      </c>
      <c r="P209" s="12">
        <v>0.81029551954242129</v>
      </c>
      <c r="Q209" s="12">
        <v>74.022878932316488</v>
      </c>
      <c r="R209" s="12">
        <v>0.15014299332697809</v>
      </c>
      <c r="S209" s="12" t="s">
        <v>333</v>
      </c>
      <c r="T209" s="12">
        <v>0.20257387988560532</v>
      </c>
      <c r="U209" s="12">
        <v>1.209485224022879E-2</v>
      </c>
      <c r="V209" s="12">
        <v>35.367016205910396</v>
      </c>
      <c r="W209" s="12" t="s">
        <v>333</v>
      </c>
      <c r="X209" s="13" t="s">
        <v>333</v>
      </c>
      <c r="Y209" s="12" t="s">
        <v>333</v>
      </c>
      <c r="Z209" s="12">
        <v>0.33365109628217349</v>
      </c>
      <c r="AA209" s="13">
        <v>4.536463298379409E-3</v>
      </c>
      <c r="AB209" s="12">
        <v>3.3722592945662537</v>
      </c>
      <c r="AC209" s="12" t="s">
        <v>333</v>
      </c>
      <c r="AD209" s="12" t="s">
        <v>333</v>
      </c>
      <c r="AE209" s="12">
        <v>20.316968541468068</v>
      </c>
      <c r="AF209" s="14">
        <v>5.7983794089609148E-3</v>
      </c>
      <c r="AG209" s="12">
        <v>3.7178265014299332</v>
      </c>
      <c r="AH209" s="12">
        <v>0.72688274547187803</v>
      </c>
      <c r="AI209" s="12" t="s">
        <v>333</v>
      </c>
      <c r="AJ209" s="12" t="s">
        <v>333</v>
      </c>
      <c r="AK209" s="12">
        <v>4.6711153479504288</v>
      </c>
    </row>
    <row r="210" spans="1:37" x14ac:dyDescent="0.25">
      <c r="A210" s="7" t="s">
        <v>541</v>
      </c>
      <c r="B210" s="7" t="str">
        <f t="shared" si="3"/>
        <v>2768-210</v>
      </c>
      <c r="C210" s="7">
        <f>VLOOKUP(B210,'CEBAS-DEWOOD code'!A$2:B$302,2,FALSE)</f>
        <v>12</v>
      </c>
      <c r="D210" s="7" t="str">
        <f>VLOOKUP(IONOMICS!C210,'Field Table'!A$2:E$661,3,FALSE)</f>
        <v>FS</v>
      </c>
      <c r="E210" s="7" t="str">
        <f>VLOOKUP(IONOMICS!C210,'Field Table'!A$2:E$661,4,FALSE)</f>
        <v>4</v>
      </c>
      <c r="F210" s="7" t="str">
        <f>VLOOKUP(IONOMICS!C210,'Field Table'!A$2:E$661,5,FALSE)</f>
        <v>10</v>
      </c>
      <c r="G210" s="11">
        <v>10.117389574214085</v>
      </c>
      <c r="H210" s="12">
        <v>0.13927576601671307</v>
      </c>
      <c r="I210" s="12" t="s">
        <v>333</v>
      </c>
      <c r="J210" s="12" t="s">
        <v>333</v>
      </c>
      <c r="K210" s="12" t="s">
        <v>333</v>
      </c>
      <c r="L210" s="11">
        <v>0.36758853959411064</v>
      </c>
      <c r="M210" s="11">
        <v>0.10943095901313171</v>
      </c>
      <c r="N210" s="12">
        <v>7.9586152009550326E-2</v>
      </c>
      <c r="O210" s="12">
        <v>0.64663748507759644</v>
      </c>
      <c r="P210" s="12">
        <v>1.7409470752089138</v>
      </c>
      <c r="Q210" s="12">
        <v>9.2916832471150013</v>
      </c>
      <c r="R210" s="12">
        <v>6.7986470354158363E-2</v>
      </c>
      <c r="S210" s="12" t="s">
        <v>333</v>
      </c>
      <c r="T210" s="12">
        <v>0.17906884202148823</v>
      </c>
      <c r="U210" s="12">
        <v>8.7793473935535202E-2</v>
      </c>
      <c r="V210" s="12">
        <v>199.56227616394742</v>
      </c>
      <c r="W210" s="12" t="s">
        <v>333</v>
      </c>
      <c r="X210" s="13">
        <v>3.3625149224035013E-4</v>
      </c>
      <c r="Y210" s="12">
        <v>3.213290887385595</v>
      </c>
      <c r="Z210" s="12">
        <v>0.21886191802626342</v>
      </c>
      <c r="AA210" s="13">
        <v>2.1209709510545165E-2</v>
      </c>
      <c r="AB210" s="12">
        <v>1.6514126541981693</v>
      </c>
      <c r="AC210" s="12" t="s">
        <v>333</v>
      </c>
      <c r="AD210" s="12" t="s">
        <v>333</v>
      </c>
      <c r="AE210" s="12">
        <v>34.072821329088733</v>
      </c>
      <c r="AF210" s="14">
        <v>2.1418623159570233E-2</v>
      </c>
      <c r="AG210" s="12">
        <v>25.596896140071621</v>
      </c>
      <c r="AH210" s="12">
        <v>0.48746518105849579</v>
      </c>
      <c r="AI210" s="12">
        <v>6.7051333068046155</v>
      </c>
      <c r="AJ210" s="12" t="s">
        <v>333</v>
      </c>
      <c r="AK210" s="12">
        <v>6.3370473537604459</v>
      </c>
    </row>
    <row r="211" spans="1:37" x14ac:dyDescent="0.25">
      <c r="A211" s="7" t="s">
        <v>542</v>
      </c>
      <c r="B211" s="7" t="str">
        <f t="shared" si="3"/>
        <v>2768-211</v>
      </c>
      <c r="C211" s="7">
        <f>VLOOKUP(B211,'CEBAS-DEWOOD code'!A$2:B$302,2,FALSE)</f>
        <v>1050</v>
      </c>
      <c r="D211" s="7" t="str">
        <f>VLOOKUP(IONOMICS!C211,'Field Table'!A$2:E$661,3,FALSE)</f>
        <v>AA</v>
      </c>
      <c r="E211" s="7" t="str">
        <f>VLOOKUP(IONOMICS!C211,'Field Table'!A$2:E$661,4,FALSE)</f>
        <v>2</v>
      </c>
      <c r="F211" s="7" t="str">
        <f>VLOOKUP(IONOMICS!C211,'Field Table'!A$2:E$661,5,FALSE)</f>
        <v>01</v>
      </c>
      <c r="G211" s="11">
        <v>20.828011919965942</v>
      </c>
      <c r="H211" s="12" t="s">
        <v>333</v>
      </c>
      <c r="I211" s="12" t="s">
        <v>333</v>
      </c>
      <c r="J211" s="12" t="s">
        <v>333</v>
      </c>
      <c r="K211" s="12" t="s">
        <v>333</v>
      </c>
      <c r="L211" s="11">
        <v>0.39772243507875688</v>
      </c>
      <c r="M211" s="11">
        <v>6.3856960408684549E-2</v>
      </c>
      <c r="N211" s="12">
        <v>7.4499787143465293E-2</v>
      </c>
      <c r="O211" s="12">
        <v>0.19157088122605365</v>
      </c>
      <c r="P211" s="12">
        <v>2.4052788420604512</v>
      </c>
      <c r="Q211" s="12">
        <v>12.49467858663261</v>
      </c>
      <c r="R211" s="12">
        <v>6.6060025542784171E-3</v>
      </c>
      <c r="S211" s="12" t="s">
        <v>333</v>
      </c>
      <c r="T211" s="12">
        <v>0.18092805449127286</v>
      </c>
      <c r="U211" s="12">
        <v>2.8011919965942957E-2</v>
      </c>
      <c r="V211" s="12">
        <v>90.772669220945076</v>
      </c>
      <c r="W211" s="12" t="s">
        <v>333</v>
      </c>
      <c r="X211" s="13">
        <v>2.7352064708386546E-4</v>
      </c>
      <c r="Y211" s="12">
        <v>0.67049808429118773</v>
      </c>
      <c r="Z211" s="12">
        <v>1.5964240102171137</v>
      </c>
      <c r="AA211" s="13">
        <v>7.1040868454661562E-3</v>
      </c>
      <c r="AB211" s="12">
        <v>0.54278416347381864</v>
      </c>
      <c r="AC211" s="12" t="s">
        <v>333</v>
      </c>
      <c r="AD211" s="12" t="s">
        <v>333</v>
      </c>
      <c r="AE211" s="12">
        <v>644.95530012771394</v>
      </c>
      <c r="AF211" s="14">
        <v>1.7475521498510005E-2</v>
      </c>
      <c r="AG211" s="12">
        <v>28.405704555129844</v>
      </c>
      <c r="AH211" s="12">
        <v>0.90464027245636447</v>
      </c>
      <c r="AI211" s="12" t="s">
        <v>333</v>
      </c>
      <c r="AJ211" s="12" t="s">
        <v>333</v>
      </c>
      <c r="AK211" s="12">
        <v>7.5564069816943373</v>
      </c>
    </row>
    <row r="212" spans="1:37" x14ac:dyDescent="0.25">
      <c r="A212" s="7" t="s">
        <v>543</v>
      </c>
      <c r="B212" s="7" t="str">
        <f t="shared" si="3"/>
        <v>2768-212</v>
      </c>
      <c r="C212" s="7">
        <f>VLOOKUP(B212,'CEBAS-DEWOOD code'!A$2:B$302,2,FALSE)</f>
        <v>1036</v>
      </c>
      <c r="D212" s="7" t="str">
        <f>VLOOKUP(IONOMICS!C212,'Field Table'!A$2:E$661,3,FALSE)</f>
        <v>FS</v>
      </c>
      <c r="E212" s="7" t="str">
        <f>VLOOKUP(IONOMICS!C212,'Field Table'!A$2:E$661,4,FALSE)</f>
        <v>4</v>
      </c>
      <c r="F212" s="7" t="str">
        <f>VLOOKUP(IONOMICS!C212,'Field Table'!A$2:E$661,5,FALSE)</f>
        <v>01</v>
      </c>
      <c r="G212" s="11">
        <v>46.110893416927901</v>
      </c>
      <c r="H212" s="12">
        <v>9.7962382445141074E-3</v>
      </c>
      <c r="I212" s="12" t="s">
        <v>333</v>
      </c>
      <c r="J212" s="12" t="s">
        <v>333</v>
      </c>
      <c r="K212" s="12" t="s">
        <v>333</v>
      </c>
      <c r="L212" s="11">
        <v>0.78301332288401271</v>
      </c>
      <c r="M212" s="11">
        <v>0.15673981191222572</v>
      </c>
      <c r="N212" s="12">
        <v>4.8981191222570539E-2</v>
      </c>
      <c r="O212" s="12">
        <v>0.18612852664576804</v>
      </c>
      <c r="P212" s="12">
        <v>3.125</v>
      </c>
      <c r="Q212" s="12">
        <v>29.026253918495303</v>
      </c>
      <c r="R212" s="12">
        <v>4.5523119122257059E-2</v>
      </c>
      <c r="S212" s="12" t="s">
        <v>333</v>
      </c>
      <c r="T212" s="12">
        <v>0.22531347962382445</v>
      </c>
      <c r="U212" s="12">
        <v>3.5041144200626963E-2</v>
      </c>
      <c r="V212" s="12">
        <v>97.2962382445141</v>
      </c>
      <c r="W212" s="12" t="s">
        <v>333</v>
      </c>
      <c r="X212" s="13">
        <v>8.9145768025078378E-4</v>
      </c>
      <c r="Y212" s="12">
        <v>0.48001567398119127</v>
      </c>
      <c r="Z212" s="12">
        <v>1.7829153605015675</v>
      </c>
      <c r="AA212" s="13">
        <v>1.9778605015673984E-2</v>
      </c>
      <c r="AB212" s="12">
        <v>1.547805642633229</v>
      </c>
      <c r="AC212" s="12" t="s">
        <v>333</v>
      </c>
      <c r="AD212" s="12" t="s">
        <v>333</v>
      </c>
      <c r="AE212" s="12">
        <v>695.33699059561127</v>
      </c>
      <c r="AF212" s="14">
        <v>2.7360893416927906E-2</v>
      </c>
      <c r="AG212" s="12">
        <v>60.462382445141067</v>
      </c>
      <c r="AH212" s="12">
        <v>1.998432601880878</v>
      </c>
      <c r="AI212" s="12" t="s">
        <v>333</v>
      </c>
      <c r="AJ212" s="12" t="s">
        <v>333</v>
      </c>
      <c r="AK212" s="12">
        <v>17.525470219435739</v>
      </c>
    </row>
    <row r="213" spans="1:37" x14ac:dyDescent="0.25">
      <c r="A213" s="7" t="s">
        <v>544</v>
      </c>
      <c r="B213" s="7" t="str">
        <f t="shared" si="3"/>
        <v>2768-213</v>
      </c>
      <c r="C213" s="7">
        <f>VLOOKUP(B213,'CEBAS-DEWOOD code'!A$2:B$302,2,FALSE)</f>
        <v>1004</v>
      </c>
      <c r="D213" s="7" t="str">
        <f>VLOOKUP(IONOMICS!C213,'Field Table'!A$2:E$661,3,FALSE)</f>
        <v>FS</v>
      </c>
      <c r="E213" s="7" t="str">
        <f>VLOOKUP(IONOMICS!C213,'Field Table'!A$2:E$661,4,FALSE)</f>
        <v>1</v>
      </c>
      <c r="F213" s="7" t="str">
        <f>VLOOKUP(IONOMICS!C213,'Field Table'!A$2:E$661,5,FALSE)</f>
        <v>01</v>
      </c>
      <c r="G213" s="11">
        <v>7.4547903039630619</v>
      </c>
      <c r="H213" s="12">
        <v>6.7333589842247007E-2</v>
      </c>
      <c r="I213" s="12" t="s">
        <v>333</v>
      </c>
      <c r="J213" s="12" t="s">
        <v>333</v>
      </c>
      <c r="K213" s="12" t="s">
        <v>333</v>
      </c>
      <c r="L213" s="11">
        <v>0.20046171604463253</v>
      </c>
      <c r="M213" s="11">
        <v>0.10580992689495959</v>
      </c>
      <c r="N213" s="12">
        <v>0.10580992689495959</v>
      </c>
      <c r="O213" s="12">
        <v>0.19238168526356292</v>
      </c>
      <c r="P213" s="12">
        <v>2.0488649480569445</v>
      </c>
      <c r="Q213" s="12">
        <v>8.9842247018083867</v>
      </c>
      <c r="R213" s="12">
        <v>0.10465563678337822</v>
      </c>
      <c r="S213" s="12" t="s">
        <v>333</v>
      </c>
      <c r="T213" s="12">
        <v>0.31742978068487882</v>
      </c>
      <c r="U213" s="12">
        <v>2.3922662562524049E-2</v>
      </c>
      <c r="V213" s="12">
        <v>70.969603693728359</v>
      </c>
      <c r="W213" s="12" t="s">
        <v>333</v>
      </c>
      <c r="X213" s="13" t="s">
        <v>333</v>
      </c>
      <c r="Y213" s="12">
        <v>2.1065794536360136</v>
      </c>
      <c r="Z213" s="12">
        <v>0.39438245479030398</v>
      </c>
      <c r="AA213" s="13">
        <v>2.5923432089265099E-2</v>
      </c>
      <c r="AB213" s="12">
        <v>2.6260100038476333</v>
      </c>
      <c r="AC213" s="12" t="s">
        <v>333</v>
      </c>
      <c r="AD213" s="12" t="s">
        <v>333</v>
      </c>
      <c r="AE213" s="12">
        <v>288.3801462100808</v>
      </c>
      <c r="AF213" s="14">
        <v>1.6246633320507887E-2</v>
      </c>
      <c r="AG213" s="12">
        <v>12.889572912658714</v>
      </c>
      <c r="AH213" s="12">
        <v>0.37514428626394758</v>
      </c>
      <c r="AI213" s="12" t="s">
        <v>333</v>
      </c>
      <c r="AJ213" s="12" t="s">
        <v>333</v>
      </c>
      <c r="AK213" s="12">
        <v>6.2331666025394377</v>
      </c>
    </row>
    <row r="214" spans="1:37" x14ac:dyDescent="0.25">
      <c r="A214" s="7" t="s">
        <v>545</v>
      </c>
      <c r="B214" s="7" t="str">
        <f t="shared" si="3"/>
        <v>2768-214</v>
      </c>
      <c r="C214" s="7">
        <f>VLOOKUP(B214,'CEBAS-DEWOOD code'!A$2:B$302,2,FALSE)</f>
        <v>356</v>
      </c>
      <c r="D214" s="7" t="str">
        <f>VLOOKUP(IONOMICS!C214,'Field Table'!A$2:E$661,3,FALSE)</f>
        <v>FS</v>
      </c>
      <c r="E214" s="7" t="str">
        <f>VLOOKUP(IONOMICS!C214,'Field Table'!A$2:E$661,4,FALSE)</f>
        <v>2</v>
      </c>
      <c r="F214" s="7" t="str">
        <f>VLOOKUP(IONOMICS!C214,'Field Table'!A$2:E$661,5,FALSE)</f>
        <v>10</v>
      </c>
      <c r="G214" s="11">
        <v>17.922647527910684</v>
      </c>
      <c r="H214" s="12" t="s">
        <v>333</v>
      </c>
      <c r="I214" s="12" t="s">
        <v>333</v>
      </c>
      <c r="J214" s="12" t="s">
        <v>333</v>
      </c>
      <c r="K214" s="12" t="s">
        <v>333</v>
      </c>
      <c r="L214" s="11">
        <v>0.3759968102073365</v>
      </c>
      <c r="M214" s="11">
        <v>0.13955342902711321</v>
      </c>
      <c r="N214" s="12" t="s">
        <v>333</v>
      </c>
      <c r="O214" s="12">
        <v>0.28907496012759165</v>
      </c>
      <c r="P214" s="12">
        <v>3.967304625199362</v>
      </c>
      <c r="Q214" s="12">
        <v>9.1108452950558192</v>
      </c>
      <c r="R214" s="12">
        <v>2.0663875598086125E-3</v>
      </c>
      <c r="S214" s="12" t="s">
        <v>333</v>
      </c>
      <c r="T214" s="12">
        <v>0.31897926634768736</v>
      </c>
      <c r="U214" s="12">
        <v>2.6485247208931417E-2</v>
      </c>
      <c r="V214" s="12">
        <v>113.23763955342901</v>
      </c>
      <c r="W214" s="12" t="s">
        <v>333</v>
      </c>
      <c r="X214" s="13">
        <v>2.4870414673046253E-3</v>
      </c>
      <c r="Y214" s="12">
        <v>0.99681020733652304</v>
      </c>
      <c r="Z214" s="12">
        <v>0.34888357256778307</v>
      </c>
      <c r="AA214" s="13">
        <v>8.3941387559808602E-3</v>
      </c>
      <c r="AB214" s="12">
        <v>0.63795853269537472</v>
      </c>
      <c r="AC214" s="12" t="s">
        <v>333</v>
      </c>
      <c r="AD214" s="12" t="s">
        <v>333</v>
      </c>
      <c r="AE214" s="12">
        <v>44.946172248803826</v>
      </c>
      <c r="AF214" s="14">
        <v>2.3793859649122808E-2</v>
      </c>
      <c r="AG214" s="12">
        <v>24.750797448165866</v>
      </c>
      <c r="AH214" s="12">
        <v>1.0267145135566187</v>
      </c>
      <c r="AI214" s="12" t="s">
        <v>333</v>
      </c>
      <c r="AJ214" s="12" t="s">
        <v>333</v>
      </c>
      <c r="AK214" s="12">
        <v>5.452551834130781</v>
      </c>
    </row>
    <row r="215" spans="1:37" x14ac:dyDescent="0.25">
      <c r="A215" s="7" t="s">
        <v>546</v>
      </c>
      <c r="B215" s="7" t="str">
        <f t="shared" si="3"/>
        <v>2768-215</v>
      </c>
      <c r="C215" s="7">
        <f>VLOOKUP(B215,'CEBAS-DEWOOD code'!A$2:B$302,2,FALSE)</f>
        <v>133</v>
      </c>
      <c r="D215" s="7" t="str">
        <f>VLOOKUP(IONOMICS!C215,'Field Table'!A$2:E$661,3,FALSE)</f>
        <v>FS</v>
      </c>
      <c r="E215" s="7" t="str">
        <f>VLOOKUP(IONOMICS!C215,'Field Table'!A$2:E$661,4,FALSE)</f>
        <v>1</v>
      </c>
      <c r="F215" s="7" t="str">
        <f>VLOOKUP(IONOMICS!C215,'Field Table'!A$2:E$661,5,FALSE)</f>
        <v>10</v>
      </c>
      <c r="G215" s="11">
        <v>27.819055944055943</v>
      </c>
      <c r="H215" s="12">
        <v>0.10926573426573427</v>
      </c>
      <c r="I215" s="12" t="s">
        <v>333</v>
      </c>
      <c r="J215" s="12" t="s">
        <v>333</v>
      </c>
      <c r="K215" s="12" t="s">
        <v>333</v>
      </c>
      <c r="L215" s="11">
        <v>9.845935314685314E-2</v>
      </c>
      <c r="M215" s="11">
        <v>0.28409090909090912</v>
      </c>
      <c r="N215" s="12">
        <v>3.277972027972028E-2</v>
      </c>
      <c r="O215" s="12">
        <v>0.13111888111888112</v>
      </c>
      <c r="P215" s="12">
        <v>1.1254370629370629</v>
      </c>
      <c r="Q215" s="12">
        <v>4.2067307692307692</v>
      </c>
      <c r="R215" s="12">
        <v>3.6243444055944062E-2</v>
      </c>
      <c r="S215" s="12" t="s">
        <v>333</v>
      </c>
      <c r="T215" s="12">
        <v>0.27316433566433568</v>
      </c>
      <c r="U215" s="12">
        <v>2.9228583916083916E-2</v>
      </c>
      <c r="V215" s="12">
        <v>48.7652972027972</v>
      </c>
      <c r="W215" s="12" t="s">
        <v>333</v>
      </c>
      <c r="X215" s="13">
        <v>3.2910839160839164E-3</v>
      </c>
      <c r="Y215" s="12">
        <v>1.103583916083916</v>
      </c>
      <c r="Z215" s="12">
        <v>0.5026223776223776</v>
      </c>
      <c r="AA215" s="13">
        <v>6.1822552447552441E-3</v>
      </c>
      <c r="AB215" s="12">
        <v>1.6608391608391608</v>
      </c>
      <c r="AC215" s="12" t="s">
        <v>333</v>
      </c>
      <c r="AD215" s="12" t="s">
        <v>333</v>
      </c>
      <c r="AE215" s="12">
        <v>175.80856643356643</v>
      </c>
      <c r="AF215" s="14">
        <v>9.2121940559440549E-3</v>
      </c>
      <c r="AG215" s="12">
        <v>10.249125874125873</v>
      </c>
      <c r="AH215" s="12">
        <v>0.28409090909090912</v>
      </c>
      <c r="AI215" s="12" t="s">
        <v>333</v>
      </c>
      <c r="AJ215" s="12" t="s">
        <v>333</v>
      </c>
      <c r="AK215" s="12">
        <v>24.39903846153846</v>
      </c>
    </row>
    <row r="216" spans="1:37" x14ac:dyDescent="0.25">
      <c r="A216" s="7" t="s">
        <v>547</v>
      </c>
      <c r="B216" s="7" t="str">
        <f t="shared" si="3"/>
        <v>2768-216</v>
      </c>
      <c r="C216" s="7">
        <f>VLOOKUP(B216,'CEBAS-DEWOOD code'!A$2:B$302,2,FALSE)</f>
        <v>171</v>
      </c>
      <c r="D216" s="7" t="str">
        <f>VLOOKUP(IONOMICS!C216,'Field Table'!A$2:E$661,3,FALSE)</f>
        <v>AA</v>
      </c>
      <c r="E216" s="7" t="str">
        <f>VLOOKUP(IONOMICS!C216,'Field Table'!A$2:E$661,4,FALSE)</f>
        <v>2</v>
      </c>
      <c r="F216" s="7" t="str">
        <f>VLOOKUP(IONOMICS!C216,'Field Table'!A$2:E$661,5,FALSE)</f>
        <v>25</v>
      </c>
      <c r="G216" s="11">
        <v>22.079160705770146</v>
      </c>
      <c r="H216" s="12">
        <v>0.11921793037672866</v>
      </c>
      <c r="I216" s="12" t="s">
        <v>333</v>
      </c>
      <c r="J216" s="12" t="s">
        <v>333</v>
      </c>
      <c r="K216" s="12" t="s">
        <v>333</v>
      </c>
      <c r="L216" s="11">
        <v>5.3540772532188842E-2</v>
      </c>
      <c r="M216" s="11">
        <v>4.7687172150691466E-2</v>
      </c>
      <c r="N216" s="12" t="s">
        <v>333</v>
      </c>
      <c r="O216" s="12">
        <v>5.9608965188364331E-2</v>
      </c>
      <c r="P216" s="12">
        <v>0.79876013352408204</v>
      </c>
      <c r="Q216" s="12">
        <v>3.5884597043395323</v>
      </c>
      <c r="R216" s="12">
        <v>4.0641392465426807E-2</v>
      </c>
      <c r="S216" s="12" t="s">
        <v>333</v>
      </c>
      <c r="T216" s="12">
        <v>0.30996661897949451</v>
      </c>
      <c r="U216" s="12">
        <v>1.438960419647115E-2</v>
      </c>
      <c r="V216" s="12">
        <v>22.365283738674293</v>
      </c>
      <c r="W216" s="12" t="s">
        <v>333</v>
      </c>
      <c r="X216" s="13">
        <v>6.2827849308536013E-3</v>
      </c>
      <c r="Y216" s="12">
        <v>0.15498330948974726</v>
      </c>
      <c r="Z216" s="12">
        <v>0.13113972341440153</v>
      </c>
      <c r="AA216" s="13">
        <v>1.0491177873152122E-3</v>
      </c>
      <c r="AB216" s="12">
        <v>0.77491654744873628</v>
      </c>
      <c r="AC216" s="12" t="s">
        <v>333</v>
      </c>
      <c r="AD216" s="12" t="s">
        <v>333</v>
      </c>
      <c r="AE216" s="12">
        <v>97.126847877920838</v>
      </c>
      <c r="AF216" s="14">
        <v>5.3767286599904623E-3</v>
      </c>
      <c r="AG216" s="12">
        <v>5.0548402479732957</v>
      </c>
      <c r="AH216" s="12">
        <v>0.45302813543156895</v>
      </c>
      <c r="AI216" s="12" t="s">
        <v>333</v>
      </c>
      <c r="AJ216" s="12" t="s">
        <v>333</v>
      </c>
      <c r="AK216" s="12">
        <v>32.188841201716741</v>
      </c>
    </row>
    <row r="217" spans="1:37" x14ac:dyDescent="0.25">
      <c r="A217" s="7" t="s">
        <v>548</v>
      </c>
      <c r="B217" s="7" t="str">
        <f t="shared" si="3"/>
        <v>2768-217</v>
      </c>
      <c r="C217" s="7">
        <f>VLOOKUP(B217,'CEBAS-DEWOOD code'!A$2:B$302,2,FALSE)</f>
        <v>41</v>
      </c>
      <c r="D217" s="7" t="str">
        <f>VLOOKUP(IONOMICS!C217,'Field Table'!A$2:E$661,3,FALSE)</f>
        <v>FS</v>
      </c>
      <c r="E217" s="7" t="str">
        <f>VLOOKUP(IONOMICS!C217,'Field Table'!A$2:E$661,4,FALSE)</f>
        <v>2</v>
      </c>
      <c r="F217" s="7" t="str">
        <f>VLOOKUP(IONOMICS!C217,'Field Table'!A$2:E$661,5,FALSE)</f>
        <v>25</v>
      </c>
      <c r="G217" s="11">
        <v>1.4592760180995474</v>
      </c>
      <c r="H217" s="12">
        <v>0.23755656108597284</v>
      </c>
      <c r="I217" s="12" t="s">
        <v>333</v>
      </c>
      <c r="J217" s="12" t="s">
        <v>333</v>
      </c>
      <c r="K217" s="12" t="s">
        <v>333</v>
      </c>
      <c r="L217" s="11">
        <v>0.1159502262443439</v>
      </c>
      <c r="M217" s="11">
        <v>0.13574660633484162</v>
      </c>
      <c r="N217" s="12">
        <v>7.9185520361990946E-2</v>
      </c>
      <c r="O217" s="12">
        <v>1.1312217194570135E-2</v>
      </c>
      <c r="P217" s="12">
        <v>1.1199095022624435</v>
      </c>
      <c r="Q217" s="12">
        <v>5.3393665158371038</v>
      </c>
      <c r="R217" s="12">
        <v>0.17556561085972852</v>
      </c>
      <c r="S217" s="12" t="s">
        <v>333</v>
      </c>
      <c r="T217" s="12">
        <v>0.1244343891402715</v>
      </c>
      <c r="U217" s="12">
        <v>4.73868778280543E-2</v>
      </c>
      <c r="V217" s="12">
        <v>43.744343891402714</v>
      </c>
      <c r="W217" s="12" t="s">
        <v>333</v>
      </c>
      <c r="X217" s="13">
        <v>3.076923076923077E-4</v>
      </c>
      <c r="Y217" s="12">
        <v>1.3574660633484161</v>
      </c>
      <c r="Z217" s="12">
        <v>0.16968325791855202</v>
      </c>
      <c r="AA217" s="13">
        <v>6.7839366515837114E-3</v>
      </c>
      <c r="AB217" s="12">
        <v>6.5497737556561084</v>
      </c>
      <c r="AC217" s="12" t="s">
        <v>333</v>
      </c>
      <c r="AD217" s="12" t="s">
        <v>333</v>
      </c>
      <c r="AE217" s="12">
        <v>21.221719457013574</v>
      </c>
      <c r="AF217" s="14">
        <v>1.2319004524886878E-2</v>
      </c>
      <c r="AG217" s="12">
        <v>8.5294117647058805</v>
      </c>
      <c r="AH217" s="12">
        <v>0.53167420814479638</v>
      </c>
      <c r="AI217" s="12" t="s">
        <v>333</v>
      </c>
      <c r="AJ217" s="12" t="s">
        <v>333</v>
      </c>
      <c r="AK217" s="12">
        <v>3.3597285067873304</v>
      </c>
    </row>
    <row r="218" spans="1:37" x14ac:dyDescent="0.25">
      <c r="A218" s="7" t="s">
        <v>549</v>
      </c>
      <c r="B218" s="7" t="str">
        <f t="shared" si="3"/>
        <v>2768-218</v>
      </c>
      <c r="C218" s="7">
        <f>VLOOKUP(B218,'CEBAS-DEWOOD code'!A$2:B$302,2,FALSE)</f>
        <v>39</v>
      </c>
      <c r="D218" s="7" t="str">
        <f>VLOOKUP(IONOMICS!C218,'Field Table'!A$2:E$661,3,FALSE)</f>
        <v>AA</v>
      </c>
      <c r="E218" s="7" t="str">
        <f>VLOOKUP(IONOMICS!C218,'Field Table'!A$2:E$661,4,FALSE)</f>
        <v>4</v>
      </c>
      <c r="F218" s="7" t="str">
        <f>VLOOKUP(IONOMICS!C218,'Field Table'!A$2:E$661,5,FALSE)</f>
        <v>25</v>
      </c>
      <c r="G218" s="11">
        <v>47.644710578842314</v>
      </c>
      <c r="H218" s="12">
        <v>7.9840319361277445E-2</v>
      </c>
      <c r="I218" s="12" t="s">
        <v>333</v>
      </c>
      <c r="J218" s="12" t="s">
        <v>333</v>
      </c>
      <c r="K218" s="12" t="s">
        <v>333</v>
      </c>
      <c r="L218" s="11">
        <v>8.6047904191616773E-2</v>
      </c>
      <c r="M218" s="11">
        <v>0.279441117764471</v>
      </c>
      <c r="N218" s="12">
        <v>1.9960079840319361E-2</v>
      </c>
      <c r="O218" s="12">
        <v>1.4171656686626748</v>
      </c>
      <c r="P218" s="12">
        <v>2.0459081836327346</v>
      </c>
      <c r="Q218" s="12">
        <v>20.489021956087825</v>
      </c>
      <c r="R218" s="12">
        <v>7.3283433133732534E-2</v>
      </c>
      <c r="S218" s="12" t="s">
        <v>333</v>
      </c>
      <c r="T218" s="12">
        <v>0.16966067864271456</v>
      </c>
      <c r="U218" s="12">
        <v>1.5469061876247506E-2</v>
      </c>
      <c r="V218" s="12">
        <v>48.672654690618764</v>
      </c>
      <c r="W218" s="12" t="s">
        <v>333</v>
      </c>
      <c r="X218" s="13" t="s">
        <v>333</v>
      </c>
      <c r="Y218" s="12">
        <v>5.9880239520958084E-2</v>
      </c>
      <c r="Z218" s="12">
        <v>0.26946107784431139</v>
      </c>
      <c r="AA218" s="13">
        <v>3.0608782435129741E-3</v>
      </c>
      <c r="AB218" s="12">
        <v>2.0558882235528944</v>
      </c>
      <c r="AC218" s="12" t="s">
        <v>333</v>
      </c>
      <c r="AD218" s="12" t="s">
        <v>333</v>
      </c>
      <c r="AE218" s="12">
        <v>30.718562874251496</v>
      </c>
      <c r="AF218" s="14">
        <v>8.7574850299401187E-3</v>
      </c>
      <c r="AG218" s="12">
        <v>5.1297405189620768</v>
      </c>
      <c r="AH218" s="12">
        <v>9.6806387225548907</v>
      </c>
      <c r="AI218" s="12" t="s">
        <v>333</v>
      </c>
      <c r="AJ218" s="12" t="s">
        <v>333</v>
      </c>
      <c r="AK218" s="12">
        <v>5.5489021956087816</v>
      </c>
    </row>
    <row r="219" spans="1:37" x14ac:dyDescent="0.25">
      <c r="A219" s="7" t="s">
        <v>550</v>
      </c>
      <c r="B219" s="7" t="str">
        <f t="shared" si="3"/>
        <v>2768-219</v>
      </c>
      <c r="C219" s="7">
        <f>VLOOKUP(B219,'CEBAS-DEWOOD code'!A$2:B$302,2,FALSE)</f>
        <v>183</v>
      </c>
      <c r="D219" s="7" t="str">
        <f>VLOOKUP(IONOMICS!C219,'Field Table'!A$2:E$661,3,FALSE)</f>
        <v>AA</v>
      </c>
      <c r="E219" s="7" t="str">
        <f>VLOOKUP(IONOMICS!C219,'Field Table'!A$2:E$661,4,FALSE)</f>
        <v>2</v>
      </c>
      <c r="F219" s="7" t="str">
        <f>VLOOKUP(IONOMICS!C219,'Field Table'!A$2:E$661,5,FALSE)</f>
        <v>25</v>
      </c>
      <c r="G219" s="11">
        <v>23.202892386218629</v>
      </c>
      <c r="H219" s="12">
        <v>0.12760527435133984</v>
      </c>
      <c r="I219" s="12" t="s">
        <v>333</v>
      </c>
      <c r="J219" s="12" t="s">
        <v>333</v>
      </c>
      <c r="K219" s="12" t="s">
        <v>333</v>
      </c>
      <c r="L219" s="11">
        <v>0.1072947681837516</v>
      </c>
      <c r="M219" s="11">
        <v>0.12760527435133984</v>
      </c>
      <c r="N219" s="12" t="s">
        <v>333</v>
      </c>
      <c r="O219" s="12">
        <v>0.19140791152700978</v>
      </c>
      <c r="P219" s="12">
        <v>1.4355593364525734</v>
      </c>
      <c r="Q219" s="12">
        <v>7.805189281156955</v>
      </c>
      <c r="R219" s="12">
        <v>6.4887282007656324E-2</v>
      </c>
      <c r="S219" s="12" t="s">
        <v>333</v>
      </c>
      <c r="T219" s="12">
        <v>8.5070182900893243E-2</v>
      </c>
      <c r="U219" s="12">
        <v>2.2065078689919183E-2</v>
      </c>
      <c r="V219" s="12">
        <v>61.431305827307526</v>
      </c>
      <c r="W219" s="12" t="s">
        <v>333</v>
      </c>
      <c r="X219" s="13">
        <v>8.2199064227988085E-4</v>
      </c>
      <c r="Y219" s="12">
        <v>0.19140791152700978</v>
      </c>
      <c r="Z219" s="12">
        <v>0.24457677584006804</v>
      </c>
      <c r="AA219" s="13">
        <v>4.1684389621437683E-3</v>
      </c>
      <c r="AB219" s="12">
        <v>0.80816673755848578</v>
      </c>
      <c r="AC219" s="12" t="s">
        <v>333</v>
      </c>
      <c r="AD219" s="12" t="s">
        <v>333</v>
      </c>
      <c r="AE219" s="12">
        <v>19.587409612930671</v>
      </c>
      <c r="AF219" s="14">
        <v>8.7186303700552952E-3</v>
      </c>
      <c r="AG219" s="12">
        <v>7.6244151424925564</v>
      </c>
      <c r="AH219" s="12">
        <v>1.5099957464908551</v>
      </c>
      <c r="AI219" s="12" t="s">
        <v>333</v>
      </c>
      <c r="AJ219" s="12" t="s">
        <v>333</v>
      </c>
      <c r="AK219" s="12">
        <v>7.7201190982560606</v>
      </c>
    </row>
    <row r="220" spans="1:37" x14ac:dyDescent="0.25">
      <c r="A220" s="7" t="s">
        <v>551</v>
      </c>
      <c r="B220" s="7" t="str">
        <f t="shared" si="3"/>
        <v>2768-220</v>
      </c>
      <c r="C220" s="7">
        <f>VLOOKUP(B220,'CEBAS-DEWOOD code'!A$2:B$302,2,FALSE)</f>
        <v>1043</v>
      </c>
      <c r="D220" s="7" t="str">
        <f>VLOOKUP(IONOMICS!C220,'Field Table'!A$2:E$661,3,FALSE)</f>
        <v>AA</v>
      </c>
      <c r="E220" s="7" t="str">
        <f>VLOOKUP(IONOMICS!C220,'Field Table'!A$2:E$661,4,FALSE)</f>
        <v>1</v>
      </c>
      <c r="F220" s="7" t="str">
        <f>VLOOKUP(IONOMICS!C220,'Field Table'!A$2:E$661,5,FALSE)</f>
        <v>01</v>
      </c>
      <c r="G220" s="11">
        <v>56.244218316373725</v>
      </c>
      <c r="H220" s="12" t="s">
        <v>333</v>
      </c>
      <c r="I220" s="12" t="s">
        <v>333</v>
      </c>
      <c r="J220" s="12" t="s">
        <v>333</v>
      </c>
      <c r="K220" s="12" t="s">
        <v>333</v>
      </c>
      <c r="L220" s="11">
        <v>0.27717391304347827</v>
      </c>
      <c r="M220" s="11">
        <v>0.33533765032377427</v>
      </c>
      <c r="N220" s="12" t="s">
        <v>333</v>
      </c>
      <c r="O220" s="12">
        <v>0.20814061054579092</v>
      </c>
      <c r="P220" s="12">
        <v>2.7173913043478262</v>
      </c>
      <c r="Q220" s="12">
        <v>18.027289546716005</v>
      </c>
      <c r="R220" s="12">
        <v>6.1112395929694731E-2</v>
      </c>
      <c r="S220" s="12" t="s">
        <v>333</v>
      </c>
      <c r="T220" s="12">
        <v>0.15032377428307123</v>
      </c>
      <c r="U220" s="12">
        <v>2.4248381128584642E-2</v>
      </c>
      <c r="V220" s="12">
        <v>98.635522664199812</v>
      </c>
      <c r="W220" s="12" t="s">
        <v>333</v>
      </c>
      <c r="X220" s="13">
        <v>4.1859389454209067E-4</v>
      </c>
      <c r="Y220" s="12">
        <v>0.35846438482886217</v>
      </c>
      <c r="Z220" s="12">
        <v>1.6188714153561519</v>
      </c>
      <c r="AA220" s="13">
        <v>1.3031914893617021E-2</v>
      </c>
      <c r="AB220" s="12">
        <v>1.3991674375578167</v>
      </c>
      <c r="AC220" s="12" t="s">
        <v>333</v>
      </c>
      <c r="AD220" s="12" t="s">
        <v>333</v>
      </c>
      <c r="AE220" s="12">
        <v>49.595282146160962</v>
      </c>
      <c r="AF220" s="14">
        <v>1.7275670675300649E-2</v>
      </c>
      <c r="AG220" s="12">
        <v>12.557816836262718</v>
      </c>
      <c r="AH220" s="12">
        <v>1.2950971322849212</v>
      </c>
      <c r="AI220" s="12" t="s">
        <v>333</v>
      </c>
      <c r="AJ220" s="12" t="s">
        <v>333</v>
      </c>
      <c r="AK220" s="12">
        <v>17.969472710453285</v>
      </c>
    </row>
    <row r="221" spans="1:37" x14ac:dyDescent="0.25">
      <c r="A221" s="7" t="s">
        <v>552</v>
      </c>
      <c r="B221" s="7" t="str">
        <f t="shared" si="3"/>
        <v>2768-221</v>
      </c>
      <c r="C221" s="7">
        <f>VLOOKUP(B221,'CEBAS-DEWOOD code'!A$2:B$302,2,FALSE)</f>
        <v>1017</v>
      </c>
      <c r="D221" s="7" t="str">
        <f>VLOOKUP(IONOMICS!C221,'Field Table'!A$2:E$661,3,FALSE)</f>
        <v>FS</v>
      </c>
      <c r="E221" s="7" t="str">
        <f>VLOOKUP(IONOMICS!C221,'Field Table'!A$2:E$661,4,FALSE)</f>
        <v>2</v>
      </c>
      <c r="F221" s="7" t="str">
        <f>VLOOKUP(IONOMICS!C221,'Field Table'!A$2:E$661,5,FALSE)</f>
        <v>01</v>
      </c>
      <c r="G221" s="11">
        <v>10.391225689733153</v>
      </c>
      <c r="H221" s="12">
        <v>3.3921302578018994E-2</v>
      </c>
      <c r="I221" s="12" t="s">
        <v>333</v>
      </c>
      <c r="J221" s="12" t="s">
        <v>333</v>
      </c>
      <c r="K221" s="12" t="s">
        <v>333</v>
      </c>
      <c r="L221" s="11">
        <v>0.30088195386702848</v>
      </c>
      <c r="M221" s="11">
        <v>4.5228403437358664E-2</v>
      </c>
      <c r="N221" s="12" t="s">
        <v>333</v>
      </c>
      <c r="O221" s="12">
        <v>0.27137042062415195</v>
      </c>
      <c r="P221" s="12">
        <v>2.1031207598371777</v>
      </c>
      <c r="Q221" s="12">
        <v>7.8132066938037079</v>
      </c>
      <c r="R221" s="12">
        <v>0.15061058344640435</v>
      </c>
      <c r="S221" s="12" t="s">
        <v>333</v>
      </c>
      <c r="T221" s="12">
        <v>0.35052012663952964</v>
      </c>
      <c r="U221" s="12">
        <v>3.0178652193577571E-2</v>
      </c>
      <c r="V221" s="12">
        <v>71.426956128448666</v>
      </c>
      <c r="W221" s="12" t="s">
        <v>333</v>
      </c>
      <c r="X221" s="13" t="s">
        <v>333</v>
      </c>
      <c r="Y221" s="12">
        <v>0.52012663952962457</v>
      </c>
      <c r="Z221" s="12">
        <v>0.66711895070104021</v>
      </c>
      <c r="AA221" s="13">
        <v>2.1472184531886027E-2</v>
      </c>
      <c r="AB221" s="12">
        <v>4.3419267299864313</v>
      </c>
      <c r="AC221" s="12" t="s">
        <v>333</v>
      </c>
      <c r="AD221" s="12" t="s">
        <v>333</v>
      </c>
      <c r="AE221" s="12">
        <v>487.56218905472645</v>
      </c>
      <c r="AF221" s="14">
        <v>1.8928086838534603E-2</v>
      </c>
      <c r="AG221" s="12">
        <v>18.034825870646767</v>
      </c>
      <c r="AH221" s="12">
        <v>0.55404794210764363</v>
      </c>
      <c r="AI221" s="12" t="s">
        <v>333</v>
      </c>
      <c r="AJ221" s="12" t="s">
        <v>333</v>
      </c>
      <c r="AK221" s="12">
        <v>3.8896426956128449</v>
      </c>
    </row>
    <row r="222" spans="1:37" x14ac:dyDescent="0.25">
      <c r="A222" s="7" t="s">
        <v>553</v>
      </c>
      <c r="B222" s="7" t="str">
        <f t="shared" si="3"/>
        <v>2768-222</v>
      </c>
      <c r="C222" s="7">
        <f>VLOOKUP(B222,'CEBAS-DEWOOD code'!A$2:B$302,2,FALSE)</f>
        <v>38</v>
      </c>
      <c r="D222" s="7" t="str">
        <f>VLOOKUP(IONOMICS!C222,'Field Table'!A$2:E$661,3,FALSE)</f>
        <v>AA</v>
      </c>
      <c r="E222" s="7" t="str">
        <f>VLOOKUP(IONOMICS!C222,'Field Table'!A$2:E$661,4,FALSE)</f>
        <v>2</v>
      </c>
      <c r="F222" s="7" t="str">
        <f>VLOOKUP(IONOMICS!C222,'Field Table'!A$2:E$661,5,FALSE)</f>
        <v>25</v>
      </c>
      <c r="G222" s="11">
        <v>4.4599018003273327</v>
      </c>
      <c r="H222" s="12">
        <v>0.10229132569558101</v>
      </c>
      <c r="I222" s="12" t="s">
        <v>333</v>
      </c>
      <c r="J222" s="12" t="s">
        <v>333</v>
      </c>
      <c r="K222" s="12" t="s">
        <v>333</v>
      </c>
      <c r="L222" s="11">
        <v>5.408142389525368E-2</v>
      </c>
      <c r="M222" s="11">
        <v>4.0916530278232409E-2</v>
      </c>
      <c r="N222" s="12">
        <v>1.0229132569558102E-2</v>
      </c>
      <c r="O222" s="12">
        <v>0.27618657937806873</v>
      </c>
      <c r="P222" s="12">
        <v>0.91039279869067102</v>
      </c>
      <c r="Q222" s="12">
        <v>5.0838788870703757</v>
      </c>
      <c r="R222" s="12">
        <v>0.11916939443535189</v>
      </c>
      <c r="S222" s="12" t="s">
        <v>333</v>
      </c>
      <c r="T222" s="12">
        <v>0.11252045826513911</v>
      </c>
      <c r="U222" s="12">
        <v>1.2121522094926351E-2</v>
      </c>
      <c r="V222" s="12">
        <v>17.768003273322424</v>
      </c>
      <c r="W222" s="12" t="s">
        <v>333</v>
      </c>
      <c r="X222" s="13" t="s">
        <v>333</v>
      </c>
      <c r="Y222" s="12">
        <v>0.15343698854337151</v>
      </c>
      <c r="Z222" s="12">
        <v>0.11252045826513911</v>
      </c>
      <c r="AA222" s="13">
        <v>9.5846972176759425E-4</v>
      </c>
      <c r="AB222" s="12">
        <v>2.4549918166939442</v>
      </c>
      <c r="AC222" s="12" t="s">
        <v>333</v>
      </c>
      <c r="AD222" s="12" t="s">
        <v>333</v>
      </c>
      <c r="AE222" s="12">
        <v>7.5184124386252043</v>
      </c>
      <c r="AF222" s="14">
        <v>4.9263502454991812E-3</v>
      </c>
      <c r="AG222" s="12">
        <v>3.2630932896890341</v>
      </c>
      <c r="AH222" s="12">
        <v>0.98199672667757765</v>
      </c>
      <c r="AI222" s="12" t="s">
        <v>333</v>
      </c>
      <c r="AJ222" s="12" t="s">
        <v>333</v>
      </c>
      <c r="AK222" s="12">
        <v>3.2937806873977085</v>
      </c>
    </row>
    <row r="223" spans="1:37" x14ac:dyDescent="0.25">
      <c r="A223" s="7" t="s">
        <v>554</v>
      </c>
      <c r="B223" s="7" t="str">
        <f t="shared" si="3"/>
        <v>2768-223</v>
      </c>
      <c r="C223" s="7">
        <f>VLOOKUP(B223,'CEBAS-DEWOOD code'!A$2:B$302,2,FALSE)</f>
        <v>402</v>
      </c>
      <c r="D223" s="7" t="str">
        <f>VLOOKUP(IONOMICS!C223,'Field Table'!A$2:E$661,3,FALSE)</f>
        <v>AA</v>
      </c>
      <c r="E223" s="7" t="str">
        <f>VLOOKUP(IONOMICS!C223,'Field Table'!A$2:E$661,4,FALSE)</f>
        <v>1</v>
      </c>
      <c r="F223" s="7" t="str">
        <f>VLOOKUP(IONOMICS!C223,'Field Table'!A$2:E$661,5,FALSE)</f>
        <v>10</v>
      </c>
      <c r="G223" s="11">
        <v>10.463800904977376</v>
      </c>
      <c r="H223" s="12">
        <v>4.5248868778280542E-2</v>
      </c>
      <c r="I223" s="12" t="s">
        <v>333</v>
      </c>
      <c r="J223" s="12" t="s">
        <v>333</v>
      </c>
      <c r="K223" s="12" t="s">
        <v>333</v>
      </c>
      <c r="L223" s="11">
        <v>6.876696832579185E-2</v>
      </c>
      <c r="M223" s="11">
        <v>0.10180995475113122</v>
      </c>
      <c r="N223" s="12">
        <v>3.3936651583710405E-2</v>
      </c>
      <c r="O223" s="12">
        <v>0.56561085972850678</v>
      </c>
      <c r="P223" s="12">
        <v>0.80316742081447967</v>
      </c>
      <c r="Q223" s="12">
        <v>3.1447963800904977</v>
      </c>
      <c r="R223" s="12">
        <v>0.30169683257918556</v>
      </c>
      <c r="S223" s="12" t="s">
        <v>333</v>
      </c>
      <c r="T223" s="12">
        <v>0.37330316742081449</v>
      </c>
      <c r="U223" s="12">
        <v>3.1085972850678739E-2</v>
      </c>
      <c r="V223" s="12">
        <v>36.493212669683253</v>
      </c>
      <c r="W223" s="12" t="s">
        <v>333</v>
      </c>
      <c r="X223" s="13" t="s">
        <v>333</v>
      </c>
      <c r="Y223" s="12" t="s">
        <v>333</v>
      </c>
      <c r="Z223" s="12">
        <v>0.83710407239819007</v>
      </c>
      <c r="AA223" s="13">
        <v>1.4570135746606336E-3</v>
      </c>
      <c r="AB223" s="12">
        <v>6.7986425339366514</v>
      </c>
      <c r="AC223" s="12" t="s">
        <v>333</v>
      </c>
      <c r="AD223" s="12" t="s">
        <v>333</v>
      </c>
      <c r="AE223" s="12">
        <v>19.027149321266968</v>
      </c>
      <c r="AF223" s="14">
        <v>5.5882352941176473E-3</v>
      </c>
      <c r="AG223" s="12">
        <v>3.7669683257918556</v>
      </c>
      <c r="AH223" s="12">
        <v>1.2104072398190044</v>
      </c>
      <c r="AI223" s="12" t="s">
        <v>333</v>
      </c>
      <c r="AJ223" s="12" t="s">
        <v>333</v>
      </c>
      <c r="AK223" s="12">
        <v>3.6085972850678734</v>
      </c>
    </row>
    <row r="224" spans="1:37" x14ac:dyDescent="0.25">
      <c r="A224" s="7" t="s">
        <v>555</v>
      </c>
      <c r="B224" s="7" t="str">
        <f t="shared" si="3"/>
        <v>2768-224</v>
      </c>
      <c r="C224" s="7">
        <f>VLOOKUP(B224,'CEBAS-DEWOOD code'!A$2:B$302,2,FALSE)</f>
        <v>77</v>
      </c>
      <c r="D224" s="7" t="str">
        <f>VLOOKUP(IONOMICS!C224,'Field Table'!A$2:E$661,3,FALSE)</f>
        <v>FS</v>
      </c>
      <c r="E224" s="7" t="str">
        <f>VLOOKUP(IONOMICS!C224,'Field Table'!A$2:E$661,4,FALSE)</f>
        <v>2</v>
      </c>
      <c r="F224" s="7" t="str">
        <f>VLOOKUP(IONOMICS!C224,'Field Table'!A$2:E$661,5,FALSE)</f>
        <v>25</v>
      </c>
      <c r="G224" s="11">
        <v>5.9762435040831479</v>
      </c>
      <c r="H224" s="12" t="s">
        <v>333</v>
      </c>
      <c r="I224" s="12" t="s">
        <v>333</v>
      </c>
      <c r="J224" s="12" t="s">
        <v>333</v>
      </c>
      <c r="K224" s="12" t="s">
        <v>333</v>
      </c>
      <c r="L224" s="11">
        <v>0.10866740905716409</v>
      </c>
      <c r="M224" s="11">
        <v>0.111358574610245</v>
      </c>
      <c r="N224" s="12">
        <v>5.5679287305122498E-2</v>
      </c>
      <c r="O224" s="12">
        <v>0.12991833704528583</v>
      </c>
      <c r="P224" s="12">
        <v>1.0300668151447663</v>
      </c>
      <c r="Q224" s="12">
        <v>5.1781737193763924</v>
      </c>
      <c r="R224" s="12">
        <v>0.24990720118782481</v>
      </c>
      <c r="S224" s="12" t="s">
        <v>333</v>
      </c>
      <c r="T224" s="12">
        <v>0.23199703043801043</v>
      </c>
      <c r="U224" s="12">
        <v>5.2236451373422428E-2</v>
      </c>
      <c r="V224" s="12">
        <v>49.081291759465486</v>
      </c>
      <c r="W224" s="12" t="s">
        <v>333</v>
      </c>
      <c r="X224" s="13">
        <v>1.3548626577579808E-4</v>
      </c>
      <c r="Y224" s="12">
        <v>2.050853749072012</v>
      </c>
      <c r="Z224" s="12">
        <v>5.5679287305122498E-2</v>
      </c>
      <c r="AA224" s="13">
        <v>1.1581291759465481E-2</v>
      </c>
      <c r="AB224" s="12">
        <v>9.14068299925761</v>
      </c>
      <c r="AC224" s="12" t="s">
        <v>333</v>
      </c>
      <c r="AD224" s="12" t="s">
        <v>333</v>
      </c>
      <c r="AE224" s="12">
        <v>39.708611729769864</v>
      </c>
      <c r="AF224" s="14">
        <v>1.494060876020787E-2</v>
      </c>
      <c r="AG224" s="12">
        <v>8.184855233853007</v>
      </c>
      <c r="AH224" s="12">
        <v>0.90942835931700083</v>
      </c>
      <c r="AI224" s="12" t="s">
        <v>333</v>
      </c>
      <c r="AJ224" s="12" t="s">
        <v>333</v>
      </c>
      <c r="AK224" s="12">
        <v>3.8604305864884934</v>
      </c>
    </row>
    <row r="225" spans="1:37" x14ac:dyDescent="0.25">
      <c r="A225" s="7" t="s">
        <v>556</v>
      </c>
      <c r="B225" s="7" t="str">
        <f t="shared" si="3"/>
        <v>2768-225</v>
      </c>
      <c r="C225" s="7">
        <f>VLOOKUP(B225,'CEBAS-DEWOOD code'!A$2:B$302,2,FALSE)</f>
        <v>111</v>
      </c>
      <c r="D225" s="7" t="str">
        <f>VLOOKUP(IONOMICS!C225,'Field Table'!A$2:E$661,3,FALSE)</f>
        <v>AA</v>
      </c>
      <c r="E225" s="7" t="str">
        <f>VLOOKUP(IONOMICS!C225,'Field Table'!A$2:E$661,4,FALSE)</f>
        <v>4</v>
      </c>
      <c r="F225" s="7" t="str">
        <f>VLOOKUP(IONOMICS!C225,'Field Table'!A$2:E$661,5,FALSE)</f>
        <v>25</v>
      </c>
      <c r="G225" s="11">
        <v>38.609675904180357</v>
      </c>
      <c r="H225" s="12">
        <v>7.0455612963832778E-2</v>
      </c>
      <c r="I225" s="12" t="s">
        <v>333</v>
      </c>
      <c r="J225" s="12" t="s">
        <v>333</v>
      </c>
      <c r="K225" s="12" t="s">
        <v>333</v>
      </c>
      <c r="L225" s="11">
        <v>7.2052606857679669E-2</v>
      </c>
      <c r="M225" s="11">
        <v>0.24659464537341474</v>
      </c>
      <c r="N225" s="12" t="s">
        <v>333</v>
      </c>
      <c r="O225" s="12">
        <v>2.1371535932362611</v>
      </c>
      <c r="P225" s="12">
        <v>1.385627054955378</v>
      </c>
      <c r="Q225" s="12">
        <v>22.44011272898074</v>
      </c>
      <c r="R225" s="12">
        <v>6.7402536402066698E-2</v>
      </c>
      <c r="S225" s="12" t="s">
        <v>333</v>
      </c>
      <c r="T225" s="12">
        <v>0.41099107562235793</v>
      </c>
      <c r="U225" s="12">
        <v>1.4138093001409112E-2</v>
      </c>
      <c r="V225" s="12">
        <v>38.70361672146548</v>
      </c>
      <c r="W225" s="12" t="s">
        <v>333</v>
      </c>
      <c r="X225" s="13">
        <v>4.8849224988257393E-4</v>
      </c>
      <c r="Y225" s="12">
        <v>5.8713010803193987E-2</v>
      </c>
      <c r="Z225" s="12">
        <v>0.70455612963832781</v>
      </c>
      <c r="AA225" s="13">
        <v>1.3116486613433537E-3</v>
      </c>
      <c r="AB225" s="12">
        <v>1.4443400657585721</v>
      </c>
      <c r="AC225" s="12" t="s">
        <v>333</v>
      </c>
      <c r="AD225" s="12" t="s">
        <v>333</v>
      </c>
      <c r="AE225" s="12">
        <v>97.146547674964779</v>
      </c>
      <c r="AF225" s="14">
        <v>5.6587599812118368E-3</v>
      </c>
      <c r="AG225" s="12">
        <v>5.2724283701268204</v>
      </c>
      <c r="AH225" s="12">
        <v>12.999060591827149</v>
      </c>
      <c r="AI225" s="12" t="s">
        <v>333</v>
      </c>
      <c r="AJ225" s="12" t="s">
        <v>333</v>
      </c>
      <c r="AK225" s="12">
        <v>7.8088304368248007</v>
      </c>
    </row>
    <row r="226" spans="1:37" x14ac:dyDescent="0.25">
      <c r="A226" s="7" t="s">
        <v>557</v>
      </c>
      <c r="B226" s="7" t="str">
        <f t="shared" si="3"/>
        <v>2768-226</v>
      </c>
      <c r="C226" s="7">
        <f>VLOOKUP(B226,'CEBAS-DEWOOD code'!A$2:B$302,2,FALSE)</f>
        <v>406</v>
      </c>
      <c r="D226" s="7" t="str">
        <f>VLOOKUP(IONOMICS!C226,'Field Table'!A$2:E$661,3,FALSE)</f>
        <v>AA</v>
      </c>
      <c r="E226" s="7" t="str">
        <f>VLOOKUP(IONOMICS!C226,'Field Table'!A$2:E$661,4,FALSE)</f>
        <v>4</v>
      </c>
      <c r="F226" s="7" t="str">
        <f>VLOOKUP(IONOMICS!C226,'Field Table'!A$2:E$661,5,FALSE)</f>
        <v>10</v>
      </c>
      <c r="G226" s="11">
        <v>13.728395061728394</v>
      </c>
      <c r="H226" s="12">
        <v>7.407407407407407E-2</v>
      </c>
      <c r="I226" s="12" t="s">
        <v>333</v>
      </c>
      <c r="J226" s="12" t="s">
        <v>333</v>
      </c>
      <c r="K226" s="12" t="s">
        <v>333</v>
      </c>
      <c r="L226" s="11">
        <v>0.10669135802469135</v>
      </c>
      <c r="M226" s="11">
        <v>0.50617283950617287</v>
      </c>
      <c r="N226" s="12">
        <v>2.4691358024691357E-2</v>
      </c>
      <c r="O226" s="12">
        <v>2.4691358024691357E-2</v>
      </c>
      <c r="P226" s="12">
        <v>1.6419753086419751</v>
      </c>
      <c r="Q226" s="12">
        <v>4.9382716049382713</v>
      </c>
      <c r="R226" s="12">
        <v>1.0743209876543208E-2</v>
      </c>
      <c r="S226" s="12" t="s">
        <v>333</v>
      </c>
      <c r="T226" s="12">
        <v>0.38271604938271603</v>
      </c>
      <c r="U226" s="12">
        <v>2.2209876543209873E-2</v>
      </c>
      <c r="V226" s="12">
        <v>47.617283950617278</v>
      </c>
      <c r="W226" s="12" t="s">
        <v>333</v>
      </c>
      <c r="X226" s="13" t="s">
        <v>333</v>
      </c>
      <c r="Y226" s="12">
        <v>0.77777777777777768</v>
      </c>
      <c r="Z226" s="12">
        <v>0.95061728395061729</v>
      </c>
      <c r="AA226" s="13">
        <v>8.9876543209876545E-4</v>
      </c>
      <c r="AB226" s="12">
        <v>0.66666666666666663</v>
      </c>
      <c r="AC226" s="12" t="s">
        <v>333</v>
      </c>
      <c r="AD226" s="12" t="s">
        <v>333</v>
      </c>
      <c r="AE226" s="12">
        <v>2787.654320987654</v>
      </c>
      <c r="AF226" s="14">
        <v>6.4802469135802464E-3</v>
      </c>
      <c r="AG226" s="12">
        <v>7.4074074074074066</v>
      </c>
      <c r="AH226" s="12">
        <v>0.38271604938271603</v>
      </c>
      <c r="AI226" s="12" t="s">
        <v>333</v>
      </c>
      <c r="AJ226" s="12" t="s">
        <v>333</v>
      </c>
      <c r="AK226" s="12">
        <v>6.8765432098765435</v>
      </c>
    </row>
    <row r="227" spans="1:37" x14ac:dyDescent="0.25">
      <c r="A227" s="7" t="s">
        <v>558</v>
      </c>
      <c r="B227" s="7" t="str">
        <f t="shared" si="3"/>
        <v>2768-227</v>
      </c>
      <c r="C227" s="7">
        <f>VLOOKUP(B227,'CEBAS-DEWOOD code'!A$2:B$302,2,FALSE)</f>
        <v>392</v>
      </c>
      <c r="D227" s="7" t="str">
        <f>VLOOKUP(IONOMICS!C227,'Field Table'!A$2:E$661,3,FALSE)</f>
        <v>FS</v>
      </c>
      <c r="E227" s="7" t="str">
        <f>VLOOKUP(IONOMICS!C227,'Field Table'!A$2:E$661,4,FALSE)</f>
        <v>2</v>
      </c>
      <c r="F227" s="7" t="str">
        <f>VLOOKUP(IONOMICS!C227,'Field Table'!A$2:E$661,5,FALSE)</f>
        <v>10</v>
      </c>
      <c r="G227" s="11">
        <v>3.1986190089358244</v>
      </c>
      <c r="H227" s="12">
        <v>0.14216084484159219</v>
      </c>
      <c r="I227" s="12" t="s">
        <v>333</v>
      </c>
      <c r="J227" s="12" t="s">
        <v>333</v>
      </c>
      <c r="K227" s="12" t="s">
        <v>333</v>
      </c>
      <c r="L227" s="11">
        <v>0.10824532900081235</v>
      </c>
      <c r="M227" s="11">
        <v>6.0926076360682369E-2</v>
      </c>
      <c r="N227" s="12">
        <v>6.0926076360682369E-2</v>
      </c>
      <c r="O227" s="12">
        <v>7.1080422420796097E-2</v>
      </c>
      <c r="P227" s="12">
        <v>1.5637692932575142</v>
      </c>
      <c r="Q227" s="12">
        <v>5.4427294882209587</v>
      </c>
      <c r="R227" s="12">
        <v>8.2229894394800981E-2</v>
      </c>
      <c r="S227" s="12" t="s">
        <v>333</v>
      </c>
      <c r="T227" s="12">
        <v>0.3960194963444354</v>
      </c>
      <c r="U227" s="12">
        <v>6.6186027619821286E-2</v>
      </c>
      <c r="V227" s="12">
        <v>40.77985377741674</v>
      </c>
      <c r="W227" s="12" t="s">
        <v>333</v>
      </c>
      <c r="X227" s="13" t="s">
        <v>333</v>
      </c>
      <c r="Y227" s="12">
        <v>1.7770105605199027</v>
      </c>
      <c r="Z227" s="12">
        <v>0.31478472786352557</v>
      </c>
      <c r="AA227" s="13">
        <v>5.0731112916328185E-3</v>
      </c>
      <c r="AB227" s="12">
        <v>2.7822908204711618</v>
      </c>
      <c r="AC227" s="12" t="s">
        <v>333</v>
      </c>
      <c r="AD227" s="12" t="s">
        <v>333</v>
      </c>
      <c r="AE227" s="12">
        <v>1358.6515028432168</v>
      </c>
      <c r="AF227" s="14">
        <v>1.0438667749796914E-2</v>
      </c>
      <c r="AG227" s="12">
        <v>9.6161657189277019</v>
      </c>
      <c r="AH227" s="12">
        <v>0.34524776604386676</v>
      </c>
      <c r="AI227" s="12" t="s">
        <v>333</v>
      </c>
      <c r="AJ227" s="12" t="s">
        <v>333</v>
      </c>
      <c r="AK227" s="12">
        <v>2.1222583265637693</v>
      </c>
    </row>
    <row r="228" spans="1:37" x14ac:dyDescent="0.25">
      <c r="A228" s="7" t="s">
        <v>559</v>
      </c>
      <c r="B228" s="7" t="str">
        <f t="shared" si="3"/>
        <v>2768-228</v>
      </c>
      <c r="C228" s="7">
        <f>VLOOKUP(B228,'CEBAS-DEWOOD code'!A$2:B$302,2,FALSE)</f>
        <v>154</v>
      </c>
      <c r="D228" s="7" t="str">
        <f>VLOOKUP(IONOMICS!C228,'Field Table'!A$2:E$661,3,FALSE)</f>
        <v>AA</v>
      </c>
      <c r="E228" s="7" t="str">
        <f>VLOOKUP(IONOMICS!C228,'Field Table'!A$2:E$661,4,FALSE)</f>
        <v>4</v>
      </c>
      <c r="F228" s="7" t="str">
        <f>VLOOKUP(IONOMICS!C228,'Field Table'!A$2:E$661,5,FALSE)</f>
        <v>10</v>
      </c>
      <c r="G228" s="11">
        <v>23.222277473893584</v>
      </c>
      <c r="H228" s="12" t="s">
        <v>333</v>
      </c>
      <c r="I228" s="12" t="s">
        <v>333</v>
      </c>
      <c r="J228" s="12" t="s">
        <v>333</v>
      </c>
      <c r="K228" s="12" t="s">
        <v>333</v>
      </c>
      <c r="L228" s="11">
        <v>7.4254102436598704E-2</v>
      </c>
      <c r="M228" s="11" t="s">
        <v>333</v>
      </c>
      <c r="N228" s="12" t="s">
        <v>333</v>
      </c>
      <c r="O228" s="12" t="s">
        <v>333</v>
      </c>
      <c r="P228" s="12">
        <v>0.8577821979114868</v>
      </c>
      <c r="Q228" s="12">
        <v>7.0238687220288414</v>
      </c>
      <c r="R228" s="12">
        <v>7.0350571854798608E-2</v>
      </c>
      <c r="S228" s="12" t="s">
        <v>333</v>
      </c>
      <c r="T228" s="12" t="s">
        <v>333</v>
      </c>
      <c r="U228" s="12">
        <v>1.6894579811039284E-2</v>
      </c>
      <c r="V228" s="12">
        <v>31.539035305817997</v>
      </c>
      <c r="W228" s="12" t="s">
        <v>333</v>
      </c>
      <c r="X228" s="13">
        <v>3.505718547986077E-4</v>
      </c>
      <c r="Y228" s="12" t="s">
        <v>333</v>
      </c>
      <c r="Z228" s="12">
        <v>0.17404276479363498</v>
      </c>
      <c r="AA228" s="13">
        <v>4.6693187468920929E-3</v>
      </c>
      <c r="AB228" s="12">
        <v>2.026355047240179</v>
      </c>
      <c r="AC228" s="12">
        <v>0.23620089507707609</v>
      </c>
      <c r="AD228" s="12" t="s">
        <v>333</v>
      </c>
      <c r="AE228" s="12">
        <v>30.271009448035802</v>
      </c>
      <c r="AF228" s="14">
        <v>6.6907011437095975E-3</v>
      </c>
      <c r="AG228" s="12">
        <v>3.667329686723023</v>
      </c>
      <c r="AH228" s="12">
        <v>0.55942317255096963</v>
      </c>
      <c r="AI228" s="12">
        <v>0.57185479860765787</v>
      </c>
      <c r="AJ228" s="12" t="s">
        <v>333</v>
      </c>
      <c r="AK228" s="12">
        <v>4.0900049726504228</v>
      </c>
    </row>
    <row r="229" spans="1:37" x14ac:dyDescent="0.25">
      <c r="A229" s="7" t="s">
        <v>560</v>
      </c>
      <c r="B229" s="7" t="str">
        <f t="shared" si="3"/>
        <v>2768-229</v>
      </c>
      <c r="C229" s="7">
        <f>VLOOKUP(B229,'CEBAS-DEWOOD code'!A$2:B$302,2,FALSE)</f>
        <v>1084</v>
      </c>
      <c r="D229" s="7" t="str">
        <f>VLOOKUP(IONOMICS!C229,'Field Table'!A$2:E$661,3,FALSE)</f>
        <v>FS</v>
      </c>
      <c r="E229" s="7" t="str">
        <f>VLOOKUP(IONOMICS!C229,'Field Table'!A$2:E$661,4,FALSE)</f>
        <v>4</v>
      </c>
      <c r="F229" s="7" t="str">
        <f>VLOOKUP(IONOMICS!C229,'Field Table'!A$2:E$661,5,FALSE)</f>
        <v>01</v>
      </c>
      <c r="G229" s="11">
        <v>11.136999068033552</v>
      </c>
      <c r="H229" s="12" t="s">
        <v>333</v>
      </c>
      <c r="I229" s="12" t="s">
        <v>333</v>
      </c>
      <c r="J229" s="12" t="s">
        <v>333</v>
      </c>
      <c r="K229" s="12" t="s">
        <v>333</v>
      </c>
      <c r="L229" s="11">
        <v>0.30055917986952468</v>
      </c>
      <c r="M229" s="11" t="s">
        <v>333</v>
      </c>
      <c r="N229" s="12" t="s">
        <v>333</v>
      </c>
      <c r="O229" s="12" t="s">
        <v>333</v>
      </c>
      <c r="P229" s="12">
        <v>1.8755824790307547</v>
      </c>
      <c r="Q229" s="12">
        <v>8.6090400745573152</v>
      </c>
      <c r="R229" s="12">
        <v>8.5216682199440827E-2</v>
      </c>
      <c r="S229" s="12" t="s">
        <v>333</v>
      </c>
      <c r="T229" s="12" t="s">
        <v>333</v>
      </c>
      <c r="U229" s="12">
        <v>2.1062441752096928E-2</v>
      </c>
      <c r="V229" s="12">
        <v>79.566635601118364</v>
      </c>
      <c r="W229" s="12" t="s">
        <v>333</v>
      </c>
      <c r="X229" s="13">
        <v>3.9958061509785646E-4</v>
      </c>
      <c r="Y229" s="12">
        <v>0.72227399813606707</v>
      </c>
      <c r="Z229" s="12">
        <v>1.4095992544268405</v>
      </c>
      <c r="AA229" s="13">
        <v>1.5866728797763283E-2</v>
      </c>
      <c r="AB229" s="12">
        <v>1.8755824790307547</v>
      </c>
      <c r="AC229" s="12" t="s">
        <v>333</v>
      </c>
      <c r="AD229" s="12" t="s">
        <v>333</v>
      </c>
      <c r="AE229" s="12">
        <v>604.03075489282378</v>
      </c>
      <c r="AF229" s="14">
        <v>1.7870456663560113E-2</v>
      </c>
      <c r="AG229" s="12">
        <v>20.701304753028889</v>
      </c>
      <c r="AH229" s="12">
        <v>0.46598322460391428</v>
      </c>
      <c r="AI229" s="12">
        <v>3.9492078285181731</v>
      </c>
      <c r="AJ229" s="12" t="s">
        <v>333</v>
      </c>
      <c r="AK229" s="12">
        <v>6.9897483690587139</v>
      </c>
    </row>
    <row r="230" spans="1:37" x14ac:dyDescent="0.25">
      <c r="A230" s="7" t="s">
        <v>561</v>
      </c>
      <c r="B230" s="7" t="str">
        <f t="shared" si="3"/>
        <v>2768-230</v>
      </c>
      <c r="C230" s="7">
        <f>VLOOKUP(B230,'CEBAS-DEWOOD code'!A$2:B$302,2,FALSE)</f>
        <v>43</v>
      </c>
      <c r="D230" s="7" t="str">
        <f>VLOOKUP(IONOMICS!C230,'Field Table'!A$2:E$661,3,FALSE)</f>
        <v>AA</v>
      </c>
      <c r="E230" s="7" t="str">
        <f>VLOOKUP(IONOMICS!C230,'Field Table'!A$2:E$661,4,FALSE)</f>
        <v>1</v>
      </c>
      <c r="F230" s="7" t="str">
        <f>VLOOKUP(IONOMICS!C230,'Field Table'!A$2:E$661,5,FALSE)</f>
        <v>10</v>
      </c>
      <c r="G230" s="11">
        <v>28.471350899205348</v>
      </c>
      <c r="H230" s="12" t="s">
        <v>333</v>
      </c>
      <c r="I230" s="12" t="s">
        <v>333</v>
      </c>
      <c r="J230" s="12" t="s">
        <v>333</v>
      </c>
      <c r="K230" s="12" t="s">
        <v>333</v>
      </c>
      <c r="L230" s="11">
        <v>0.11334169803429527</v>
      </c>
      <c r="M230" s="11">
        <v>9.4102885821831864E-2</v>
      </c>
      <c r="N230" s="12" t="s">
        <v>333</v>
      </c>
      <c r="O230" s="12">
        <v>0.42869092429945632</v>
      </c>
      <c r="P230" s="12">
        <v>1.1501463822668339</v>
      </c>
      <c r="Q230" s="12">
        <v>9.7135089920535336</v>
      </c>
      <c r="R230" s="12">
        <v>8.7672521957340016E-2</v>
      </c>
      <c r="S230" s="12" t="s">
        <v>333</v>
      </c>
      <c r="T230" s="12" t="s">
        <v>333</v>
      </c>
      <c r="U230" s="12">
        <v>1.5809284818067752E-2</v>
      </c>
      <c r="V230" s="12">
        <v>54.318276871601832</v>
      </c>
      <c r="W230" s="12" t="s">
        <v>333</v>
      </c>
      <c r="X230" s="13">
        <v>4.0882475951484735E-4</v>
      </c>
      <c r="Y230" s="12">
        <v>6.2735257214554571E-2</v>
      </c>
      <c r="Z230" s="12">
        <v>0.62735257214554574</v>
      </c>
      <c r="AA230" s="13">
        <v>5.2028439983270603E-3</v>
      </c>
      <c r="AB230" s="12">
        <v>1.589293182768716</v>
      </c>
      <c r="AC230" s="12">
        <v>8.3647009619406104E-2</v>
      </c>
      <c r="AD230" s="12" t="s">
        <v>333</v>
      </c>
      <c r="AE230" s="12">
        <v>21.068590547887915</v>
      </c>
      <c r="AF230" s="14">
        <v>8.3741112505227918E-3</v>
      </c>
      <c r="AG230" s="12">
        <v>5.7193642827268922</v>
      </c>
      <c r="AH230" s="12">
        <v>0.63780844834797157</v>
      </c>
      <c r="AI230" s="12">
        <v>2.2898368883312421</v>
      </c>
      <c r="AJ230" s="12" t="s">
        <v>333</v>
      </c>
      <c r="AK230" s="12">
        <v>10.173567544960267</v>
      </c>
    </row>
    <row r="231" spans="1:37" x14ac:dyDescent="0.25">
      <c r="A231" s="7" t="s">
        <v>562</v>
      </c>
      <c r="B231" s="7" t="str">
        <f t="shared" si="3"/>
        <v>2768-231</v>
      </c>
      <c r="C231" s="7">
        <f>VLOOKUP(B231,'CEBAS-DEWOOD code'!A$2:B$302,2,FALSE)</f>
        <v>1049</v>
      </c>
      <c r="D231" s="7" t="str">
        <f>VLOOKUP(IONOMICS!C231,'Field Table'!A$2:E$661,3,FALSE)</f>
        <v>AA</v>
      </c>
      <c r="E231" s="7" t="str">
        <f>VLOOKUP(IONOMICS!C231,'Field Table'!A$2:E$661,4,FALSE)</f>
        <v>1</v>
      </c>
      <c r="F231" s="7" t="str">
        <f>VLOOKUP(IONOMICS!C231,'Field Table'!A$2:E$661,5,FALSE)</f>
        <v>01</v>
      </c>
      <c r="G231" s="11">
        <v>48.985003657644477</v>
      </c>
      <c r="H231" s="12" t="s">
        <v>333</v>
      </c>
      <c r="I231" s="12" t="s">
        <v>333</v>
      </c>
      <c r="J231" s="12" t="s">
        <v>333</v>
      </c>
      <c r="K231" s="12" t="s">
        <v>333</v>
      </c>
      <c r="L231" s="11">
        <v>0.14676298463789322</v>
      </c>
      <c r="M231" s="11">
        <v>9.1441111923921015E-2</v>
      </c>
      <c r="N231" s="12" t="s">
        <v>333</v>
      </c>
      <c r="O231" s="12">
        <v>9.1441111923921004E-3</v>
      </c>
      <c r="P231" s="12">
        <v>2.6700804681784933</v>
      </c>
      <c r="Q231" s="12">
        <v>19.056327724945138</v>
      </c>
      <c r="R231" s="12">
        <v>0.13496708119970741</v>
      </c>
      <c r="S231" s="12" t="s">
        <v>333</v>
      </c>
      <c r="T231" s="12" t="s">
        <v>333</v>
      </c>
      <c r="U231" s="12">
        <v>2.4945135332845651E-2</v>
      </c>
      <c r="V231" s="12">
        <v>103.6027798098025</v>
      </c>
      <c r="W231" s="12" t="s">
        <v>333</v>
      </c>
      <c r="X231" s="13">
        <v>4.3068763716166795E-4</v>
      </c>
      <c r="Y231" s="12" t="s">
        <v>333</v>
      </c>
      <c r="Z231" s="12">
        <v>0.33833211411850772</v>
      </c>
      <c r="AA231" s="13">
        <v>2.0089612289685446E-2</v>
      </c>
      <c r="AB231" s="12">
        <v>2.5329188002926117</v>
      </c>
      <c r="AC231" s="12">
        <v>4.5720555961960507E-2</v>
      </c>
      <c r="AD231" s="12" t="s">
        <v>333</v>
      </c>
      <c r="AE231" s="12">
        <v>65.682150694952455</v>
      </c>
      <c r="AF231" s="14">
        <v>1.3844184345281641E-2</v>
      </c>
      <c r="AG231" s="12">
        <v>6.5929041697147044</v>
      </c>
      <c r="AH231" s="12">
        <v>1.4356254572055596</v>
      </c>
      <c r="AI231" s="12">
        <v>5.31272860277981</v>
      </c>
      <c r="AJ231" s="12" t="s">
        <v>333</v>
      </c>
      <c r="AK231" s="12">
        <v>11.631309436722752</v>
      </c>
    </row>
    <row r="232" spans="1:37" x14ac:dyDescent="0.25">
      <c r="A232" s="7" t="s">
        <v>563</v>
      </c>
      <c r="B232" s="7" t="str">
        <f t="shared" si="3"/>
        <v>2768-232</v>
      </c>
      <c r="C232" s="7">
        <f>VLOOKUP(B232,'CEBAS-DEWOOD code'!A$2:B$302,2,FALSE)</f>
        <v>48</v>
      </c>
      <c r="D232" s="7" t="str">
        <f>VLOOKUP(IONOMICS!C232,'Field Table'!A$2:E$661,3,FALSE)</f>
        <v>FS</v>
      </c>
      <c r="E232" s="7" t="str">
        <f>VLOOKUP(IONOMICS!C232,'Field Table'!A$2:E$661,4,FALSE)</f>
        <v>4</v>
      </c>
      <c r="F232" s="7" t="str">
        <f>VLOOKUP(IONOMICS!C232,'Field Table'!A$2:E$661,5,FALSE)</f>
        <v>10</v>
      </c>
      <c r="G232" s="11">
        <v>91.617647058823522</v>
      </c>
      <c r="H232" s="12" t="s">
        <v>333</v>
      </c>
      <c r="I232" s="12" t="s">
        <v>333</v>
      </c>
      <c r="J232" s="12" t="s">
        <v>333</v>
      </c>
      <c r="K232" s="12" t="s">
        <v>333</v>
      </c>
      <c r="L232" s="11">
        <v>0.50565610859728516</v>
      </c>
      <c r="M232" s="11" t="s">
        <v>333</v>
      </c>
      <c r="N232" s="12" t="s">
        <v>333</v>
      </c>
      <c r="O232" s="12">
        <v>0.26018099547511309</v>
      </c>
      <c r="P232" s="12">
        <v>2.8167420814479636</v>
      </c>
      <c r="Q232" s="12">
        <v>72.398190045248867</v>
      </c>
      <c r="R232" s="12">
        <v>7.8178733031674191E-2</v>
      </c>
      <c r="S232" s="12" t="s">
        <v>333</v>
      </c>
      <c r="T232" s="12" t="s">
        <v>333</v>
      </c>
      <c r="U232" s="12">
        <v>9.3665158371040724E-2</v>
      </c>
      <c r="V232" s="12">
        <v>129.07239819004525</v>
      </c>
      <c r="W232" s="12" t="s">
        <v>333</v>
      </c>
      <c r="X232" s="13">
        <v>9.4004524886877815E-4</v>
      </c>
      <c r="Y232" s="12">
        <v>0.96153846153846168</v>
      </c>
      <c r="Z232" s="12">
        <v>0.39592760180995479</v>
      </c>
      <c r="AA232" s="13">
        <v>2.8223981900452489E-2</v>
      </c>
      <c r="AB232" s="12">
        <v>1.1877828054298643</v>
      </c>
      <c r="AC232" s="12" t="s">
        <v>333</v>
      </c>
      <c r="AD232" s="12" t="s">
        <v>333</v>
      </c>
      <c r="AE232" s="12">
        <v>152.82805429864251</v>
      </c>
      <c r="AF232" s="14">
        <v>2.7828054298642536E-2</v>
      </c>
      <c r="AG232" s="12">
        <v>25.904977375565615</v>
      </c>
      <c r="AH232" s="12">
        <v>5.9615384615384608</v>
      </c>
      <c r="AI232" s="12">
        <v>17.420814479638008</v>
      </c>
      <c r="AJ232" s="12" t="s">
        <v>333</v>
      </c>
      <c r="AK232" s="12">
        <v>6.7194570135746607</v>
      </c>
    </row>
    <row r="233" spans="1:37" x14ac:dyDescent="0.25">
      <c r="A233" s="7" t="s">
        <v>564</v>
      </c>
      <c r="B233" s="7" t="str">
        <f t="shared" si="3"/>
        <v>2768-233</v>
      </c>
      <c r="C233" s="7">
        <f>VLOOKUP(B233,'CEBAS-DEWOOD code'!A$2:B$302,2,FALSE)</f>
        <v>1018</v>
      </c>
      <c r="D233" s="7" t="str">
        <f>VLOOKUP(IONOMICS!C233,'Field Table'!A$2:E$661,3,FALSE)</f>
        <v>FS</v>
      </c>
      <c r="E233" s="7" t="str">
        <f>VLOOKUP(IONOMICS!C233,'Field Table'!A$2:E$661,4,FALSE)</f>
        <v>4</v>
      </c>
      <c r="F233" s="7" t="str">
        <f>VLOOKUP(IONOMICS!C233,'Field Table'!A$2:E$661,5,FALSE)</f>
        <v>01</v>
      </c>
      <c r="G233" s="11">
        <v>9.0271055179090034</v>
      </c>
      <c r="H233" s="12" t="s">
        <v>333</v>
      </c>
      <c r="I233" s="12" t="s">
        <v>333</v>
      </c>
      <c r="J233" s="12" t="s">
        <v>333</v>
      </c>
      <c r="K233" s="12" t="s">
        <v>333</v>
      </c>
      <c r="L233" s="11">
        <v>0.23027589545014523</v>
      </c>
      <c r="M233" s="11" t="s">
        <v>333</v>
      </c>
      <c r="N233" s="12" t="s">
        <v>333</v>
      </c>
      <c r="O233" s="12" t="s">
        <v>333</v>
      </c>
      <c r="P233" s="12">
        <v>1.3310745401742496</v>
      </c>
      <c r="Q233" s="12">
        <v>6.3407550822846082</v>
      </c>
      <c r="R233" s="12">
        <v>4.0004840271055178E-2</v>
      </c>
      <c r="S233" s="12" t="s">
        <v>333</v>
      </c>
      <c r="T233" s="12" t="s">
        <v>333</v>
      </c>
      <c r="U233" s="12">
        <v>2.4951597289448207E-2</v>
      </c>
      <c r="V233" s="12">
        <v>99.624878993223618</v>
      </c>
      <c r="W233" s="12" t="s">
        <v>333</v>
      </c>
      <c r="X233" s="13">
        <v>2.2386253630203291E-4</v>
      </c>
      <c r="Y233" s="12">
        <v>0.12100677637947725</v>
      </c>
      <c r="Z233" s="12">
        <v>0.36302032913843174</v>
      </c>
      <c r="AA233" s="13">
        <v>1.1916747337850921E-2</v>
      </c>
      <c r="AB233" s="12">
        <v>0.38722168441432719</v>
      </c>
      <c r="AC233" s="12" t="s">
        <v>333</v>
      </c>
      <c r="AD233" s="12" t="s">
        <v>333</v>
      </c>
      <c r="AE233" s="12">
        <v>180.30009680542111</v>
      </c>
      <c r="AF233" s="14">
        <v>1.4351403678606E-2</v>
      </c>
      <c r="AG233" s="12">
        <v>13.395450145208132</v>
      </c>
      <c r="AH233" s="12">
        <v>0.35091965150048399</v>
      </c>
      <c r="AI233" s="12">
        <v>5.9293320425943854</v>
      </c>
      <c r="AJ233" s="12" t="s">
        <v>333</v>
      </c>
      <c r="AK233" s="12">
        <v>7.5266214908034845</v>
      </c>
    </row>
    <row r="234" spans="1:37" x14ac:dyDescent="0.25">
      <c r="A234" s="7" t="s">
        <v>565</v>
      </c>
      <c r="B234" s="7" t="str">
        <f t="shared" si="3"/>
        <v>2768-234</v>
      </c>
      <c r="C234" s="7">
        <f>VLOOKUP(B234,'CEBAS-DEWOOD code'!A$2:B$302,2,FALSE)</f>
        <v>394</v>
      </c>
      <c r="D234" s="7" t="str">
        <f>VLOOKUP(IONOMICS!C234,'Field Table'!A$2:E$661,3,FALSE)</f>
        <v>FS</v>
      </c>
      <c r="E234" s="7" t="str">
        <f>VLOOKUP(IONOMICS!C234,'Field Table'!A$2:E$661,4,FALSE)</f>
        <v>4</v>
      </c>
      <c r="F234" s="7" t="str">
        <f>VLOOKUP(IONOMICS!C234,'Field Table'!A$2:E$661,5,FALSE)</f>
        <v>10</v>
      </c>
      <c r="G234" s="11">
        <v>10.552913198573126</v>
      </c>
      <c r="H234" s="12" t="s">
        <v>333</v>
      </c>
      <c r="I234" s="12" t="s">
        <v>333</v>
      </c>
      <c r="J234" s="12" t="s">
        <v>333</v>
      </c>
      <c r="K234" s="12" t="s">
        <v>333</v>
      </c>
      <c r="L234" s="11">
        <v>0.16300039635354735</v>
      </c>
      <c r="M234" s="11">
        <v>1.9817677368212445E-2</v>
      </c>
      <c r="N234" s="12" t="s">
        <v>333</v>
      </c>
      <c r="O234" s="12">
        <v>7.9270709472849782E-2</v>
      </c>
      <c r="P234" s="12">
        <v>4.9445105033690053</v>
      </c>
      <c r="Q234" s="12">
        <v>8.0856123662306771</v>
      </c>
      <c r="R234" s="12">
        <v>1.0156559651208876E-2</v>
      </c>
      <c r="S234" s="12" t="s">
        <v>333</v>
      </c>
      <c r="T234" s="12" t="s">
        <v>333</v>
      </c>
      <c r="U234" s="12">
        <v>8.8040031708283787E-3</v>
      </c>
      <c r="V234" s="12">
        <v>98.4244946492271</v>
      </c>
      <c r="W234" s="12" t="s">
        <v>333</v>
      </c>
      <c r="X234" s="13">
        <v>6.5596512088783186E-4</v>
      </c>
      <c r="Y234" s="12">
        <v>1.6250495441934205</v>
      </c>
      <c r="Z234" s="12">
        <v>0.28735632183908039</v>
      </c>
      <c r="AA234" s="13">
        <v>5.9988109393579068E-3</v>
      </c>
      <c r="AB234" s="12">
        <v>0.16845025762980576</v>
      </c>
      <c r="AC234" s="12">
        <v>1.9817677368212445E-2</v>
      </c>
      <c r="AD234" s="12" t="s">
        <v>333</v>
      </c>
      <c r="AE234" s="12">
        <v>29.904875148632577</v>
      </c>
      <c r="AF234" s="14">
        <v>1.7627824019024969E-2</v>
      </c>
      <c r="AG234" s="12">
        <v>14.189456995640111</v>
      </c>
      <c r="AH234" s="12">
        <v>1.4565992865636146</v>
      </c>
      <c r="AI234" s="12">
        <v>2.536662703131193</v>
      </c>
      <c r="AJ234" s="12" t="s">
        <v>333</v>
      </c>
      <c r="AK234" s="12">
        <v>4.8156956004756228</v>
      </c>
    </row>
    <row r="235" spans="1:37" x14ac:dyDescent="0.25">
      <c r="A235" s="7" t="s">
        <v>566</v>
      </c>
      <c r="B235" s="7" t="str">
        <f t="shared" si="3"/>
        <v>2768-235</v>
      </c>
      <c r="C235" s="7">
        <f>VLOOKUP(B235,'CEBAS-DEWOOD code'!A$2:B$302,2,FALSE)</f>
        <v>1009</v>
      </c>
      <c r="D235" s="7" t="str">
        <f>VLOOKUP(IONOMICS!C235,'Field Table'!A$2:E$661,3,FALSE)</f>
        <v>AA</v>
      </c>
      <c r="E235" s="7" t="str">
        <f>VLOOKUP(IONOMICS!C235,'Field Table'!A$2:E$661,4,FALSE)</f>
        <v>4</v>
      </c>
      <c r="F235" s="7" t="str">
        <f>VLOOKUP(IONOMICS!C235,'Field Table'!A$2:E$661,5,FALSE)</f>
        <v>01</v>
      </c>
      <c r="G235" s="11">
        <v>35.341685649202738</v>
      </c>
      <c r="H235" s="12" t="s">
        <v>333</v>
      </c>
      <c r="I235" s="12" t="s">
        <v>333</v>
      </c>
      <c r="J235" s="12" t="s">
        <v>333</v>
      </c>
      <c r="K235" s="12" t="s">
        <v>333</v>
      </c>
      <c r="L235" s="11">
        <v>0.17927107061503419</v>
      </c>
      <c r="M235" s="11" t="s">
        <v>333</v>
      </c>
      <c r="N235" s="12" t="s">
        <v>333</v>
      </c>
      <c r="O235" s="12" t="s">
        <v>333</v>
      </c>
      <c r="P235" s="12">
        <v>3.2687927107061503</v>
      </c>
      <c r="Q235" s="12">
        <v>12.813211845102506</v>
      </c>
      <c r="R235" s="12">
        <v>5.5330296127562642E-2</v>
      </c>
      <c r="S235" s="12" t="s">
        <v>333</v>
      </c>
      <c r="T235" s="12" t="s">
        <v>333</v>
      </c>
      <c r="U235" s="12">
        <v>3.0979498861047838E-2</v>
      </c>
      <c r="V235" s="12">
        <v>75.05694760820046</v>
      </c>
      <c r="W235" s="12" t="s">
        <v>333</v>
      </c>
      <c r="X235" s="13">
        <v>4.1457858769931665E-4</v>
      </c>
      <c r="Y235" s="12" t="s">
        <v>333</v>
      </c>
      <c r="Z235" s="12">
        <v>0.22779043280182235</v>
      </c>
      <c r="AA235" s="13">
        <v>8.7266514806378145E-3</v>
      </c>
      <c r="AB235" s="12">
        <v>1.1503416856492028</v>
      </c>
      <c r="AC235" s="12" t="s">
        <v>333</v>
      </c>
      <c r="AD235" s="12" t="s">
        <v>333</v>
      </c>
      <c r="AE235" s="12">
        <v>36.833712984054671</v>
      </c>
      <c r="AF235" s="14">
        <v>1.3337129840546696E-2</v>
      </c>
      <c r="AG235" s="12">
        <v>7.425968109339407</v>
      </c>
      <c r="AH235" s="12">
        <v>0.79726651480637822</v>
      </c>
      <c r="AI235" s="12">
        <v>5.9794988610478361</v>
      </c>
      <c r="AJ235" s="12" t="s">
        <v>333</v>
      </c>
      <c r="AK235" s="12">
        <v>12.300683371298406</v>
      </c>
    </row>
    <row r="236" spans="1:37" x14ac:dyDescent="0.25">
      <c r="A236" s="7" t="s">
        <v>567</v>
      </c>
      <c r="B236" s="7" t="str">
        <f t="shared" si="3"/>
        <v>2768-236</v>
      </c>
      <c r="C236" s="7">
        <f>VLOOKUP(B236,'CEBAS-DEWOOD code'!A$2:B$302,2,FALSE)</f>
        <v>112</v>
      </c>
      <c r="D236" s="7" t="str">
        <f>VLOOKUP(IONOMICS!C236,'Field Table'!A$2:E$661,3,FALSE)</f>
        <v>FS</v>
      </c>
      <c r="E236" s="7" t="str">
        <f>VLOOKUP(IONOMICS!C236,'Field Table'!A$2:E$661,4,FALSE)</f>
        <v>1</v>
      </c>
      <c r="F236" s="7" t="str">
        <f>VLOOKUP(IONOMICS!C236,'Field Table'!A$2:E$661,5,FALSE)</f>
        <v>25</v>
      </c>
      <c r="G236" s="11">
        <v>22.331574675324674</v>
      </c>
      <c r="H236" s="12" t="s">
        <v>333</v>
      </c>
      <c r="I236" s="12" t="s">
        <v>333</v>
      </c>
      <c r="J236" s="12" t="s">
        <v>333</v>
      </c>
      <c r="K236" s="12" t="s">
        <v>333</v>
      </c>
      <c r="L236" s="11">
        <v>0.1542207792207792</v>
      </c>
      <c r="M236" s="11" t="s">
        <v>333</v>
      </c>
      <c r="N236" s="12" t="s">
        <v>333</v>
      </c>
      <c r="O236" s="12" t="s">
        <v>333</v>
      </c>
      <c r="P236" s="12">
        <v>0.62905844155844148</v>
      </c>
      <c r="Q236" s="12">
        <v>17.928165584415581</v>
      </c>
      <c r="R236" s="12">
        <v>5.172483766233766E-2</v>
      </c>
      <c r="S236" s="12" t="s">
        <v>333</v>
      </c>
      <c r="T236" s="12" t="s">
        <v>333</v>
      </c>
      <c r="U236" s="12">
        <v>1.7654220779220776E-2</v>
      </c>
      <c r="V236" s="12">
        <v>64.742288961038966</v>
      </c>
      <c r="W236" s="12" t="s">
        <v>333</v>
      </c>
      <c r="X236" s="13" t="s">
        <v>333</v>
      </c>
      <c r="Y236" s="12">
        <v>1.1972402597402596</v>
      </c>
      <c r="Z236" s="12">
        <v>0.11160714285714285</v>
      </c>
      <c r="AA236" s="13">
        <v>2.6095779220779219E-3</v>
      </c>
      <c r="AB236" s="12">
        <v>1.4711850649350651</v>
      </c>
      <c r="AC236" s="12" t="s">
        <v>333</v>
      </c>
      <c r="AD236" s="12" t="s">
        <v>333</v>
      </c>
      <c r="AE236" s="12">
        <v>41.355519480519483</v>
      </c>
      <c r="AF236" s="14">
        <v>1.0988230519480519E-2</v>
      </c>
      <c r="AG236" s="12">
        <v>11.262175324675324</v>
      </c>
      <c r="AH236" s="12">
        <v>10.80560064935065</v>
      </c>
      <c r="AI236" s="12">
        <v>2.7191558441558441</v>
      </c>
      <c r="AJ236" s="12" t="s">
        <v>333</v>
      </c>
      <c r="AK236" s="12">
        <v>1.8364448051948052</v>
      </c>
    </row>
    <row r="237" spans="1:37" x14ac:dyDescent="0.25">
      <c r="A237" s="7" t="s">
        <v>568</v>
      </c>
      <c r="B237" s="7" t="str">
        <f t="shared" si="3"/>
        <v>2768-237</v>
      </c>
      <c r="C237" s="7">
        <f>VLOOKUP(B237,'CEBAS-DEWOOD code'!A$2:B$302,2,FALSE)</f>
        <v>1027</v>
      </c>
      <c r="D237" s="7" t="str">
        <f>VLOOKUP(IONOMICS!C237,'Field Table'!A$2:E$661,3,FALSE)</f>
        <v>AA</v>
      </c>
      <c r="E237" s="7" t="str">
        <f>VLOOKUP(IONOMICS!C237,'Field Table'!A$2:E$661,4,FALSE)</f>
        <v>4</v>
      </c>
      <c r="F237" s="7" t="str">
        <f>VLOOKUP(IONOMICS!C237,'Field Table'!A$2:E$661,5,FALSE)</f>
        <v>01</v>
      </c>
      <c r="G237" s="11">
        <v>53.700078308535623</v>
      </c>
      <c r="H237" s="12" t="s">
        <v>333</v>
      </c>
      <c r="I237" s="12" t="s">
        <v>333</v>
      </c>
      <c r="J237" s="12" t="s">
        <v>333</v>
      </c>
      <c r="K237" s="12" t="s">
        <v>333</v>
      </c>
      <c r="L237" s="11">
        <v>0.21603367267032106</v>
      </c>
      <c r="M237" s="11">
        <v>7.8308535630383702E-2</v>
      </c>
      <c r="N237" s="12" t="s">
        <v>333</v>
      </c>
      <c r="O237" s="12" t="s">
        <v>333</v>
      </c>
      <c r="P237" s="12">
        <v>2.7799530148786218</v>
      </c>
      <c r="Q237" s="12">
        <v>17.932654659357869</v>
      </c>
      <c r="R237" s="12">
        <v>1.6934220830070477E-2</v>
      </c>
      <c r="S237" s="12" t="s">
        <v>333</v>
      </c>
      <c r="T237" s="12" t="s">
        <v>333</v>
      </c>
      <c r="U237" s="12">
        <v>1.6601409553641346E-2</v>
      </c>
      <c r="V237" s="12">
        <v>86.59945184025058</v>
      </c>
      <c r="W237" s="12" t="s">
        <v>333</v>
      </c>
      <c r="X237" s="13">
        <v>1.9812059514487078E-3</v>
      </c>
      <c r="Y237" s="12" t="s">
        <v>333</v>
      </c>
      <c r="Z237" s="12">
        <v>1.4976507439310884</v>
      </c>
      <c r="AA237" s="13">
        <v>6.4653484729835543E-3</v>
      </c>
      <c r="AB237" s="12">
        <v>0.30344557556773688</v>
      </c>
      <c r="AC237" s="12" t="s">
        <v>333</v>
      </c>
      <c r="AD237" s="12" t="s">
        <v>333</v>
      </c>
      <c r="AE237" s="12">
        <v>89.888410336726693</v>
      </c>
      <c r="AF237" s="14">
        <v>1.5093970242756461E-2</v>
      </c>
      <c r="AG237" s="12">
        <v>8.5552075176194204</v>
      </c>
      <c r="AH237" s="12">
        <v>1.2235708692247453</v>
      </c>
      <c r="AI237" s="12">
        <v>4.2482380579483161</v>
      </c>
      <c r="AJ237" s="12" t="s">
        <v>333</v>
      </c>
      <c r="AK237" s="12">
        <v>14.584964761158965</v>
      </c>
    </row>
    <row r="238" spans="1:37" x14ac:dyDescent="0.25">
      <c r="A238" s="7" t="s">
        <v>569</v>
      </c>
      <c r="B238" s="7" t="str">
        <f t="shared" si="3"/>
        <v>2768-238</v>
      </c>
      <c r="C238" s="7">
        <f>VLOOKUP(B238,'CEBAS-DEWOOD code'!A$2:B$302,2,FALSE)</f>
        <v>1081</v>
      </c>
      <c r="D238" s="7" t="str">
        <f>VLOOKUP(IONOMICS!C238,'Field Table'!A$2:E$661,3,FALSE)</f>
        <v>AA</v>
      </c>
      <c r="E238" s="7" t="str">
        <f>VLOOKUP(IONOMICS!C238,'Field Table'!A$2:E$661,4,FALSE)</f>
        <v>4</v>
      </c>
      <c r="F238" s="7" t="str">
        <f>VLOOKUP(IONOMICS!C238,'Field Table'!A$2:E$661,5,FALSE)</f>
        <v>01</v>
      </c>
      <c r="G238" s="11">
        <v>38.24091778202677</v>
      </c>
      <c r="H238" s="12" t="s">
        <v>333</v>
      </c>
      <c r="I238" s="12" t="s">
        <v>333</v>
      </c>
      <c r="J238" s="12" t="s">
        <v>333</v>
      </c>
      <c r="K238" s="12" t="s">
        <v>333</v>
      </c>
      <c r="L238" s="11">
        <v>0.23386711281070749</v>
      </c>
      <c r="M238" s="11">
        <v>1.1950286806883365E-2</v>
      </c>
      <c r="N238" s="12" t="s">
        <v>333</v>
      </c>
      <c r="O238" s="12">
        <v>0.28680688336520077</v>
      </c>
      <c r="P238" s="12">
        <v>2.4617590822179731</v>
      </c>
      <c r="Q238" s="12">
        <v>20.207934990439771</v>
      </c>
      <c r="R238" s="12">
        <v>1.5152963671128108E-2</v>
      </c>
      <c r="S238" s="12" t="s">
        <v>333</v>
      </c>
      <c r="T238" s="12" t="s">
        <v>333</v>
      </c>
      <c r="U238" s="12">
        <v>2.2860898661567878E-2</v>
      </c>
      <c r="V238" s="12">
        <v>57.30162523900573</v>
      </c>
      <c r="W238" s="12" t="s">
        <v>333</v>
      </c>
      <c r="X238" s="13">
        <v>3.8121414913957937E-4</v>
      </c>
      <c r="Y238" s="12" t="s">
        <v>333</v>
      </c>
      <c r="Z238" s="12">
        <v>2.3542065009560229</v>
      </c>
      <c r="AA238" s="13">
        <v>6.1771032504780114E-3</v>
      </c>
      <c r="AB238" s="12">
        <v>0.20315487571701718</v>
      </c>
      <c r="AC238" s="12" t="s">
        <v>333</v>
      </c>
      <c r="AD238" s="12" t="s">
        <v>333</v>
      </c>
      <c r="AE238" s="12">
        <v>39.627151051625241</v>
      </c>
      <c r="AF238" s="14">
        <v>1.6336042065009559E-2</v>
      </c>
      <c r="AG238" s="12">
        <v>10.301147227533461</v>
      </c>
      <c r="AH238" s="12">
        <v>0.92017208413001916</v>
      </c>
      <c r="AI238" s="12">
        <v>3.3102294455066921</v>
      </c>
      <c r="AJ238" s="12" t="s">
        <v>333</v>
      </c>
      <c r="AK238" s="12">
        <v>14.854206500956023</v>
      </c>
    </row>
    <row r="239" spans="1:37" x14ac:dyDescent="0.25">
      <c r="A239" s="7" t="s">
        <v>570</v>
      </c>
      <c r="B239" s="7" t="str">
        <f t="shared" si="3"/>
        <v>2768-239</v>
      </c>
      <c r="C239" s="7">
        <f>VLOOKUP(B239,'CEBAS-DEWOOD code'!A$2:B$302,2,FALSE)</f>
        <v>1037</v>
      </c>
      <c r="D239" s="7" t="str">
        <f>VLOOKUP(IONOMICS!C239,'Field Table'!A$2:E$661,3,FALSE)</f>
        <v>AA</v>
      </c>
      <c r="E239" s="7" t="str">
        <f>VLOOKUP(IONOMICS!C239,'Field Table'!A$2:E$661,4,FALSE)</f>
        <v>1</v>
      </c>
      <c r="F239" s="7" t="str">
        <f>VLOOKUP(IONOMICS!C239,'Field Table'!A$2:E$661,5,FALSE)</f>
        <v>01</v>
      </c>
      <c r="G239" s="11">
        <v>71.048233046800377</v>
      </c>
      <c r="H239" s="12" t="s">
        <v>333</v>
      </c>
      <c r="I239" s="12" t="s">
        <v>333</v>
      </c>
      <c r="J239" s="12" t="s">
        <v>333</v>
      </c>
      <c r="K239" s="12" t="s">
        <v>333</v>
      </c>
      <c r="L239" s="11">
        <v>0.19221585482330469</v>
      </c>
      <c r="M239" s="11">
        <v>0.19102196752626552</v>
      </c>
      <c r="N239" s="12" t="s">
        <v>333</v>
      </c>
      <c r="O239" s="12" t="s">
        <v>333</v>
      </c>
      <c r="P239" s="12">
        <v>2.5787965616045847</v>
      </c>
      <c r="Q239" s="12">
        <v>19.161891117478511</v>
      </c>
      <c r="R239" s="12">
        <v>5.2913085004775554E-2</v>
      </c>
      <c r="S239" s="12" t="s">
        <v>333</v>
      </c>
      <c r="T239" s="12" t="s">
        <v>333</v>
      </c>
      <c r="U239" s="12">
        <v>2.5811843361986629E-2</v>
      </c>
      <c r="V239" s="12">
        <v>127.62655205348614</v>
      </c>
      <c r="W239" s="12" t="s">
        <v>333</v>
      </c>
      <c r="X239" s="13">
        <v>3.3548233046800383E-4</v>
      </c>
      <c r="Y239" s="12" t="s">
        <v>333</v>
      </c>
      <c r="Z239" s="12">
        <v>0.89541547277936961</v>
      </c>
      <c r="AA239" s="13">
        <v>1.1815902578796562E-2</v>
      </c>
      <c r="AB239" s="12">
        <v>0.64469914040114618</v>
      </c>
      <c r="AC239" s="12" t="s">
        <v>333</v>
      </c>
      <c r="AD239" s="12" t="s">
        <v>333</v>
      </c>
      <c r="AE239" s="12">
        <v>50.465616045845273</v>
      </c>
      <c r="AF239" s="14">
        <v>1.4684813753581662E-2</v>
      </c>
      <c r="AG239" s="12">
        <v>8.5124164278892067</v>
      </c>
      <c r="AH239" s="12">
        <v>1.0744985673352434</v>
      </c>
      <c r="AI239" s="12">
        <v>4.274116523400191</v>
      </c>
      <c r="AJ239" s="12" t="s">
        <v>333</v>
      </c>
      <c r="AK239" s="12">
        <v>16.392072588347659</v>
      </c>
    </row>
    <row r="240" spans="1:37" x14ac:dyDescent="0.25">
      <c r="A240" s="7" t="s">
        <v>571</v>
      </c>
      <c r="B240" s="7" t="str">
        <f t="shared" si="3"/>
        <v>2768-240</v>
      </c>
      <c r="C240" s="7">
        <f>VLOOKUP(B240,'CEBAS-DEWOOD code'!A$2:B$302,2,FALSE)</f>
        <v>1086</v>
      </c>
      <c r="D240" s="7" t="str">
        <f>VLOOKUP(IONOMICS!C240,'Field Table'!A$2:E$661,3,FALSE)</f>
        <v>AA</v>
      </c>
      <c r="E240" s="7" t="str">
        <f>VLOOKUP(IONOMICS!C240,'Field Table'!A$2:E$661,4,FALSE)</f>
        <v>2</v>
      </c>
      <c r="F240" s="7" t="str">
        <f>VLOOKUP(IONOMICS!C240,'Field Table'!A$2:E$661,5,FALSE)</f>
        <v>01</v>
      </c>
      <c r="G240" s="11">
        <v>26.459764474975465</v>
      </c>
      <c r="H240" s="12" t="s">
        <v>333</v>
      </c>
      <c r="I240" s="12" t="s">
        <v>333</v>
      </c>
      <c r="J240" s="12" t="s">
        <v>333</v>
      </c>
      <c r="K240" s="12" t="s">
        <v>333</v>
      </c>
      <c r="L240" s="11">
        <v>0.15419528949950934</v>
      </c>
      <c r="M240" s="11" t="s">
        <v>333</v>
      </c>
      <c r="N240" s="12" t="s">
        <v>333</v>
      </c>
      <c r="O240" s="12">
        <v>0.42934249263984303</v>
      </c>
      <c r="P240" s="12">
        <v>1.987242394504416</v>
      </c>
      <c r="Q240" s="12">
        <v>11.297841020608439</v>
      </c>
      <c r="R240" s="12">
        <v>3.1256133464180574E-2</v>
      </c>
      <c r="S240" s="12" t="s">
        <v>333</v>
      </c>
      <c r="T240" s="12" t="s">
        <v>333</v>
      </c>
      <c r="U240" s="12">
        <v>2.4153581943081454E-2</v>
      </c>
      <c r="V240" s="12">
        <v>50.552011776251227</v>
      </c>
      <c r="W240" s="12" t="s">
        <v>333</v>
      </c>
      <c r="X240" s="13">
        <v>1.9259077526987241E-4</v>
      </c>
      <c r="Y240" s="12" t="s">
        <v>333</v>
      </c>
      <c r="Z240" s="12">
        <v>0.78508341511285573</v>
      </c>
      <c r="AA240" s="13">
        <v>5.5078508341511283E-3</v>
      </c>
      <c r="AB240" s="12">
        <v>0.31894013738959764</v>
      </c>
      <c r="AC240" s="12" t="s">
        <v>333</v>
      </c>
      <c r="AD240" s="12" t="s">
        <v>333</v>
      </c>
      <c r="AE240" s="12">
        <v>37.463199214916585</v>
      </c>
      <c r="AF240" s="14">
        <v>1.0441609421000982E-2</v>
      </c>
      <c r="AG240" s="12">
        <v>6.4156035328753669</v>
      </c>
      <c r="AH240" s="12">
        <v>0.79735034347399414</v>
      </c>
      <c r="AI240" s="12">
        <v>3.9990186457311085</v>
      </c>
      <c r="AJ240" s="12" t="s">
        <v>333</v>
      </c>
      <c r="AK240" s="12">
        <v>12.561334641805692</v>
      </c>
    </row>
    <row r="241" spans="1:37" x14ac:dyDescent="0.25">
      <c r="A241" s="7" t="s">
        <v>572</v>
      </c>
      <c r="B241" s="7" t="str">
        <f t="shared" si="3"/>
        <v>2768-241</v>
      </c>
      <c r="C241" s="7">
        <f>VLOOKUP(B241,'CEBAS-DEWOOD code'!A$2:B$302,2,FALSE)</f>
        <v>349</v>
      </c>
      <c r="D241" s="7" t="str">
        <f>VLOOKUP(IONOMICS!C241,'Field Table'!A$2:E$661,3,FALSE)</f>
        <v>AA</v>
      </c>
      <c r="E241" s="7" t="str">
        <f>VLOOKUP(IONOMICS!C241,'Field Table'!A$2:E$661,4,FALSE)</f>
        <v>1</v>
      </c>
      <c r="F241" s="7" t="str">
        <f>VLOOKUP(IONOMICS!C241,'Field Table'!A$2:E$661,5,FALSE)</f>
        <v>10</v>
      </c>
      <c r="G241" s="11">
        <v>10.64508506616257</v>
      </c>
      <c r="H241" s="12" t="s">
        <v>333</v>
      </c>
      <c r="I241" s="12" t="s">
        <v>333</v>
      </c>
      <c r="J241" s="12" t="s">
        <v>333</v>
      </c>
      <c r="K241" s="12" t="s">
        <v>333</v>
      </c>
      <c r="L241" s="11">
        <v>7.7504725897920596E-2</v>
      </c>
      <c r="M241" s="11" t="s">
        <v>333</v>
      </c>
      <c r="N241" s="12" t="s">
        <v>333</v>
      </c>
      <c r="O241" s="12" t="s">
        <v>333</v>
      </c>
      <c r="P241" s="12">
        <v>0.50803402646502838</v>
      </c>
      <c r="Q241" s="12">
        <v>21.065689981096405</v>
      </c>
      <c r="R241" s="12">
        <v>0.35385160680529298</v>
      </c>
      <c r="S241" s="12" t="s">
        <v>333</v>
      </c>
      <c r="T241" s="12" t="s">
        <v>333</v>
      </c>
      <c r="U241" s="12">
        <v>3.988657844990548E-2</v>
      </c>
      <c r="V241" s="12">
        <v>40.938090737240074</v>
      </c>
      <c r="W241" s="12" t="s">
        <v>333</v>
      </c>
      <c r="X241" s="13">
        <v>1.0042533081285445E-3</v>
      </c>
      <c r="Y241" s="12" t="s">
        <v>333</v>
      </c>
      <c r="Z241" s="12">
        <v>0.92155009451795822</v>
      </c>
      <c r="AA241" s="13">
        <v>5.8246691871455573E-4</v>
      </c>
      <c r="AB241" s="12">
        <v>6.9470699432892244</v>
      </c>
      <c r="AC241" s="12" t="s">
        <v>333</v>
      </c>
      <c r="AD241" s="12" t="s">
        <v>333</v>
      </c>
      <c r="AE241" s="12">
        <v>12.5</v>
      </c>
      <c r="AF241" s="14">
        <v>7.2861531190926282E-3</v>
      </c>
      <c r="AG241" s="12">
        <v>3.9815689981096409</v>
      </c>
      <c r="AH241" s="12">
        <v>1.0160680529300568</v>
      </c>
      <c r="AI241" s="12">
        <v>4.7849716446124759</v>
      </c>
      <c r="AJ241" s="12" t="s">
        <v>333</v>
      </c>
      <c r="AK241" s="12">
        <v>3.1190926275992439</v>
      </c>
    </row>
    <row r="242" spans="1:37" x14ac:dyDescent="0.25">
      <c r="A242" s="7" t="s">
        <v>573</v>
      </c>
      <c r="B242" s="7" t="str">
        <f t="shared" si="3"/>
        <v>2768-242</v>
      </c>
      <c r="C242" s="7">
        <f>VLOOKUP(B242,'CEBAS-DEWOOD code'!A$2:B$302,2,FALSE)</f>
        <v>177</v>
      </c>
      <c r="D242" s="7" t="str">
        <f>VLOOKUP(IONOMICS!C242,'Field Table'!A$2:E$661,3,FALSE)</f>
        <v>AA</v>
      </c>
      <c r="E242" s="7" t="str">
        <f>VLOOKUP(IONOMICS!C242,'Field Table'!A$2:E$661,4,FALSE)</f>
        <v>2</v>
      </c>
      <c r="F242" s="7" t="str">
        <f>VLOOKUP(IONOMICS!C242,'Field Table'!A$2:E$661,5,FALSE)</f>
        <v>10</v>
      </c>
      <c r="G242" s="11">
        <v>5.8021390374331547</v>
      </c>
      <c r="H242" s="12" t="s">
        <v>333</v>
      </c>
      <c r="I242" s="12" t="s">
        <v>333</v>
      </c>
      <c r="J242" s="12" t="s">
        <v>333</v>
      </c>
      <c r="K242" s="12" t="s">
        <v>333</v>
      </c>
      <c r="L242" s="11">
        <v>7.2878787878787862E-2</v>
      </c>
      <c r="M242" s="11" t="s">
        <v>333</v>
      </c>
      <c r="N242" s="12" t="s">
        <v>333</v>
      </c>
      <c r="O242" s="12" t="s">
        <v>333</v>
      </c>
      <c r="P242" s="12">
        <v>0.49910873440285197</v>
      </c>
      <c r="Q242" s="12">
        <v>1.8092691622103383</v>
      </c>
      <c r="R242" s="12">
        <v>0.12397504456327985</v>
      </c>
      <c r="S242" s="12" t="s">
        <v>333</v>
      </c>
      <c r="T242" s="12" t="s">
        <v>333</v>
      </c>
      <c r="U242" s="12">
        <v>1.5561497326203207E-2</v>
      </c>
      <c r="V242" s="12">
        <v>24.322638146167556</v>
      </c>
      <c r="W242" s="12" t="s">
        <v>333</v>
      </c>
      <c r="X242" s="13" t="s">
        <v>333</v>
      </c>
      <c r="Y242" s="12" t="s">
        <v>333</v>
      </c>
      <c r="Z242" s="12">
        <v>5.3475935828876997E-2</v>
      </c>
      <c r="AA242" s="13">
        <v>1.0463458110516934E-3</v>
      </c>
      <c r="AB242" s="12">
        <v>1.9340463458110515</v>
      </c>
      <c r="AC242" s="12" t="s">
        <v>333</v>
      </c>
      <c r="AD242" s="12" t="s">
        <v>333</v>
      </c>
      <c r="AE242" s="12">
        <v>8.5026737967914414</v>
      </c>
      <c r="AF242" s="14">
        <v>5.4465240641711227E-3</v>
      </c>
      <c r="AG242" s="12">
        <v>4.5098039215686265</v>
      </c>
      <c r="AH242" s="12">
        <v>0.15151515151515149</v>
      </c>
      <c r="AI242" s="12">
        <v>2.1390374331550799</v>
      </c>
      <c r="AJ242" s="12" t="s">
        <v>333</v>
      </c>
      <c r="AK242" s="12">
        <v>3.2709447415329769</v>
      </c>
    </row>
    <row r="243" spans="1:37" x14ac:dyDescent="0.25">
      <c r="A243" s="7" t="s">
        <v>574</v>
      </c>
      <c r="B243" s="7" t="str">
        <f t="shared" si="3"/>
        <v>2768-243</v>
      </c>
      <c r="C243" s="7">
        <f>VLOOKUP(B243,'CEBAS-DEWOOD code'!A$2:B$302,2,FALSE)</f>
        <v>408</v>
      </c>
      <c r="D243" s="7" t="str">
        <f>VLOOKUP(IONOMICS!C243,'Field Table'!A$2:E$661,3,FALSE)</f>
        <v>FS</v>
      </c>
      <c r="E243" s="7" t="str">
        <f>VLOOKUP(IONOMICS!C243,'Field Table'!A$2:E$661,4,FALSE)</f>
        <v>1</v>
      </c>
      <c r="F243" s="7" t="str">
        <f>VLOOKUP(IONOMICS!C243,'Field Table'!A$2:E$661,5,FALSE)</f>
        <v>10</v>
      </c>
      <c r="G243" s="11">
        <v>0.37846930193439898</v>
      </c>
      <c r="H243" s="12" t="s">
        <v>333</v>
      </c>
      <c r="I243" s="12" t="s">
        <v>333</v>
      </c>
      <c r="J243" s="12" t="s">
        <v>333</v>
      </c>
      <c r="K243" s="12" t="s">
        <v>333</v>
      </c>
      <c r="L243" s="11">
        <v>9.4701429772918413E-2</v>
      </c>
      <c r="M243" s="11" t="s">
        <v>333</v>
      </c>
      <c r="N243" s="12" t="s">
        <v>333</v>
      </c>
      <c r="O243" s="12" t="s">
        <v>333</v>
      </c>
      <c r="P243" s="12">
        <v>0.59924306139613126</v>
      </c>
      <c r="Q243" s="12">
        <v>1.0407905803195963</v>
      </c>
      <c r="R243" s="12">
        <v>7.8227502102607233E-2</v>
      </c>
      <c r="S243" s="12" t="s">
        <v>333</v>
      </c>
      <c r="T243" s="12" t="s">
        <v>333</v>
      </c>
      <c r="U243" s="12">
        <v>2.3275862068965515E-2</v>
      </c>
      <c r="V243" s="12">
        <v>53.626997476871317</v>
      </c>
      <c r="W243" s="12" t="s">
        <v>333</v>
      </c>
      <c r="X243" s="13">
        <v>1.8502943650126159E-4</v>
      </c>
      <c r="Y243" s="12">
        <v>0.47308662741799823</v>
      </c>
      <c r="Z243" s="12">
        <v>4.2052144659377629E-2</v>
      </c>
      <c r="AA243" s="13">
        <v>4.6730445752733388E-3</v>
      </c>
      <c r="AB243" s="12">
        <v>2.0710681244743481</v>
      </c>
      <c r="AC243" s="12" t="s">
        <v>333</v>
      </c>
      <c r="AD243" s="12" t="s">
        <v>333</v>
      </c>
      <c r="AE243" s="12">
        <v>12.447434819175777</v>
      </c>
      <c r="AF243" s="14">
        <v>7.1888141295206043E-3</v>
      </c>
      <c r="AG243" s="12">
        <v>6.3708999158957109</v>
      </c>
      <c r="AH243" s="12">
        <v>0.12615643397813286</v>
      </c>
      <c r="AI243" s="12">
        <v>3.5113540790580315</v>
      </c>
      <c r="AJ243" s="12" t="s">
        <v>333</v>
      </c>
      <c r="AK243" s="12">
        <v>2.5021026072329691</v>
      </c>
    </row>
    <row r="244" spans="1:37" x14ac:dyDescent="0.25">
      <c r="A244" s="7" t="s">
        <v>575</v>
      </c>
      <c r="B244" s="7" t="str">
        <f t="shared" si="3"/>
        <v>2768-244</v>
      </c>
      <c r="C244" s="7">
        <f>VLOOKUP(B244,'CEBAS-DEWOOD code'!A$2:B$302,2,FALSE)</f>
        <v>1073</v>
      </c>
      <c r="D244" s="7" t="str">
        <f>VLOOKUP(IONOMICS!C244,'Field Table'!A$2:E$661,3,FALSE)</f>
        <v>AA</v>
      </c>
      <c r="E244" s="7" t="str">
        <f>VLOOKUP(IONOMICS!C244,'Field Table'!A$2:E$661,4,FALSE)</f>
        <v>1</v>
      </c>
      <c r="F244" s="7" t="str">
        <f>VLOOKUP(IONOMICS!C244,'Field Table'!A$2:E$661,5,FALSE)</f>
        <v>01</v>
      </c>
      <c r="G244" s="11">
        <v>44.984736153510688</v>
      </c>
      <c r="H244" s="12" t="s">
        <v>333</v>
      </c>
      <c r="I244" s="12" t="s">
        <v>333</v>
      </c>
      <c r="J244" s="12" t="s">
        <v>333</v>
      </c>
      <c r="K244" s="12" t="s">
        <v>333</v>
      </c>
      <c r="L244" s="11">
        <v>0.13770170082860883</v>
      </c>
      <c r="M244" s="11">
        <v>0.11993022241604884</v>
      </c>
      <c r="N244" s="12" t="s">
        <v>333</v>
      </c>
      <c r="O244" s="12" t="s">
        <v>333</v>
      </c>
      <c r="P244" s="12">
        <v>3.1290885303096383</v>
      </c>
      <c r="Q244" s="12">
        <v>12.98517226341038</v>
      </c>
      <c r="R244" s="12">
        <v>0.12974269515918013</v>
      </c>
      <c r="S244" s="12" t="s">
        <v>333</v>
      </c>
      <c r="T244" s="12" t="s">
        <v>333</v>
      </c>
      <c r="U244" s="12">
        <v>2.3451809856083729E-2</v>
      </c>
      <c r="V244" s="12">
        <v>110.11774967291757</v>
      </c>
      <c r="W244" s="12" t="s">
        <v>333</v>
      </c>
      <c r="X244" s="13">
        <v>7.4138682948102924E-4</v>
      </c>
      <c r="Y244" s="12">
        <v>8.7221979938944608E-2</v>
      </c>
      <c r="Z244" s="12">
        <v>0.30527692978630611</v>
      </c>
      <c r="AA244" s="13">
        <v>1.973397296118622E-2</v>
      </c>
      <c r="AB244" s="12">
        <v>2.2132577409507195</v>
      </c>
      <c r="AC244" s="12" t="s">
        <v>333</v>
      </c>
      <c r="AD244" s="12" t="s">
        <v>333</v>
      </c>
      <c r="AE244" s="12">
        <v>28.576101177496728</v>
      </c>
      <c r="AF244" s="14">
        <v>1.410815525512429E-2</v>
      </c>
      <c r="AG244" s="12">
        <v>6.0837331007413864</v>
      </c>
      <c r="AH244" s="12">
        <v>0.70867858700392505</v>
      </c>
      <c r="AI244" s="12">
        <v>2.4422154382904488</v>
      </c>
      <c r="AJ244" s="12" t="s">
        <v>333</v>
      </c>
      <c r="AK244" s="12">
        <v>11.50239860444832</v>
      </c>
    </row>
    <row r="245" spans="1:37" x14ac:dyDescent="0.25">
      <c r="A245" s="7" t="s">
        <v>576</v>
      </c>
      <c r="B245" s="7" t="str">
        <f t="shared" si="3"/>
        <v>2768-245</v>
      </c>
      <c r="C245" s="7">
        <f>VLOOKUP(B245,'CEBAS-DEWOOD code'!A$2:B$302,2,FALSE)</f>
        <v>1059</v>
      </c>
      <c r="D245" s="7" t="str">
        <f>VLOOKUP(IONOMICS!C245,'Field Table'!A$2:E$661,3,FALSE)</f>
        <v>FS</v>
      </c>
      <c r="E245" s="7" t="str">
        <f>VLOOKUP(IONOMICS!C245,'Field Table'!A$2:E$661,4,FALSE)</f>
        <v>2</v>
      </c>
      <c r="F245" s="7" t="str">
        <f>VLOOKUP(IONOMICS!C245,'Field Table'!A$2:E$661,5,FALSE)</f>
        <v>01</v>
      </c>
      <c r="G245" s="11">
        <v>8.9204973624717407</v>
      </c>
      <c r="H245" s="12" t="s">
        <v>333</v>
      </c>
      <c r="I245" s="12" t="s">
        <v>333</v>
      </c>
      <c r="J245" s="12" t="s">
        <v>333</v>
      </c>
      <c r="K245" s="12" t="s">
        <v>333</v>
      </c>
      <c r="L245" s="11">
        <v>0.24755086661642803</v>
      </c>
      <c r="M245" s="11" t="s">
        <v>333</v>
      </c>
      <c r="N245" s="12" t="s">
        <v>333</v>
      </c>
      <c r="O245" s="12" t="s">
        <v>333</v>
      </c>
      <c r="P245" s="12">
        <v>1.5730972117558399</v>
      </c>
      <c r="Q245" s="12">
        <v>9.203089675960813</v>
      </c>
      <c r="R245" s="12">
        <v>0.13046345139412208</v>
      </c>
      <c r="S245" s="12" t="s">
        <v>333</v>
      </c>
      <c r="T245" s="12" t="s">
        <v>333</v>
      </c>
      <c r="U245" s="12">
        <v>3.0454031650339112E-2</v>
      </c>
      <c r="V245" s="12">
        <v>77.656367746797272</v>
      </c>
      <c r="W245" s="12" t="s">
        <v>333</v>
      </c>
      <c r="X245" s="13">
        <v>3.7396382818387337E-4</v>
      </c>
      <c r="Y245" s="12">
        <v>0.42388847023360954</v>
      </c>
      <c r="Z245" s="12">
        <v>0.95139412207987939</v>
      </c>
      <c r="AA245" s="13">
        <v>1.6428033157498117E-2</v>
      </c>
      <c r="AB245" s="12">
        <v>3.4382064807837223</v>
      </c>
      <c r="AC245" s="12" t="s">
        <v>333</v>
      </c>
      <c r="AD245" s="12" t="s">
        <v>333</v>
      </c>
      <c r="AE245" s="12">
        <v>375.84777694046716</v>
      </c>
      <c r="AF245" s="14">
        <v>2.0459683496608892E-2</v>
      </c>
      <c r="AG245" s="12">
        <v>14.46872645064054</v>
      </c>
      <c r="AH245" s="12">
        <v>0.54634513941220786</v>
      </c>
      <c r="AI245" s="12">
        <v>5.7931424265259981</v>
      </c>
      <c r="AJ245" s="12" t="s">
        <v>333</v>
      </c>
      <c r="AK245" s="12">
        <v>2.8259231348907305</v>
      </c>
    </row>
    <row r="246" spans="1:37" x14ac:dyDescent="0.25">
      <c r="A246" s="7" t="s">
        <v>577</v>
      </c>
      <c r="B246" s="7" t="str">
        <f t="shared" si="3"/>
        <v>2768-246</v>
      </c>
      <c r="C246" s="7">
        <f>VLOOKUP(B246,'CEBAS-DEWOOD code'!A$2:B$302,2,FALSE)</f>
        <v>1029</v>
      </c>
      <c r="D246" s="7" t="str">
        <f>VLOOKUP(IONOMICS!C246,'Field Table'!A$2:E$661,3,FALSE)</f>
        <v>FS</v>
      </c>
      <c r="E246" s="7" t="str">
        <f>VLOOKUP(IONOMICS!C246,'Field Table'!A$2:E$661,4,FALSE)</f>
        <v>2</v>
      </c>
      <c r="F246" s="7" t="str">
        <f>VLOOKUP(IONOMICS!C246,'Field Table'!A$2:E$661,5,FALSE)</f>
        <v>01</v>
      </c>
      <c r="G246" s="11">
        <v>17.028711749149981</v>
      </c>
      <c r="H246" s="12" t="s">
        <v>333</v>
      </c>
      <c r="I246" s="12" t="s">
        <v>333</v>
      </c>
      <c r="J246" s="12" t="s">
        <v>333</v>
      </c>
      <c r="K246" s="12" t="s">
        <v>333</v>
      </c>
      <c r="L246" s="11">
        <v>0.49168870419342658</v>
      </c>
      <c r="M246" s="11" t="s">
        <v>333</v>
      </c>
      <c r="N246" s="12" t="s">
        <v>333</v>
      </c>
      <c r="O246" s="12" t="s">
        <v>333</v>
      </c>
      <c r="P246" s="12">
        <v>2.1911598035511899</v>
      </c>
      <c r="Q246" s="12">
        <v>13.439743105402343</v>
      </c>
      <c r="R246" s="12">
        <v>0.14034756327918399</v>
      </c>
      <c r="S246" s="12" t="s">
        <v>333</v>
      </c>
      <c r="T246" s="12" t="s">
        <v>333</v>
      </c>
      <c r="U246" s="12">
        <v>3.9998111069134874E-2</v>
      </c>
      <c r="V246" s="12">
        <v>94.635436343029852</v>
      </c>
      <c r="W246" s="12" t="s">
        <v>333</v>
      </c>
      <c r="X246" s="13">
        <v>5.383452965621459E-4</v>
      </c>
      <c r="Y246" s="12">
        <v>0.40612013600302227</v>
      </c>
      <c r="Z246" s="12">
        <v>1.1428031734038535</v>
      </c>
      <c r="AA246" s="13">
        <v>2.5916131469588218E-2</v>
      </c>
      <c r="AB246" s="12">
        <v>2.9561768039289764</v>
      </c>
      <c r="AC246" s="12" t="s">
        <v>333</v>
      </c>
      <c r="AD246" s="12" t="s">
        <v>333</v>
      </c>
      <c r="AE246" s="12">
        <v>515.5836796373253</v>
      </c>
      <c r="AF246" s="14">
        <v>2.5141669814884776E-2</v>
      </c>
      <c r="AG246" s="12">
        <v>26.07669059312429</v>
      </c>
      <c r="AH246" s="12">
        <v>0.6044578768417076</v>
      </c>
      <c r="AI246" s="12">
        <v>7.499055534567435</v>
      </c>
      <c r="AJ246" s="12" t="s">
        <v>333</v>
      </c>
      <c r="AK246" s="12">
        <v>6.1862485833018521</v>
      </c>
    </row>
    <row r="247" spans="1:37" x14ac:dyDescent="0.25">
      <c r="A247" s="7" t="s">
        <v>578</v>
      </c>
      <c r="B247" s="7" t="str">
        <f t="shared" si="3"/>
        <v>2768-247</v>
      </c>
      <c r="C247" s="7">
        <f>VLOOKUP(B247,'CEBAS-DEWOOD code'!A$2:B$302,2,FALSE)</f>
        <v>127</v>
      </c>
      <c r="D247" s="7" t="str">
        <f>VLOOKUP(IONOMICS!C247,'Field Table'!A$2:E$661,3,FALSE)</f>
        <v>AA</v>
      </c>
      <c r="E247" s="7" t="str">
        <f>VLOOKUP(IONOMICS!C247,'Field Table'!A$2:E$661,4,FALSE)</f>
        <v>1</v>
      </c>
      <c r="F247" s="7" t="str">
        <f>VLOOKUP(IONOMICS!C247,'Field Table'!A$2:E$661,5,FALSE)</f>
        <v>10</v>
      </c>
      <c r="G247" s="11">
        <v>6.871455576559546</v>
      </c>
      <c r="H247" s="12" t="s">
        <v>333</v>
      </c>
      <c r="I247" s="12" t="s">
        <v>333</v>
      </c>
      <c r="J247" s="12" t="s">
        <v>333</v>
      </c>
      <c r="K247" s="12" t="s">
        <v>333</v>
      </c>
      <c r="L247" s="11">
        <v>6.5406427221172014E-2</v>
      </c>
      <c r="M247" s="11" t="s">
        <v>333</v>
      </c>
      <c r="N247" s="12" t="s">
        <v>333</v>
      </c>
      <c r="O247" s="12" t="s">
        <v>333</v>
      </c>
      <c r="P247" s="12">
        <v>0.53875236294896034</v>
      </c>
      <c r="Q247" s="12">
        <v>1.001890359168242</v>
      </c>
      <c r="R247" s="12">
        <v>0.14357277882797731</v>
      </c>
      <c r="S247" s="12" t="s">
        <v>333</v>
      </c>
      <c r="T247" s="12" t="s">
        <v>333</v>
      </c>
      <c r="U247" s="12">
        <v>1.3137996219281661E-2</v>
      </c>
      <c r="V247" s="12">
        <v>37.230623818525515</v>
      </c>
      <c r="W247" s="12" t="s">
        <v>333</v>
      </c>
      <c r="X247" s="13">
        <v>2.4763705103969758E-4</v>
      </c>
      <c r="Y247" s="12" t="s">
        <v>333</v>
      </c>
      <c r="Z247" s="12">
        <v>0.16068052930056709</v>
      </c>
      <c r="AA247" s="13">
        <v>2.0671077504725898E-3</v>
      </c>
      <c r="AB247" s="12">
        <v>2.4102079395085063</v>
      </c>
      <c r="AC247" s="12" t="s">
        <v>333</v>
      </c>
      <c r="AD247" s="12" t="s">
        <v>333</v>
      </c>
      <c r="AE247" s="12">
        <v>40.765595463137998</v>
      </c>
      <c r="AF247" s="14">
        <v>5.790170132325142E-3</v>
      </c>
      <c r="AG247" s="12">
        <v>3.8941398865784498</v>
      </c>
      <c r="AH247" s="12">
        <v>0.72778827977315685</v>
      </c>
      <c r="AI247" s="12">
        <v>2.003780718336484</v>
      </c>
      <c r="AJ247" s="12" t="s">
        <v>333</v>
      </c>
      <c r="AK247" s="12">
        <v>5.1795841209829865</v>
      </c>
    </row>
    <row r="248" spans="1:37" x14ac:dyDescent="0.25">
      <c r="A248" s="7" t="s">
        <v>579</v>
      </c>
      <c r="B248" s="7" t="str">
        <f t="shared" si="3"/>
        <v>2768-248</v>
      </c>
      <c r="C248" s="7">
        <f>VLOOKUP(B248,'CEBAS-DEWOOD code'!A$2:B$302,2,FALSE)</f>
        <v>144</v>
      </c>
      <c r="D248" s="7" t="str">
        <f>VLOOKUP(IONOMICS!C248,'Field Table'!A$2:E$661,3,FALSE)</f>
        <v>FS</v>
      </c>
      <c r="E248" s="7" t="str">
        <f>VLOOKUP(IONOMICS!C248,'Field Table'!A$2:E$661,4,FALSE)</f>
        <v>2</v>
      </c>
      <c r="F248" s="7" t="str">
        <f>VLOOKUP(IONOMICS!C248,'Field Table'!A$2:E$661,5,FALSE)</f>
        <v>10</v>
      </c>
      <c r="G248" s="11">
        <v>2.1342685370741483</v>
      </c>
      <c r="H248" s="12" t="s">
        <v>333</v>
      </c>
      <c r="I248" s="12" t="s">
        <v>333</v>
      </c>
      <c r="J248" s="12" t="s">
        <v>333</v>
      </c>
      <c r="K248" s="12" t="s">
        <v>333</v>
      </c>
      <c r="L248" s="11">
        <v>0.16973947895791586</v>
      </c>
      <c r="M248" s="11" t="s">
        <v>333</v>
      </c>
      <c r="N248" s="12" t="s">
        <v>333</v>
      </c>
      <c r="O248" s="12" t="s">
        <v>333</v>
      </c>
      <c r="P248" s="12">
        <v>1.2124248496993988</v>
      </c>
      <c r="Q248" s="12">
        <v>2.4849699398797593</v>
      </c>
      <c r="R248" s="12">
        <v>0.12705410821643287</v>
      </c>
      <c r="S248" s="12" t="s">
        <v>333</v>
      </c>
      <c r="T248" s="12" t="s">
        <v>333</v>
      </c>
      <c r="U248" s="12">
        <v>6.1082164328657318E-2</v>
      </c>
      <c r="V248" s="12">
        <v>43.697394789579157</v>
      </c>
      <c r="W248" s="12" t="s">
        <v>333</v>
      </c>
      <c r="X248" s="13">
        <v>2.9959919839679357E-4</v>
      </c>
      <c r="Y248" s="12">
        <v>0.4909819639278557</v>
      </c>
      <c r="Z248" s="12">
        <v>8.0160320641282562E-2</v>
      </c>
      <c r="AA248" s="13">
        <v>1.0190380761523045E-2</v>
      </c>
      <c r="AB248" s="12">
        <v>2.314629258517034</v>
      </c>
      <c r="AC248" s="12" t="s">
        <v>333</v>
      </c>
      <c r="AD248" s="12" t="s">
        <v>333</v>
      </c>
      <c r="AE248" s="12">
        <v>30.501002004008019</v>
      </c>
      <c r="AF248" s="14">
        <v>1.403807615230461E-2</v>
      </c>
      <c r="AG248" s="12">
        <v>11.242484969939879</v>
      </c>
      <c r="AH248" s="12">
        <v>0.92184368737474942</v>
      </c>
      <c r="AI248" s="12">
        <v>8.9879759519038078</v>
      </c>
      <c r="AJ248" s="12" t="s">
        <v>333</v>
      </c>
      <c r="AK248" s="12">
        <v>2.1543086172344688</v>
      </c>
    </row>
    <row r="249" spans="1:37" x14ac:dyDescent="0.25">
      <c r="A249" s="7" t="s">
        <v>580</v>
      </c>
      <c r="B249" s="7" t="str">
        <f t="shared" si="3"/>
        <v>2768-249</v>
      </c>
      <c r="C249" s="7">
        <f>VLOOKUP(B249,'CEBAS-DEWOOD code'!A$2:B$302,2,FALSE)</f>
        <v>80</v>
      </c>
      <c r="D249" s="7" t="str">
        <f>VLOOKUP(IONOMICS!C249,'Field Table'!A$2:E$661,3,FALSE)</f>
        <v>AA</v>
      </c>
      <c r="E249" s="7" t="str">
        <f>VLOOKUP(IONOMICS!C249,'Field Table'!A$2:E$661,4,FALSE)</f>
        <v>2</v>
      </c>
      <c r="F249" s="7" t="str">
        <f>VLOOKUP(IONOMICS!C249,'Field Table'!A$2:E$661,5,FALSE)</f>
        <v>10</v>
      </c>
      <c r="G249" s="11">
        <v>1.9875</v>
      </c>
      <c r="H249" s="12" t="s">
        <v>333</v>
      </c>
      <c r="I249" s="12" t="s">
        <v>333</v>
      </c>
      <c r="J249" s="12" t="s">
        <v>333</v>
      </c>
      <c r="K249" s="12" t="s">
        <v>333</v>
      </c>
      <c r="L249" s="11">
        <v>4.6887499999999999E-2</v>
      </c>
      <c r="M249" s="11" t="s">
        <v>333</v>
      </c>
      <c r="N249" s="12" t="s">
        <v>333</v>
      </c>
      <c r="O249" s="12" t="s">
        <v>333</v>
      </c>
      <c r="P249" s="12">
        <v>0.25</v>
      </c>
      <c r="Q249" s="12">
        <v>0.58750000000000002</v>
      </c>
      <c r="R249" s="12">
        <v>6.3962499999999992E-2</v>
      </c>
      <c r="S249" s="12" t="s">
        <v>333</v>
      </c>
      <c r="T249" s="12" t="s">
        <v>333</v>
      </c>
      <c r="U249" s="12">
        <v>1.2962499999999998E-2</v>
      </c>
      <c r="V249" s="12">
        <v>22.912499999999998</v>
      </c>
      <c r="W249" s="12" t="s">
        <v>333</v>
      </c>
      <c r="X249" s="13" t="s">
        <v>333</v>
      </c>
      <c r="Y249" s="12" t="s">
        <v>333</v>
      </c>
      <c r="Z249" s="12">
        <v>0.26249999999999996</v>
      </c>
      <c r="AA249" s="13">
        <v>5.6749999999999997E-4</v>
      </c>
      <c r="AB249" s="12">
        <v>0.77499999999999991</v>
      </c>
      <c r="AC249" s="12" t="s">
        <v>333</v>
      </c>
      <c r="AD249" s="12" t="s">
        <v>333</v>
      </c>
      <c r="AE249" s="12">
        <v>140.25</v>
      </c>
      <c r="AF249" s="14">
        <v>1.3837499999999998</v>
      </c>
      <c r="AG249" s="12">
        <v>2.2124999999999999</v>
      </c>
      <c r="AH249" s="12">
        <v>0.11249999999999999</v>
      </c>
      <c r="AI249" s="12">
        <v>2.4499999999999997</v>
      </c>
      <c r="AJ249" s="12" t="s">
        <v>333</v>
      </c>
      <c r="AK249" s="12">
        <v>2.2749999999999999</v>
      </c>
    </row>
    <row r="250" spans="1:37" x14ac:dyDescent="0.25">
      <c r="A250" s="7" t="s">
        <v>581</v>
      </c>
      <c r="B250" s="7" t="str">
        <f t="shared" si="3"/>
        <v>2768-250</v>
      </c>
      <c r="C250" s="7">
        <f>VLOOKUP(B250,'CEBAS-DEWOOD code'!A$2:B$302,2,FALSE)</f>
        <v>186</v>
      </c>
      <c r="D250" s="7" t="str">
        <f>VLOOKUP(IONOMICS!C250,'Field Table'!A$2:E$661,3,FALSE)</f>
        <v>FS</v>
      </c>
      <c r="E250" s="7" t="str">
        <f>VLOOKUP(IONOMICS!C250,'Field Table'!A$2:E$661,4,FALSE)</f>
        <v>2</v>
      </c>
      <c r="F250" s="7" t="str">
        <f>VLOOKUP(IONOMICS!C250,'Field Table'!A$2:E$661,5,FALSE)</f>
        <v>25</v>
      </c>
      <c r="G250" s="11">
        <v>1.1577258138468594</v>
      </c>
      <c r="H250" s="12" t="s">
        <v>333</v>
      </c>
      <c r="I250" s="12" t="s">
        <v>333</v>
      </c>
      <c r="J250" s="12" t="s">
        <v>333</v>
      </c>
      <c r="K250" s="12" t="s">
        <v>333</v>
      </c>
      <c r="L250" s="11">
        <v>0.13342503438789546</v>
      </c>
      <c r="M250" s="11" t="s">
        <v>333</v>
      </c>
      <c r="N250" s="12" t="s">
        <v>333</v>
      </c>
      <c r="O250" s="12" t="s">
        <v>333</v>
      </c>
      <c r="P250" s="12">
        <v>0.56166895919303073</v>
      </c>
      <c r="Q250" s="12">
        <v>3.2439248051352592</v>
      </c>
      <c r="R250" s="12">
        <v>0.16735442457588262</v>
      </c>
      <c r="S250" s="12" t="s">
        <v>333</v>
      </c>
      <c r="T250" s="12" t="s">
        <v>333</v>
      </c>
      <c r="U250" s="12">
        <v>5.4951856946354884E-2</v>
      </c>
      <c r="V250" s="12">
        <v>38.296652911508488</v>
      </c>
      <c r="W250" s="12" t="s">
        <v>333</v>
      </c>
      <c r="X250" s="13">
        <v>1.3296652911508482E-4</v>
      </c>
      <c r="Y250" s="12">
        <v>0.7909215955983494</v>
      </c>
      <c r="Z250" s="12">
        <v>9.1701054562127474E-2</v>
      </c>
      <c r="AA250" s="13">
        <v>6.3583218707015136E-3</v>
      </c>
      <c r="AB250" s="12">
        <v>4.0577716643741404</v>
      </c>
      <c r="AC250" s="12" t="s">
        <v>333</v>
      </c>
      <c r="AD250" s="12" t="s">
        <v>333</v>
      </c>
      <c r="AE250" s="12">
        <v>23.55570839064649</v>
      </c>
      <c r="AF250" s="14">
        <v>1.3033012379642366E-2</v>
      </c>
      <c r="AG250" s="12">
        <v>9.1930307198532777</v>
      </c>
      <c r="AH250" s="12">
        <v>0.40119211370930774</v>
      </c>
      <c r="AI250" s="12">
        <v>7.9665291150848248</v>
      </c>
      <c r="AJ250" s="12" t="s">
        <v>333</v>
      </c>
      <c r="AK250" s="12">
        <v>2.3269142595139845</v>
      </c>
    </row>
    <row r="251" spans="1:37" x14ac:dyDescent="0.25">
      <c r="A251" s="7" t="s">
        <v>582</v>
      </c>
      <c r="B251" s="7" t="str">
        <f t="shared" si="3"/>
        <v>2768-251</v>
      </c>
      <c r="C251" s="7">
        <f>VLOOKUP(B251,'CEBAS-DEWOOD code'!A$2:B$302,2,FALSE)</f>
        <v>74</v>
      </c>
      <c r="D251" s="7" t="str">
        <f>VLOOKUP(IONOMICS!C251,'Field Table'!A$2:E$661,3,FALSE)</f>
        <v>AA</v>
      </c>
      <c r="E251" s="7" t="str">
        <f>VLOOKUP(IONOMICS!C251,'Field Table'!A$2:E$661,4,FALSE)</f>
        <v>2</v>
      </c>
      <c r="F251" s="7" t="str">
        <f>VLOOKUP(IONOMICS!C251,'Field Table'!A$2:E$661,5,FALSE)</f>
        <v>25</v>
      </c>
      <c r="G251" s="11">
        <v>9.2253521126760578</v>
      </c>
      <c r="H251" s="12" t="s">
        <v>333</v>
      </c>
      <c r="I251" s="12" t="s">
        <v>333</v>
      </c>
      <c r="J251" s="12" t="s">
        <v>333</v>
      </c>
      <c r="K251" s="12" t="s">
        <v>333</v>
      </c>
      <c r="L251" s="11">
        <v>5.1643192488262921E-2</v>
      </c>
      <c r="M251" s="11" t="s">
        <v>333</v>
      </c>
      <c r="N251" s="12" t="s">
        <v>333</v>
      </c>
      <c r="O251" s="12" t="s">
        <v>333</v>
      </c>
      <c r="P251" s="12">
        <v>0.75117370892018787</v>
      </c>
      <c r="Q251" s="12">
        <v>4.166666666666667</v>
      </c>
      <c r="R251" s="12">
        <v>0.14260563380281691</v>
      </c>
      <c r="S251" s="12" t="s">
        <v>333</v>
      </c>
      <c r="T251" s="12" t="s">
        <v>333</v>
      </c>
      <c r="U251" s="12">
        <v>1.1971830985915494E-2</v>
      </c>
      <c r="V251" s="12">
        <v>20.246478873239436</v>
      </c>
      <c r="W251" s="12" t="s">
        <v>333</v>
      </c>
      <c r="X251" s="13">
        <v>2.4882629107981222E-4</v>
      </c>
      <c r="Y251" s="12" t="s">
        <v>333</v>
      </c>
      <c r="Z251" s="12">
        <v>2.3474178403755871E-2</v>
      </c>
      <c r="AA251" s="13">
        <v>1.7370892018779346E-4</v>
      </c>
      <c r="AB251" s="12">
        <v>2.3943661971830985</v>
      </c>
      <c r="AC251" s="12" t="s">
        <v>333</v>
      </c>
      <c r="AD251" s="12" t="s">
        <v>333</v>
      </c>
      <c r="AE251" s="12">
        <v>15.950704225352112</v>
      </c>
      <c r="AF251" s="14">
        <v>5.7781690140845075E-3</v>
      </c>
      <c r="AG251" s="12">
        <v>3.192488262910798</v>
      </c>
      <c r="AH251" s="12">
        <v>1.8661971830985917</v>
      </c>
      <c r="AI251" s="12" t="s">
        <v>333</v>
      </c>
      <c r="AJ251" s="12" t="s">
        <v>333</v>
      </c>
      <c r="AK251" s="12">
        <v>3.227699530516432</v>
      </c>
    </row>
    <row r="252" spans="1:37" x14ac:dyDescent="0.25">
      <c r="A252" s="7" t="s">
        <v>583</v>
      </c>
      <c r="B252" s="7" t="str">
        <f t="shared" si="3"/>
        <v>2768-252</v>
      </c>
      <c r="C252" s="7">
        <f>VLOOKUP(B252,'CEBAS-DEWOOD code'!A$2:B$302,2,FALSE)</f>
        <v>12</v>
      </c>
      <c r="D252" s="7" t="str">
        <f>VLOOKUP(IONOMICS!C252,'Field Table'!A$2:E$661,3,FALSE)</f>
        <v>FS</v>
      </c>
      <c r="E252" s="7" t="str">
        <f>VLOOKUP(IONOMICS!C252,'Field Table'!A$2:E$661,4,FALSE)</f>
        <v>4</v>
      </c>
      <c r="F252" s="7" t="str">
        <f>VLOOKUP(IONOMICS!C252,'Field Table'!A$2:E$661,5,FALSE)</f>
        <v>10</v>
      </c>
      <c r="G252" s="11">
        <v>27.869808679421375</v>
      </c>
      <c r="H252" s="12" t="s">
        <v>333</v>
      </c>
      <c r="I252" s="12" t="s">
        <v>333</v>
      </c>
      <c r="J252" s="12" t="s">
        <v>333</v>
      </c>
      <c r="K252" s="12" t="s">
        <v>333</v>
      </c>
      <c r="L252" s="11">
        <v>0.69505366308912742</v>
      </c>
      <c r="M252" s="11" t="s">
        <v>333</v>
      </c>
      <c r="N252" s="12" t="s">
        <v>333</v>
      </c>
      <c r="O252" s="12" t="s">
        <v>333</v>
      </c>
      <c r="P252" s="12">
        <v>1.9598693420438638</v>
      </c>
      <c r="Q252" s="12">
        <v>21.290247316845544</v>
      </c>
      <c r="R252" s="12">
        <v>0.11189920671955204</v>
      </c>
      <c r="S252" s="12" t="s">
        <v>333</v>
      </c>
      <c r="T252" s="12" t="s">
        <v>333</v>
      </c>
      <c r="U252" s="12">
        <v>0.16448903406439569</v>
      </c>
      <c r="V252" s="12">
        <v>470.01866542230516</v>
      </c>
      <c r="W252" s="12" t="s">
        <v>333</v>
      </c>
      <c r="X252" s="13">
        <v>1.2284181054596363E-3</v>
      </c>
      <c r="Y252" s="12">
        <v>4.7130191320578634</v>
      </c>
      <c r="Z252" s="12">
        <v>0.45496966868875405</v>
      </c>
      <c r="AA252" s="13">
        <v>2.2620158656089597E-2</v>
      </c>
      <c r="AB252" s="12">
        <v>1.7965468968735419</v>
      </c>
      <c r="AC252" s="12" t="s">
        <v>333</v>
      </c>
      <c r="AD252" s="12">
        <v>0.19832011199253383</v>
      </c>
      <c r="AE252" s="12">
        <v>91.565562295846959</v>
      </c>
      <c r="AF252" s="14">
        <v>3.1136257582827814E-2</v>
      </c>
      <c r="AG252" s="12">
        <v>44.120391973868408</v>
      </c>
      <c r="AH252" s="12">
        <v>1.224918338777415</v>
      </c>
      <c r="AI252" s="12">
        <v>32.104526364909006</v>
      </c>
      <c r="AJ252" s="12" t="s">
        <v>333</v>
      </c>
      <c r="AK252" s="12">
        <v>6.8478768082127859</v>
      </c>
    </row>
    <row r="253" spans="1:37" x14ac:dyDescent="0.25">
      <c r="A253" s="7" t="s">
        <v>584</v>
      </c>
      <c r="B253" s="7" t="str">
        <f t="shared" si="3"/>
        <v>2768-253</v>
      </c>
      <c r="C253" s="7">
        <f>VLOOKUP(B253,'CEBAS-DEWOOD code'!A$2:B$302,2,FALSE)</f>
        <v>141</v>
      </c>
      <c r="D253" s="7" t="str">
        <f>VLOOKUP(IONOMICS!C253,'Field Table'!A$2:E$661,3,FALSE)</f>
        <v>AA</v>
      </c>
      <c r="E253" s="7" t="str">
        <f>VLOOKUP(IONOMICS!C253,'Field Table'!A$2:E$661,4,FALSE)</f>
        <v>2</v>
      </c>
      <c r="F253" s="7" t="str">
        <f>VLOOKUP(IONOMICS!C253,'Field Table'!A$2:E$661,5,FALSE)</f>
        <v>10</v>
      </c>
      <c r="G253" s="11">
        <v>4.6374764595103573</v>
      </c>
      <c r="H253" s="12" t="s">
        <v>333</v>
      </c>
      <c r="I253" s="12" t="s">
        <v>333</v>
      </c>
      <c r="J253" s="12" t="s">
        <v>333</v>
      </c>
      <c r="K253" s="12" t="s">
        <v>333</v>
      </c>
      <c r="L253" s="11">
        <v>6.6890301318267412E-2</v>
      </c>
      <c r="M253" s="11" t="s">
        <v>333</v>
      </c>
      <c r="N253" s="12" t="s">
        <v>333</v>
      </c>
      <c r="O253" s="12" t="s">
        <v>333</v>
      </c>
      <c r="P253" s="12">
        <v>0.42372881355932202</v>
      </c>
      <c r="Q253" s="12">
        <v>0.74152542372881358</v>
      </c>
      <c r="R253" s="12">
        <v>0.10726224105461393</v>
      </c>
      <c r="S253" s="12" t="s">
        <v>333</v>
      </c>
      <c r="T253" s="12" t="s">
        <v>333</v>
      </c>
      <c r="U253" s="12">
        <v>1.7831920903954801E-2</v>
      </c>
      <c r="V253" s="12">
        <v>24.058380414312619</v>
      </c>
      <c r="W253" s="12" t="s">
        <v>333</v>
      </c>
      <c r="X253" s="13" t="s">
        <v>333</v>
      </c>
      <c r="Y253" s="12" t="s">
        <v>333</v>
      </c>
      <c r="Z253" s="12">
        <v>0.11770244821092279</v>
      </c>
      <c r="AA253" s="13">
        <v>1.5230696798493406E-3</v>
      </c>
      <c r="AB253" s="12">
        <v>1.435969868173258</v>
      </c>
      <c r="AC253" s="12" t="s">
        <v>333</v>
      </c>
      <c r="AD253" s="12" t="s">
        <v>333</v>
      </c>
      <c r="AE253" s="12">
        <v>12.794256120527308</v>
      </c>
      <c r="AF253" s="14">
        <v>6.0004708097928438E-3</v>
      </c>
      <c r="AG253" s="12">
        <v>4.225517890772128</v>
      </c>
      <c r="AH253" s="12">
        <v>3.5310734463276837E-2</v>
      </c>
      <c r="AI253" s="12">
        <v>1.0946327683615817</v>
      </c>
      <c r="AJ253" s="12" t="s">
        <v>333</v>
      </c>
      <c r="AK253" s="12">
        <v>2.8954802259887003</v>
      </c>
    </row>
    <row r="254" spans="1:37" x14ac:dyDescent="0.25">
      <c r="A254" s="7" t="s">
        <v>585</v>
      </c>
      <c r="B254" s="7" t="str">
        <f t="shared" si="3"/>
        <v>2768-254</v>
      </c>
      <c r="C254" s="7">
        <f>VLOOKUP(B254,'CEBAS-DEWOOD code'!A$2:B$302,2,FALSE)</f>
        <v>355</v>
      </c>
      <c r="D254" s="7" t="str">
        <f>VLOOKUP(IONOMICS!C254,'Field Table'!A$2:E$661,3,FALSE)</f>
        <v>FS</v>
      </c>
      <c r="E254" s="7" t="str">
        <f>VLOOKUP(IONOMICS!C254,'Field Table'!A$2:E$661,4,FALSE)</f>
        <v>1</v>
      </c>
      <c r="F254" s="7" t="str">
        <f>VLOOKUP(IONOMICS!C254,'Field Table'!A$2:E$661,5,FALSE)</f>
        <v>10</v>
      </c>
      <c r="G254" s="11">
        <v>2.1459585838343358</v>
      </c>
      <c r="H254" s="12" t="s">
        <v>333</v>
      </c>
      <c r="I254" s="12" t="s">
        <v>333</v>
      </c>
      <c r="J254" s="12" t="s">
        <v>333</v>
      </c>
      <c r="K254" s="12" t="s">
        <v>333</v>
      </c>
      <c r="L254" s="11">
        <v>0.15915163660654641</v>
      </c>
      <c r="M254" s="11" t="s">
        <v>333</v>
      </c>
      <c r="N254" s="12" t="s">
        <v>333</v>
      </c>
      <c r="O254" s="12" t="s">
        <v>333</v>
      </c>
      <c r="P254" s="12">
        <v>0.6763527054108216</v>
      </c>
      <c r="Q254" s="12">
        <v>1.7284569138276551</v>
      </c>
      <c r="R254" s="12">
        <v>9.5774883099532401E-2</v>
      </c>
      <c r="S254" s="12" t="s">
        <v>333</v>
      </c>
      <c r="T254" s="12" t="s">
        <v>333</v>
      </c>
      <c r="U254" s="12">
        <v>5.5118570474281897E-2</v>
      </c>
      <c r="V254" s="12">
        <v>95.190380761523031</v>
      </c>
      <c r="W254" s="12" t="s">
        <v>333</v>
      </c>
      <c r="X254" s="13">
        <v>8.1245824983299929E-4</v>
      </c>
      <c r="Y254" s="12">
        <v>0.93520374081496316</v>
      </c>
      <c r="Z254" s="12">
        <v>4.1750167000668005E-2</v>
      </c>
      <c r="AA254" s="13">
        <v>8.9929859719438884E-3</v>
      </c>
      <c r="AB254" s="12">
        <v>2.2294589178356712</v>
      </c>
      <c r="AC254" s="12" t="s">
        <v>333</v>
      </c>
      <c r="AD254" s="12" t="s">
        <v>333</v>
      </c>
      <c r="AE254" s="12">
        <v>15.26386105544422</v>
      </c>
      <c r="AF254" s="14">
        <v>1.4954909819639277E-2</v>
      </c>
      <c r="AG254" s="12">
        <v>10.295591182364729</v>
      </c>
      <c r="AH254" s="12">
        <v>0.20040080160320642</v>
      </c>
      <c r="AI254" s="12">
        <v>9.669338677354709</v>
      </c>
      <c r="AJ254" s="12" t="s">
        <v>333</v>
      </c>
      <c r="AK254" s="12">
        <v>3.7324649298597192</v>
      </c>
    </row>
    <row r="255" spans="1:37" x14ac:dyDescent="0.25">
      <c r="A255" s="7" t="s">
        <v>586</v>
      </c>
      <c r="B255" s="7" t="str">
        <f t="shared" si="3"/>
        <v>2768-255</v>
      </c>
      <c r="C255" s="7">
        <f>VLOOKUP(B255,'CEBAS-DEWOOD code'!A$2:B$302,2,FALSE)</f>
        <v>1065</v>
      </c>
      <c r="D255" s="7" t="str">
        <f>VLOOKUP(IONOMICS!C255,'Field Table'!A$2:E$661,3,FALSE)</f>
        <v>FS</v>
      </c>
      <c r="E255" s="7" t="str">
        <f>VLOOKUP(IONOMICS!C255,'Field Table'!A$2:E$661,4,FALSE)</f>
        <v>2</v>
      </c>
      <c r="F255" s="7" t="str">
        <f>VLOOKUP(IONOMICS!C255,'Field Table'!A$2:E$661,5,FALSE)</f>
        <v>01</v>
      </c>
      <c r="G255" s="11">
        <v>9.3211648892534864</v>
      </c>
      <c r="H255" s="12" t="s">
        <v>333</v>
      </c>
      <c r="I255" s="12" t="s">
        <v>333</v>
      </c>
      <c r="J255" s="12" t="s">
        <v>333</v>
      </c>
      <c r="K255" s="12" t="s">
        <v>333</v>
      </c>
      <c r="L255" s="11">
        <v>0.21616078753076293</v>
      </c>
      <c r="M255" s="11" t="s">
        <v>333</v>
      </c>
      <c r="N255" s="12" t="s">
        <v>333</v>
      </c>
      <c r="O255" s="12" t="s">
        <v>333</v>
      </c>
      <c r="P255" s="12">
        <v>1.7124692370795733</v>
      </c>
      <c r="Q255" s="12">
        <v>9.280147662018047</v>
      </c>
      <c r="R255" s="12">
        <v>9.3857670221493036E-2</v>
      </c>
      <c r="S255" s="12" t="s">
        <v>333</v>
      </c>
      <c r="T255" s="12" t="s">
        <v>333</v>
      </c>
      <c r="U255" s="12">
        <v>2.1134126333059885E-2</v>
      </c>
      <c r="V255" s="12">
        <v>60.74651353568499</v>
      </c>
      <c r="W255" s="12" t="s">
        <v>333</v>
      </c>
      <c r="X255" s="13">
        <v>8.6238720262510251E-4</v>
      </c>
      <c r="Y255" s="12">
        <v>0.55373256767842505</v>
      </c>
      <c r="Z255" s="12">
        <v>0.62551271534044295</v>
      </c>
      <c r="AA255" s="13">
        <v>1.8591058244462676E-2</v>
      </c>
      <c r="AB255" s="12">
        <v>1.989335520918786</v>
      </c>
      <c r="AC255" s="12" t="s">
        <v>333</v>
      </c>
      <c r="AD255" s="12" t="s">
        <v>333</v>
      </c>
      <c r="AE255" s="12">
        <v>519.58572600492209</v>
      </c>
      <c r="AF255" s="14">
        <v>1.8929450369155047E-2</v>
      </c>
      <c r="AG255" s="12">
        <v>12.417965545529123</v>
      </c>
      <c r="AH255" s="12">
        <v>0.38966365873666942</v>
      </c>
      <c r="AI255" s="12">
        <v>3.6505332239540609</v>
      </c>
      <c r="AJ255" s="12" t="s">
        <v>333</v>
      </c>
      <c r="AK255" s="12">
        <v>5.3732567678424941</v>
      </c>
    </row>
    <row r="256" spans="1:37" x14ac:dyDescent="0.25">
      <c r="A256" s="7" t="s">
        <v>587</v>
      </c>
      <c r="B256" s="7" t="str">
        <f t="shared" si="3"/>
        <v>2768-256</v>
      </c>
      <c r="C256" s="7">
        <f>VLOOKUP(B256,'CEBAS-DEWOOD code'!A$2:B$302,2,FALSE)</f>
        <v>366</v>
      </c>
      <c r="D256" s="7" t="str">
        <f>VLOOKUP(IONOMICS!C256,'Field Table'!A$2:E$661,3,FALSE)</f>
        <v>AA</v>
      </c>
      <c r="E256" s="7" t="str">
        <f>VLOOKUP(IONOMICS!C256,'Field Table'!A$2:E$661,4,FALSE)</f>
        <v>1</v>
      </c>
      <c r="F256" s="7" t="str">
        <f>VLOOKUP(IONOMICS!C256,'Field Table'!A$2:E$661,5,FALSE)</f>
        <v>10</v>
      </c>
      <c r="G256" s="11">
        <v>4.4298605414274004</v>
      </c>
      <c r="H256" s="12" t="s">
        <v>333</v>
      </c>
      <c r="I256" s="12" t="s">
        <v>333</v>
      </c>
      <c r="J256" s="12" t="s">
        <v>333</v>
      </c>
      <c r="K256" s="12" t="s">
        <v>333</v>
      </c>
      <c r="L256" s="11">
        <v>4.3919196062346191E-2</v>
      </c>
      <c r="M256" s="11" t="s">
        <v>333</v>
      </c>
      <c r="N256" s="12" t="s">
        <v>333</v>
      </c>
      <c r="O256" s="12" t="s">
        <v>333</v>
      </c>
      <c r="P256" s="12">
        <v>0.58449548810500418</v>
      </c>
      <c r="Q256" s="12">
        <v>5.4245283018867925</v>
      </c>
      <c r="R256" s="12">
        <v>4.4965135356849879E-2</v>
      </c>
      <c r="S256" s="12" t="s">
        <v>333</v>
      </c>
      <c r="T256" s="12" t="s">
        <v>333</v>
      </c>
      <c r="U256" s="12">
        <v>9.7323625922887628E-3</v>
      </c>
      <c r="V256" s="12">
        <v>30.680885972108289</v>
      </c>
      <c r="W256" s="12" t="s">
        <v>333</v>
      </c>
      <c r="X256" s="13">
        <v>1.4868744872846597E-4</v>
      </c>
      <c r="Y256" s="12" t="s">
        <v>333</v>
      </c>
      <c r="Z256" s="12">
        <v>0.17432321575061524</v>
      </c>
      <c r="AA256" s="13">
        <v>2.1646841673502873E-3</v>
      </c>
      <c r="AB256" s="12">
        <v>0.55373256767842505</v>
      </c>
      <c r="AC256" s="12" t="s">
        <v>333</v>
      </c>
      <c r="AD256" s="12" t="s">
        <v>333</v>
      </c>
      <c r="AE256" s="12">
        <v>9.6493027071369983</v>
      </c>
      <c r="AF256" s="14">
        <v>4.6277686628383918E-3</v>
      </c>
      <c r="AG256" s="12">
        <v>2.6558654634946679</v>
      </c>
      <c r="AH256" s="12">
        <v>0.13330598851517639</v>
      </c>
      <c r="AI256" s="12">
        <v>1.0254306808859722E-2</v>
      </c>
      <c r="AJ256" s="12" t="s">
        <v>333</v>
      </c>
      <c r="AK256" s="12">
        <v>4.4196062346185396</v>
      </c>
    </row>
    <row r="257" spans="1:37" x14ac:dyDescent="0.25">
      <c r="A257" s="7" t="s">
        <v>588</v>
      </c>
      <c r="B257" s="7" t="str">
        <f t="shared" si="3"/>
        <v>2768-257</v>
      </c>
      <c r="C257" s="7">
        <f>VLOOKUP(B257,'CEBAS-DEWOOD code'!A$2:B$302,2,FALSE)</f>
        <v>40</v>
      </c>
      <c r="D257" s="7" t="str">
        <f>VLOOKUP(IONOMICS!C257,'Field Table'!A$2:E$661,3,FALSE)</f>
        <v>FS</v>
      </c>
      <c r="E257" s="7" t="str">
        <f>VLOOKUP(IONOMICS!C257,'Field Table'!A$2:E$661,4,FALSE)</f>
        <v>1</v>
      </c>
      <c r="F257" s="7" t="str">
        <f>VLOOKUP(IONOMICS!C257,'Field Table'!A$2:E$661,5,FALSE)</f>
        <v>25</v>
      </c>
      <c r="G257" s="11">
        <v>1.6399416909620992</v>
      </c>
      <c r="H257" s="12" t="s">
        <v>333</v>
      </c>
      <c r="I257" s="12" t="s">
        <v>333</v>
      </c>
      <c r="J257" s="12" t="s">
        <v>333</v>
      </c>
      <c r="K257" s="12" t="s">
        <v>333</v>
      </c>
      <c r="L257" s="11">
        <v>0.10807823129251701</v>
      </c>
      <c r="M257" s="11" t="s">
        <v>333</v>
      </c>
      <c r="N257" s="12" t="s">
        <v>333</v>
      </c>
      <c r="O257" s="12" t="s">
        <v>333</v>
      </c>
      <c r="P257" s="12">
        <v>1.1418853255587949</v>
      </c>
      <c r="Q257" s="12">
        <v>2.6360544217687072</v>
      </c>
      <c r="R257" s="12">
        <v>4.3124392614188524E-2</v>
      </c>
      <c r="S257" s="12" t="s">
        <v>333</v>
      </c>
      <c r="T257" s="12" t="s">
        <v>333</v>
      </c>
      <c r="U257" s="12">
        <v>1.5439747327502428E-2</v>
      </c>
      <c r="V257" s="12">
        <v>50.279397473275026</v>
      </c>
      <c r="W257" s="12" t="s">
        <v>333</v>
      </c>
      <c r="X257" s="13" t="s">
        <v>333</v>
      </c>
      <c r="Y257" s="12">
        <v>0.57094266277939743</v>
      </c>
      <c r="Z257" s="12">
        <v>0.17006802721088432</v>
      </c>
      <c r="AA257" s="13">
        <v>2.3748785228377067E-3</v>
      </c>
      <c r="AB257" s="12">
        <v>1.1054421768707483</v>
      </c>
      <c r="AC257" s="12" t="s">
        <v>333</v>
      </c>
      <c r="AD257" s="12" t="s">
        <v>333</v>
      </c>
      <c r="AE257" s="12">
        <v>12.475704567541301</v>
      </c>
      <c r="AF257" s="14">
        <v>8.6625364431486863E-3</v>
      </c>
      <c r="AG257" s="12">
        <v>8.0660835762876566</v>
      </c>
      <c r="AH257" s="12">
        <v>0.26724975704567538</v>
      </c>
      <c r="AI257" s="12">
        <v>0.88678328474246837</v>
      </c>
      <c r="AJ257" s="12" t="s">
        <v>333</v>
      </c>
      <c r="AK257" s="12">
        <v>1.8586005830903789</v>
      </c>
    </row>
    <row r="258" spans="1:37" x14ac:dyDescent="0.25">
      <c r="A258" s="7" t="s">
        <v>589</v>
      </c>
      <c r="B258" s="7" t="str">
        <f t="shared" si="3"/>
        <v>2768-258</v>
      </c>
      <c r="C258" s="7">
        <f>VLOOKUP(B258,'CEBAS-DEWOOD code'!A$2:B$302,2,FALSE)</f>
        <v>1021</v>
      </c>
      <c r="D258" s="7" t="str">
        <f>VLOOKUP(IONOMICS!C258,'Field Table'!A$2:E$661,3,FALSE)</f>
        <v>AA</v>
      </c>
      <c r="E258" s="7" t="str">
        <f>VLOOKUP(IONOMICS!C258,'Field Table'!A$2:E$661,4,FALSE)</f>
        <v>4</v>
      </c>
      <c r="F258" s="7" t="str">
        <f>VLOOKUP(IONOMICS!C258,'Field Table'!A$2:E$661,5,FALSE)</f>
        <v>01</v>
      </c>
      <c r="G258" s="11">
        <v>81.330935251798564</v>
      </c>
      <c r="H258" s="12" t="s">
        <v>333</v>
      </c>
      <c r="I258" s="12" t="s">
        <v>333</v>
      </c>
      <c r="J258" s="12" t="s">
        <v>333</v>
      </c>
      <c r="K258" s="12" t="s">
        <v>333</v>
      </c>
      <c r="L258" s="11">
        <v>0.25071942446043166</v>
      </c>
      <c r="M258" s="11">
        <v>0.20383693045563547</v>
      </c>
      <c r="N258" s="12" t="s">
        <v>333</v>
      </c>
      <c r="O258" s="12" t="s">
        <v>333</v>
      </c>
      <c r="P258" s="12">
        <v>3.2374100719424463</v>
      </c>
      <c r="Q258" s="12">
        <v>40.863309352517987</v>
      </c>
      <c r="R258" s="12">
        <v>1.9964028776978421E-2</v>
      </c>
      <c r="S258" s="12" t="s">
        <v>333</v>
      </c>
      <c r="T258" s="12" t="s">
        <v>333</v>
      </c>
      <c r="U258" s="12">
        <v>1.9388489208633095E-2</v>
      </c>
      <c r="V258" s="12">
        <v>114.71223021582735</v>
      </c>
      <c r="W258" s="12" t="s">
        <v>333</v>
      </c>
      <c r="X258" s="13">
        <v>1.2901678657074342E-3</v>
      </c>
      <c r="Y258" s="12">
        <v>5.9952038369304565E-2</v>
      </c>
      <c r="Z258" s="12">
        <v>3.3932853717026381</v>
      </c>
      <c r="AA258" s="13">
        <v>8.5911270983213429E-3</v>
      </c>
      <c r="AB258" s="12">
        <v>0.39568345323741011</v>
      </c>
      <c r="AC258" s="12" t="s">
        <v>333</v>
      </c>
      <c r="AD258" s="12" t="s">
        <v>333</v>
      </c>
      <c r="AE258" s="12">
        <v>88.80095923261392</v>
      </c>
      <c r="AF258" s="14">
        <v>2.0155875299760196E-2</v>
      </c>
      <c r="AG258" s="12">
        <v>9.9760191846522783</v>
      </c>
      <c r="AH258" s="12">
        <v>2.5179856115107917</v>
      </c>
      <c r="AI258" s="12">
        <v>3.5251798561151082</v>
      </c>
      <c r="AJ258" s="12" t="s">
        <v>333</v>
      </c>
      <c r="AK258" s="12">
        <v>26.498800959232618</v>
      </c>
    </row>
    <row r="259" spans="1:37" x14ac:dyDescent="0.25">
      <c r="A259" s="7" t="s">
        <v>590</v>
      </c>
      <c r="B259" s="7" t="str">
        <f t="shared" ref="B259:B300" si="4">RIGHT(A259, LEN(A259)-7)</f>
        <v>2768-259</v>
      </c>
      <c r="C259" s="7">
        <f>VLOOKUP(B259,'CEBAS-DEWOOD code'!A$2:B$302,2,FALSE)</f>
        <v>1024</v>
      </c>
      <c r="D259" s="7" t="str">
        <f>VLOOKUP(IONOMICS!C259,'Field Table'!A$2:E$661,3,FALSE)</f>
        <v>FS</v>
      </c>
      <c r="E259" s="7" t="str">
        <f>VLOOKUP(IONOMICS!C259,'Field Table'!A$2:E$661,4,FALSE)</f>
        <v>4</v>
      </c>
      <c r="F259" s="7" t="str">
        <f>VLOOKUP(IONOMICS!C259,'Field Table'!A$2:E$661,5,FALSE)</f>
        <v>01</v>
      </c>
      <c r="G259" s="11">
        <v>40.202476572958496</v>
      </c>
      <c r="H259" s="12" t="s">
        <v>333</v>
      </c>
      <c r="I259" s="12" t="s">
        <v>333</v>
      </c>
      <c r="J259" s="12" t="s">
        <v>333</v>
      </c>
      <c r="K259" s="12" t="s">
        <v>333</v>
      </c>
      <c r="L259" s="11">
        <v>0.62399598393574296</v>
      </c>
      <c r="M259" s="11" t="s">
        <v>333</v>
      </c>
      <c r="N259" s="12" t="s">
        <v>333</v>
      </c>
      <c r="O259" s="12">
        <v>5.8567603748326633E-2</v>
      </c>
      <c r="P259" s="12">
        <v>2.7275769745649261</v>
      </c>
      <c r="Q259" s="12">
        <v>28.622824631860777</v>
      </c>
      <c r="R259" s="12">
        <v>4.858601070950469E-2</v>
      </c>
      <c r="S259" s="12" t="s">
        <v>333</v>
      </c>
      <c r="T259" s="12" t="s">
        <v>333</v>
      </c>
      <c r="U259" s="12">
        <v>4.6042503346720214E-2</v>
      </c>
      <c r="V259" s="12">
        <v>115.21084337349396</v>
      </c>
      <c r="W259" s="12" t="s">
        <v>333</v>
      </c>
      <c r="X259" s="13">
        <v>1.8181057563587684E-3</v>
      </c>
      <c r="Y259" s="12">
        <v>0.55220883534136544</v>
      </c>
      <c r="Z259" s="12">
        <v>1.42235609103079</v>
      </c>
      <c r="AA259" s="13">
        <v>2.1460843373493976E-2</v>
      </c>
      <c r="AB259" s="12">
        <v>0.93708165997322612</v>
      </c>
      <c r="AC259" s="12" t="s">
        <v>333</v>
      </c>
      <c r="AD259" s="12" t="s">
        <v>333</v>
      </c>
      <c r="AE259" s="12">
        <v>412.23226238286475</v>
      </c>
      <c r="AF259" s="14">
        <v>3.003681392235609E-2</v>
      </c>
      <c r="AG259" s="12">
        <v>40.930388219544845</v>
      </c>
      <c r="AH259" s="12">
        <v>1.8323293172690762</v>
      </c>
      <c r="AI259" s="12">
        <v>8.5257697456492654</v>
      </c>
      <c r="AJ259" s="12" t="s">
        <v>333</v>
      </c>
      <c r="AK259" s="12">
        <v>15.503681392235606</v>
      </c>
    </row>
    <row r="260" spans="1:37" x14ac:dyDescent="0.25">
      <c r="A260" s="7" t="s">
        <v>591</v>
      </c>
      <c r="B260" s="7" t="str">
        <f t="shared" si="4"/>
        <v>2768-260</v>
      </c>
      <c r="C260" s="7">
        <f>VLOOKUP(B260,'CEBAS-DEWOOD code'!A$2:B$302,2,FALSE)</f>
        <v>352</v>
      </c>
      <c r="D260" s="7" t="str">
        <f>VLOOKUP(IONOMICS!C260,'Field Table'!A$2:E$661,3,FALSE)</f>
        <v>AA</v>
      </c>
      <c r="E260" s="7" t="str">
        <f>VLOOKUP(IONOMICS!C260,'Field Table'!A$2:E$661,4,FALSE)</f>
        <v>4</v>
      </c>
      <c r="F260" s="7" t="str">
        <f>VLOOKUP(IONOMICS!C260,'Field Table'!A$2:E$661,5,FALSE)</f>
        <v>10</v>
      </c>
      <c r="G260" s="11">
        <v>8.7510442773600676</v>
      </c>
      <c r="H260" s="12" t="s">
        <v>333</v>
      </c>
      <c r="I260" s="12" t="s">
        <v>333</v>
      </c>
      <c r="J260" s="12" t="s">
        <v>333</v>
      </c>
      <c r="K260" s="12" t="s">
        <v>333</v>
      </c>
      <c r="L260" s="11">
        <v>0.15998329156223892</v>
      </c>
      <c r="M260" s="11">
        <v>0.21929824561403508</v>
      </c>
      <c r="N260" s="12" t="s">
        <v>333</v>
      </c>
      <c r="O260" s="12" t="s">
        <v>333</v>
      </c>
      <c r="P260" s="12">
        <v>0.8249791144527987</v>
      </c>
      <c r="Q260" s="12">
        <v>6.1299081035923138</v>
      </c>
      <c r="R260" s="12">
        <v>5.0772765246449462E-2</v>
      </c>
      <c r="S260" s="12" t="s">
        <v>333</v>
      </c>
      <c r="T260" s="12" t="s">
        <v>333</v>
      </c>
      <c r="U260" s="12">
        <v>3.7656641604010027E-2</v>
      </c>
      <c r="V260" s="12">
        <v>48.036758563074351</v>
      </c>
      <c r="W260" s="12" t="s">
        <v>333</v>
      </c>
      <c r="X260" s="13">
        <v>1.1528822055137844E-3</v>
      </c>
      <c r="Y260" s="12" t="s">
        <v>333</v>
      </c>
      <c r="Z260" s="12">
        <v>0.20885547201336677</v>
      </c>
      <c r="AA260" s="13">
        <v>1.4223057644110275E-3</v>
      </c>
      <c r="AB260" s="12">
        <v>0.83542188805346707</v>
      </c>
      <c r="AC260" s="12" t="s">
        <v>333</v>
      </c>
      <c r="AD260" s="12" t="s">
        <v>333</v>
      </c>
      <c r="AE260" s="12">
        <v>30.148287385129493</v>
      </c>
      <c r="AF260" s="14">
        <v>9.7305764411027562E-3</v>
      </c>
      <c r="AG260" s="12">
        <v>10.766499582289056</v>
      </c>
      <c r="AH260" s="12">
        <v>0.5743525480367585</v>
      </c>
      <c r="AI260" s="12">
        <v>5.2318295739348368</v>
      </c>
      <c r="AJ260" s="12" t="s">
        <v>333</v>
      </c>
      <c r="AK260" s="12">
        <v>9.3358395989974934</v>
      </c>
    </row>
    <row r="261" spans="1:37" x14ac:dyDescent="0.25">
      <c r="A261" s="7" t="s">
        <v>592</v>
      </c>
      <c r="B261" s="7" t="str">
        <f t="shared" si="4"/>
        <v>2768-261</v>
      </c>
      <c r="C261" s="7">
        <f>VLOOKUP(B261,'CEBAS-DEWOOD code'!A$2:B$302,2,FALSE)</f>
        <v>1089</v>
      </c>
      <c r="D261" s="7" t="str">
        <f>VLOOKUP(IONOMICS!C261,'Field Table'!A$2:E$661,3,FALSE)</f>
        <v>FS</v>
      </c>
      <c r="E261" s="7" t="str">
        <f>VLOOKUP(IONOMICS!C261,'Field Table'!A$2:E$661,4,FALSE)</f>
        <v>2</v>
      </c>
      <c r="F261" s="7" t="str">
        <f>VLOOKUP(IONOMICS!C261,'Field Table'!A$2:E$661,5,FALSE)</f>
        <v>01</v>
      </c>
      <c r="G261" s="11">
        <v>12.437722419928825</v>
      </c>
      <c r="H261" s="12" t="s">
        <v>333</v>
      </c>
      <c r="I261" s="12" t="s">
        <v>333</v>
      </c>
      <c r="J261" s="12" t="s">
        <v>333</v>
      </c>
      <c r="K261" s="12" t="s">
        <v>333</v>
      </c>
      <c r="L261" s="11">
        <v>0.3749110320284697</v>
      </c>
      <c r="M261" s="11" t="s">
        <v>333</v>
      </c>
      <c r="N261" s="12" t="s">
        <v>333</v>
      </c>
      <c r="O261" s="12" t="s">
        <v>333</v>
      </c>
      <c r="P261" s="12">
        <v>2.5711743772241986</v>
      </c>
      <c r="Q261" s="12">
        <v>13.42526690391459</v>
      </c>
      <c r="R261" s="12">
        <v>0.18638790035587186</v>
      </c>
      <c r="S261" s="12" t="s">
        <v>333</v>
      </c>
      <c r="T261" s="12" t="s">
        <v>333</v>
      </c>
      <c r="U261" s="12">
        <v>3.5516014234875444E-2</v>
      </c>
      <c r="V261" s="12">
        <v>101.33451957295374</v>
      </c>
      <c r="W261" s="12" t="s">
        <v>333</v>
      </c>
      <c r="X261" s="13">
        <v>5.5871886120996439E-4</v>
      </c>
      <c r="Y261" s="12">
        <v>0.6316725978647687</v>
      </c>
      <c r="Z261" s="12">
        <v>0.96085409252669041</v>
      </c>
      <c r="AA261" s="13">
        <v>4.3692170818505328E-2</v>
      </c>
      <c r="AB261" s="12">
        <v>4.7864768683274015</v>
      </c>
      <c r="AC261" s="12" t="s">
        <v>333</v>
      </c>
      <c r="AD261" s="12" t="s">
        <v>333</v>
      </c>
      <c r="AE261" s="12">
        <v>653.11387900355862</v>
      </c>
      <c r="AF261" s="14">
        <v>2.9982206405693948E-2</v>
      </c>
      <c r="AG261" s="12">
        <v>18.887900355871885</v>
      </c>
      <c r="AH261" s="12">
        <v>0.72064056939501764</v>
      </c>
      <c r="AI261" s="12">
        <v>5.9252669039145909</v>
      </c>
      <c r="AJ261" s="12" t="s">
        <v>333</v>
      </c>
      <c r="AK261" s="12">
        <v>4.9733096085409247</v>
      </c>
    </row>
    <row r="262" spans="1:37" x14ac:dyDescent="0.25">
      <c r="A262" s="7" t="s">
        <v>593</v>
      </c>
      <c r="B262" s="7" t="str">
        <f t="shared" si="4"/>
        <v>2768-262</v>
      </c>
      <c r="C262" s="7">
        <f>VLOOKUP(B262,'CEBAS-DEWOOD code'!A$2:B$302,2,FALSE)</f>
        <v>156</v>
      </c>
      <c r="D262" s="7" t="str">
        <f>VLOOKUP(IONOMICS!C262,'Field Table'!A$2:E$661,3,FALSE)</f>
        <v>FS</v>
      </c>
      <c r="E262" s="7" t="str">
        <f>VLOOKUP(IONOMICS!C262,'Field Table'!A$2:E$661,4,FALSE)</f>
        <v>2</v>
      </c>
      <c r="F262" s="7" t="str">
        <f>VLOOKUP(IONOMICS!C262,'Field Table'!A$2:E$661,5,FALSE)</f>
        <v>10</v>
      </c>
      <c r="G262" s="11">
        <v>1.2720156555772995</v>
      </c>
      <c r="H262" s="12" t="s">
        <v>333</v>
      </c>
      <c r="I262" s="12" t="s">
        <v>333</v>
      </c>
      <c r="J262" s="12" t="s">
        <v>333</v>
      </c>
      <c r="K262" s="12" t="s">
        <v>333</v>
      </c>
      <c r="L262" s="11">
        <v>0.20616438356164382</v>
      </c>
      <c r="M262" s="11" t="s">
        <v>333</v>
      </c>
      <c r="N262" s="12" t="s">
        <v>333</v>
      </c>
      <c r="O262" s="12" t="s">
        <v>333</v>
      </c>
      <c r="P262" s="12">
        <v>1.1350293542074363</v>
      </c>
      <c r="Q262" s="12">
        <v>1.9667318982387474</v>
      </c>
      <c r="R262" s="12">
        <v>0.13688845401174168</v>
      </c>
      <c r="S262" s="12" t="s">
        <v>333</v>
      </c>
      <c r="T262" s="12" t="s">
        <v>333</v>
      </c>
      <c r="U262" s="12">
        <v>5.0146771037182E-2</v>
      </c>
      <c r="V262" s="12">
        <v>48.454011741682969</v>
      </c>
      <c r="W262" s="12" t="s">
        <v>333</v>
      </c>
      <c r="X262" s="13">
        <v>5.0391389432485314E-4</v>
      </c>
      <c r="Y262" s="12">
        <v>0.8904109589041096</v>
      </c>
      <c r="Z262" s="12">
        <v>7.8277886497064575E-2</v>
      </c>
      <c r="AA262" s="13">
        <v>1.3219178082191779E-2</v>
      </c>
      <c r="AB262" s="12">
        <v>2.4951076320939332</v>
      </c>
      <c r="AC262" s="12" t="s">
        <v>333</v>
      </c>
      <c r="AD262" s="12" t="s">
        <v>333</v>
      </c>
      <c r="AE262" s="12">
        <v>23.424657534246577</v>
      </c>
      <c r="AF262" s="14">
        <v>1.452054794520548E-2</v>
      </c>
      <c r="AG262" s="12">
        <v>12.103718199608611</v>
      </c>
      <c r="AH262" s="12">
        <v>0.19569471624266147</v>
      </c>
      <c r="AI262" s="12">
        <v>6.9569471624266139</v>
      </c>
      <c r="AJ262" s="12" t="s">
        <v>333</v>
      </c>
      <c r="AK262" s="12">
        <v>2.397260273972603</v>
      </c>
    </row>
    <row r="263" spans="1:37" x14ac:dyDescent="0.25">
      <c r="A263" s="7" t="s">
        <v>594</v>
      </c>
      <c r="B263" s="7" t="str">
        <f t="shared" si="4"/>
        <v>2768-263</v>
      </c>
      <c r="C263" s="7">
        <f>VLOOKUP(B263,'CEBAS-DEWOOD code'!A$2:B$302,2,FALSE)</f>
        <v>1033</v>
      </c>
      <c r="D263" s="7" t="str">
        <f>VLOOKUP(IONOMICS!C263,'Field Table'!A$2:E$661,3,FALSE)</f>
        <v>AA</v>
      </c>
      <c r="E263" s="7" t="str">
        <f>VLOOKUP(IONOMICS!C263,'Field Table'!A$2:E$661,4,FALSE)</f>
        <v>4</v>
      </c>
      <c r="F263" s="7" t="str">
        <f>VLOOKUP(IONOMICS!C263,'Field Table'!A$2:E$661,5,FALSE)</f>
        <v>01</v>
      </c>
      <c r="G263" s="11">
        <v>96.989593657086232</v>
      </c>
      <c r="H263" s="12" t="s">
        <v>333</v>
      </c>
      <c r="I263" s="12" t="s">
        <v>333</v>
      </c>
      <c r="J263" s="12" t="s">
        <v>333</v>
      </c>
      <c r="K263" s="12" t="s">
        <v>333</v>
      </c>
      <c r="L263" s="11">
        <v>0.23946977205153616</v>
      </c>
      <c r="M263" s="11">
        <v>7.4331020812685819E-2</v>
      </c>
      <c r="N263" s="12" t="s">
        <v>333</v>
      </c>
      <c r="O263" s="12" t="s">
        <v>333</v>
      </c>
      <c r="P263" s="12">
        <v>2.7750247770069372</v>
      </c>
      <c r="Q263" s="12">
        <v>47.943508424182362</v>
      </c>
      <c r="R263" s="12">
        <v>2.2348860257680871E-2</v>
      </c>
      <c r="S263" s="12" t="s">
        <v>333</v>
      </c>
      <c r="T263" s="12" t="s">
        <v>333</v>
      </c>
      <c r="U263" s="12">
        <v>2.067641228939544E-2</v>
      </c>
      <c r="V263" s="12">
        <v>101.79633300297324</v>
      </c>
      <c r="W263" s="12" t="s">
        <v>333</v>
      </c>
      <c r="X263" s="13">
        <v>2.3662041625371654E-3</v>
      </c>
      <c r="Y263" s="12">
        <v>7.4331020812685819E-2</v>
      </c>
      <c r="Z263" s="12">
        <v>2.5024777006937562</v>
      </c>
      <c r="AA263" s="13">
        <v>8.9308721506442014E-3</v>
      </c>
      <c r="AB263" s="12">
        <v>0.4831516352824578</v>
      </c>
      <c r="AC263" s="12" t="s">
        <v>333</v>
      </c>
      <c r="AD263" s="12" t="s">
        <v>333</v>
      </c>
      <c r="AE263" s="12">
        <v>69.586223984142705</v>
      </c>
      <c r="AF263" s="14">
        <v>2.1233894945490581E-2</v>
      </c>
      <c r="AG263" s="12">
        <v>9.8116947472745295</v>
      </c>
      <c r="AH263" s="12">
        <v>2.056491575817641</v>
      </c>
      <c r="AI263" s="12">
        <v>4.1253716551040638</v>
      </c>
      <c r="AJ263" s="12" t="s">
        <v>333</v>
      </c>
      <c r="AK263" s="12">
        <v>18.050049554013874</v>
      </c>
    </row>
    <row r="264" spans="1:37" x14ac:dyDescent="0.25">
      <c r="A264" s="7" t="s">
        <v>595</v>
      </c>
      <c r="B264" s="7" t="str">
        <f t="shared" si="4"/>
        <v>2768-264</v>
      </c>
      <c r="C264" s="7">
        <f>VLOOKUP(B264,'CEBAS-DEWOOD code'!A$2:B$302,2,FALSE)</f>
        <v>395</v>
      </c>
      <c r="D264" s="7" t="str">
        <f>VLOOKUP(IONOMICS!C264,'Field Table'!A$2:E$661,3,FALSE)</f>
        <v>FS</v>
      </c>
      <c r="E264" s="7" t="str">
        <f>VLOOKUP(IONOMICS!C264,'Field Table'!A$2:E$661,4,FALSE)</f>
        <v>4</v>
      </c>
      <c r="F264" s="7" t="str">
        <f>VLOOKUP(IONOMICS!C264,'Field Table'!A$2:E$661,5,FALSE)</f>
        <v>10</v>
      </c>
      <c r="G264" s="11">
        <v>16.543635170603672</v>
      </c>
      <c r="H264" s="12" t="s">
        <v>333</v>
      </c>
      <c r="I264" s="12" t="s">
        <v>333</v>
      </c>
      <c r="J264" s="12" t="s">
        <v>333</v>
      </c>
      <c r="K264" s="12" t="s">
        <v>333</v>
      </c>
      <c r="L264" s="11">
        <v>0.41437007874015752</v>
      </c>
      <c r="M264" s="11" t="s">
        <v>333</v>
      </c>
      <c r="N264" s="12" t="s">
        <v>333</v>
      </c>
      <c r="O264" s="12" t="s">
        <v>333</v>
      </c>
      <c r="P264" s="12">
        <v>0.97604986876640432</v>
      </c>
      <c r="Q264" s="12">
        <v>11.228674540682414</v>
      </c>
      <c r="R264" s="12">
        <v>4.3249671916010493E-2</v>
      </c>
      <c r="S264" s="12" t="s">
        <v>333</v>
      </c>
      <c r="T264" s="12" t="s">
        <v>333</v>
      </c>
      <c r="U264" s="12">
        <v>5.9005905511811022E-2</v>
      </c>
      <c r="V264" s="12">
        <v>121.80118110236219</v>
      </c>
      <c r="W264" s="12" t="s">
        <v>333</v>
      </c>
      <c r="X264" s="13">
        <v>1.1884842519685039E-3</v>
      </c>
      <c r="Y264" s="12">
        <v>1.2057086614173227</v>
      </c>
      <c r="Z264" s="12">
        <v>1.0006561679790025</v>
      </c>
      <c r="AA264" s="13">
        <v>1.0793963254593177E-2</v>
      </c>
      <c r="AB264" s="12">
        <v>0.79560367454068237</v>
      </c>
      <c r="AC264" s="12" t="s">
        <v>333</v>
      </c>
      <c r="AD264" s="12" t="s">
        <v>333</v>
      </c>
      <c r="AE264" s="12">
        <v>121.55511811023621</v>
      </c>
      <c r="AF264" s="14">
        <v>1.8339895013123358E-2</v>
      </c>
      <c r="AG264" s="12">
        <v>25.918635170603675</v>
      </c>
      <c r="AH264" s="12">
        <v>1.2303149606299213</v>
      </c>
      <c r="AI264" s="12">
        <v>10.875984251968504</v>
      </c>
      <c r="AJ264" s="12" t="s">
        <v>333</v>
      </c>
      <c r="AK264" s="12">
        <v>2.8215223097112858</v>
      </c>
    </row>
    <row r="265" spans="1:37" x14ac:dyDescent="0.25">
      <c r="A265" s="7" t="s">
        <v>596</v>
      </c>
      <c r="B265" s="7" t="str">
        <f t="shared" si="4"/>
        <v>2768-265</v>
      </c>
      <c r="C265" s="7">
        <f>VLOOKUP(B265,'CEBAS-DEWOOD code'!A$2:B$302,2,FALSE)</f>
        <v>411</v>
      </c>
      <c r="D265" s="7" t="str">
        <f>VLOOKUP(IONOMICS!C265,'Field Table'!A$2:E$661,3,FALSE)</f>
        <v>FS</v>
      </c>
      <c r="E265" s="7" t="str">
        <f>VLOOKUP(IONOMICS!C265,'Field Table'!A$2:E$661,4,FALSE)</f>
        <v>2</v>
      </c>
      <c r="F265" s="7" t="str">
        <f>VLOOKUP(IONOMICS!C265,'Field Table'!A$2:E$661,5,FALSE)</f>
        <v>10</v>
      </c>
      <c r="G265" s="11">
        <v>2.0942408376963351</v>
      </c>
      <c r="H265" s="12" t="s">
        <v>333</v>
      </c>
      <c r="I265" s="12" t="s">
        <v>333</v>
      </c>
      <c r="J265" s="12" t="s">
        <v>333</v>
      </c>
      <c r="K265" s="12" t="s">
        <v>333</v>
      </c>
      <c r="L265" s="11">
        <v>0.13481675392670159</v>
      </c>
      <c r="M265" s="11" t="s">
        <v>333</v>
      </c>
      <c r="N265" s="12" t="s">
        <v>333</v>
      </c>
      <c r="O265" s="12" t="s">
        <v>333</v>
      </c>
      <c r="P265" s="12">
        <v>0.98603839441535779</v>
      </c>
      <c r="Q265" s="12">
        <v>3.5253054101221646</v>
      </c>
      <c r="R265" s="12">
        <v>0.13970331588132637</v>
      </c>
      <c r="S265" s="12" t="s">
        <v>333</v>
      </c>
      <c r="T265" s="12" t="s">
        <v>333</v>
      </c>
      <c r="U265" s="12">
        <v>4.0296684118673654E-2</v>
      </c>
      <c r="V265" s="12">
        <v>155.75916230366494</v>
      </c>
      <c r="W265" s="12" t="s">
        <v>333</v>
      </c>
      <c r="X265" s="13">
        <v>2.9406631762652708E-4</v>
      </c>
      <c r="Y265" s="12">
        <v>1.1169284467713789</v>
      </c>
      <c r="Z265" s="12">
        <v>0.10471204188481675</v>
      </c>
      <c r="AA265" s="13">
        <v>8.5113438045375227E-3</v>
      </c>
      <c r="AB265" s="12">
        <v>4.0663176265270513</v>
      </c>
      <c r="AC265" s="12" t="s">
        <v>333</v>
      </c>
      <c r="AD265" s="12" t="s">
        <v>333</v>
      </c>
      <c r="AE265" s="12">
        <v>12.373472949389182</v>
      </c>
      <c r="AF265" s="14">
        <v>1.349912739965096E-2</v>
      </c>
      <c r="AG265" s="12">
        <v>8.1326352530541026</v>
      </c>
      <c r="AH265" s="12">
        <v>0.18324607329842932</v>
      </c>
      <c r="AI265" s="12">
        <v>7.2513089005235596</v>
      </c>
      <c r="AJ265" s="12" t="s">
        <v>333</v>
      </c>
      <c r="AK265" s="12">
        <v>3.7347294938917974</v>
      </c>
    </row>
    <row r="266" spans="1:37" x14ac:dyDescent="0.25">
      <c r="A266" s="7" t="s">
        <v>597</v>
      </c>
      <c r="B266" s="7" t="str">
        <f t="shared" si="4"/>
        <v>2768-266</v>
      </c>
      <c r="C266" s="7">
        <f>VLOOKUP(B266,'CEBAS-DEWOOD code'!A$2:B$302,2,FALSE)</f>
        <v>1078</v>
      </c>
      <c r="D266" s="7" t="str">
        <f>VLOOKUP(IONOMICS!C266,'Field Table'!A$2:E$661,3,FALSE)</f>
        <v>FS</v>
      </c>
      <c r="E266" s="7" t="str">
        <f>VLOOKUP(IONOMICS!C266,'Field Table'!A$2:E$661,4,FALSE)</f>
        <v>4</v>
      </c>
      <c r="F266" s="7" t="str">
        <f>VLOOKUP(IONOMICS!C266,'Field Table'!A$2:E$661,5,FALSE)</f>
        <v>01</v>
      </c>
      <c r="G266" s="11">
        <v>22.545053328429571</v>
      </c>
      <c r="H266" s="12" t="s">
        <v>333</v>
      </c>
      <c r="I266" s="12" t="s">
        <v>333</v>
      </c>
      <c r="J266" s="12" t="s">
        <v>333</v>
      </c>
      <c r="K266" s="12" t="s">
        <v>333</v>
      </c>
      <c r="L266" s="11">
        <v>0.26553880102979038</v>
      </c>
      <c r="M266" s="11" t="s">
        <v>333</v>
      </c>
      <c r="N266" s="12" t="s">
        <v>333</v>
      </c>
      <c r="O266" s="12">
        <v>0.13791835233541744</v>
      </c>
      <c r="P266" s="12">
        <v>1.8940787054063997</v>
      </c>
      <c r="Q266" s="12">
        <v>9.0566384700257458</v>
      </c>
      <c r="R266" s="12">
        <v>2.4402353806546529E-2</v>
      </c>
      <c r="S266" s="12" t="s">
        <v>333</v>
      </c>
      <c r="T266" s="12" t="s">
        <v>333</v>
      </c>
      <c r="U266" s="12">
        <v>3.0948878264067677E-2</v>
      </c>
      <c r="V266" s="12">
        <v>122.19566016917986</v>
      </c>
      <c r="W266" s="12" t="s">
        <v>333</v>
      </c>
      <c r="X266" s="13">
        <v>3.9076866495034944E-4</v>
      </c>
      <c r="Y266" s="12">
        <v>0.35858771607208534</v>
      </c>
      <c r="Z266" s="12">
        <v>0.69878631849944839</v>
      </c>
      <c r="AA266" s="13">
        <v>9.406031629275469E-3</v>
      </c>
      <c r="AB266" s="12">
        <v>0.47811695476278049</v>
      </c>
      <c r="AC266" s="12" t="s">
        <v>333</v>
      </c>
      <c r="AD266" s="12" t="s">
        <v>333</v>
      </c>
      <c r="AE266" s="12">
        <v>193.91320338359694</v>
      </c>
      <c r="AF266" s="14">
        <v>1.8196027951452743E-2</v>
      </c>
      <c r="AG266" s="12">
        <v>13.782640676719383</v>
      </c>
      <c r="AH266" s="12">
        <v>0.39536594336153003</v>
      </c>
      <c r="AI266" s="12">
        <v>5.3420375137918352</v>
      </c>
      <c r="AJ266" s="12" t="s">
        <v>333</v>
      </c>
      <c r="AK266" s="12">
        <v>7.153365207796984</v>
      </c>
    </row>
    <row r="267" spans="1:37" x14ac:dyDescent="0.25">
      <c r="A267" s="7" t="s">
        <v>598</v>
      </c>
      <c r="B267" s="7" t="str">
        <f t="shared" si="4"/>
        <v>2768-267</v>
      </c>
      <c r="C267" s="7">
        <f>VLOOKUP(B267,'CEBAS-DEWOOD code'!A$2:B$302,2,FALSE)</f>
        <v>168</v>
      </c>
      <c r="D267" s="7" t="str">
        <f>VLOOKUP(IONOMICS!C267,'Field Table'!A$2:E$661,3,FALSE)</f>
        <v>FS</v>
      </c>
      <c r="E267" s="7" t="str">
        <f>VLOOKUP(IONOMICS!C267,'Field Table'!A$2:E$661,4,FALSE)</f>
        <v>2</v>
      </c>
      <c r="F267" s="7" t="str">
        <f>VLOOKUP(IONOMICS!C267,'Field Table'!A$2:E$661,5,FALSE)</f>
        <v>10</v>
      </c>
      <c r="G267" s="11">
        <v>0.81679073614557496</v>
      </c>
      <c r="H267" s="12" t="s">
        <v>333</v>
      </c>
      <c r="I267" s="12" t="s">
        <v>333</v>
      </c>
      <c r="J267" s="12" t="s">
        <v>333</v>
      </c>
      <c r="K267" s="12" t="s">
        <v>333</v>
      </c>
      <c r="L267" s="11">
        <v>9.3010752688172063E-2</v>
      </c>
      <c r="M267" s="11" t="s">
        <v>333</v>
      </c>
      <c r="N267" s="12" t="s">
        <v>333</v>
      </c>
      <c r="O267" s="12" t="s">
        <v>333</v>
      </c>
      <c r="P267" s="12">
        <v>0.67204301075268824</v>
      </c>
      <c r="Q267" s="12">
        <v>1.3440860215053765</v>
      </c>
      <c r="R267" s="12">
        <v>8.6476426799007453E-2</v>
      </c>
      <c r="S267" s="12" t="s">
        <v>333</v>
      </c>
      <c r="T267" s="12" t="s">
        <v>333</v>
      </c>
      <c r="U267" s="12">
        <v>2.9766335814722912E-2</v>
      </c>
      <c r="V267" s="12">
        <v>27.657154673283706</v>
      </c>
      <c r="W267" s="12" t="s">
        <v>333</v>
      </c>
      <c r="X267" s="13">
        <v>5.0041356492969396E-4</v>
      </c>
      <c r="Y267" s="12" t="s">
        <v>333</v>
      </c>
      <c r="Z267" s="12">
        <v>2.0678246484698098E-2</v>
      </c>
      <c r="AA267" s="13">
        <v>6.5033085194375522E-3</v>
      </c>
      <c r="AB267" s="12">
        <v>1.5818858560794047</v>
      </c>
      <c r="AC267" s="12" t="s">
        <v>333</v>
      </c>
      <c r="AD267" s="12" t="s">
        <v>333</v>
      </c>
      <c r="AE267" s="12">
        <v>6.6687344913151367</v>
      </c>
      <c r="AF267" s="14">
        <v>4.6060794044665017E-2</v>
      </c>
      <c r="AG267" s="12">
        <v>5.913978494623656</v>
      </c>
      <c r="AH267" s="12">
        <v>0.17576509511993382</v>
      </c>
      <c r="AI267" s="12">
        <v>4.9421009098428454</v>
      </c>
      <c r="AJ267" s="12" t="s">
        <v>333</v>
      </c>
      <c r="AK267" s="12">
        <v>1.6749379652605458</v>
      </c>
    </row>
    <row r="268" spans="1:37" x14ac:dyDescent="0.25">
      <c r="A268" s="7" t="s">
        <v>599</v>
      </c>
      <c r="B268" s="7" t="str">
        <f t="shared" si="4"/>
        <v>2768-268</v>
      </c>
      <c r="C268" s="7">
        <f>VLOOKUP(B268,'CEBAS-DEWOOD code'!A$2:B$302,2,FALSE)</f>
        <v>409</v>
      </c>
      <c r="D268" s="7" t="str">
        <f>VLOOKUP(IONOMICS!C268,'Field Table'!A$2:E$661,3,FALSE)</f>
        <v>FS</v>
      </c>
      <c r="E268" s="7" t="str">
        <f>VLOOKUP(IONOMICS!C268,'Field Table'!A$2:E$661,4,FALSE)</f>
        <v>1</v>
      </c>
      <c r="F268" s="7" t="str">
        <f>VLOOKUP(IONOMICS!C268,'Field Table'!A$2:E$661,5,FALSE)</f>
        <v>10</v>
      </c>
      <c r="G268" s="11">
        <v>0.48814504881450499</v>
      </c>
      <c r="H268" s="12" t="s">
        <v>333</v>
      </c>
      <c r="I268" s="12" t="s">
        <v>333</v>
      </c>
      <c r="J268" s="12" t="s">
        <v>333</v>
      </c>
      <c r="K268" s="12" t="s">
        <v>333</v>
      </c>
      <c r="L268" s="11">
        <v>8.5448628544862848E-2</v>
      </c>
      <c r="M268" s="11" t="s">
        <v>333</v>
      </c>
      <c r="N268" s="12" t="s">
        <v>333</v>
      </c>
      <c r="O268" s="12" t="s">
        <v>333</v>
      </c>
      <c r="P268" s="12">
        <v>0.62761506276150625</v>
      </c>
      <c r="Q268" s="12">
        <v>0.97629009762900965</v>
      </c>
      <c r="R268" s="12">
        <v>8.9551371455137155E-2</v>
      </c>
      <c r="S268" s="12" t="s">
        <v>333</v>
      </c>
      <c r="T268" s="12" t="s">
        <v>333</v>
      </c>
      <c r="U268" s="12">
        <v>2.4476987447698741E-2</v>
      </c>
      <c r="V268" s="12">
        <v>52.963737796373778</v>
      </c>
      <c r="W268" s="12" t="s">
        <v>333</v>
      </c>
      <c r="X268" s="13">
        <v>5.2185030218503017E-4</v>
      </c>
      <c r="Y268" s="12">
        <v>0.69735006973500691</v>
      </c>
      <c r="Z268" s="12">
        <v>0.10460251046025104</v>
      </c>
      <c r="AA268" s="13">
        <v>5.5962343096234305E-3</v>
      </c>
      <c r="AB268" s="12">
        <v>2.4523477452347744</v>
      </c>
      <c r="AC268" s="12" t="s">
        <v>333</v>
      </c>
      <c r="AD268" s="12" t="s">
        <v>333</v>
      </c>
      <c r="AE268" s="12">
        <v>3.2775453277545323</v>
      </c>
      <c r="AF268" s="14">
        <v>8.1566713156671303E-3</v>
      </c>
      <c r="AG268" s="12">
        <v>6.5667131566713159</v>
      </c>
      <c r="AH268" s="12">
        <v>0.27894002789400274</v>
      </c>
      <c r="AI268" s="12">
        <v>0.31380753138075312</v>
      </c>
      <c r="AJ268" s="12" t="s">
        <v>333</v>
      </c>
      <c r="AK268" s="12">
        <v>2.2547652254765223</v>
      </c>
    </row>
    <row r="269" spans="1:37" x14ac:dyDescent="0.25">
      <c r="A269" s="7" t="s">
        <v>600</v>
      </c>
      <c r="B269" s="7" t="str">
        <f t="shared" si="4"/>
        <v>2768-269</v>
      </c>
      <c r="C269" s="7">
        <f>VLOOKUP(B269,'CEBAS-DEWOOD code'!A$2:B$302,2,FALSE)</f>
        <v>82</v>
      </c>
      <c r="D269" s="7" t="str">
        <f>VLOOKUP(IONOMICS!C269,'Field Table'!A$2:E$661,3,FALSE)</f>
        <v>FS</v>
      </c>
      <c r="E269" s="7" t="str">
        <f>VLOOKUP(IONOMICS!C269,'Field Table'!A$2:E$661,4,FALSE)</f>
        <v>1</v>
      </c>
      <c r="F269" s="7" t="str">
        <f>VLOOKUP(IONOMICS!C269,'Field Table'!A$2:E$661,5,FALSE)</f>
        <v>10</v>
      </c>
      <c r="G269" s="11">
        <v>0.90282337491792508</v>
      </c>
      <c r="H269" s="12" t="s">
        <v>333</v>
      </c>
      <c r="I269" s="12" t="s">
        <v>333</v>
      </c>
      <c r="J269" s="12" t="s">
        <v>333</v>
      </c>
      <c r="K269" s="12" t="s">
        <v>333</v>
      </c>
      <c r="L269" s="11">
        <v>9.1595535128036781E-2</v>
      </c>
      <c r="M269" s="11" t="s">
        <v>333</v>
      </c>
      <c r="N269" s="12" t="s">
        <v>333</v>
      </c>
      <c r="O269" s="12" t="s">
        <v>333</v>
      </c>
      <c r="P269" s="12">
        <v>0.76329612606697306</v>
      </c>
      <c r="Q269" s="12">
        <v>2.1257386736703876</v>
      </c>
      <c r="R269" s="12">
        <v>6.9377872619829278E-2</v>
      </c>
      <c r="S269" s="12" t="s">
        <v>333</v>
      </c>
      <c r="T269" s="12" t="s">
        <v>333</v>
      </c>
      <c r="U269" s="12">
        <v>2.0141168745896262E-2</v>
      </c>
      <c r="V269" s="12">
        <v>46.864740643466838</v>
      </c>
      <c r="W269" s="12" t="s">
        <v>333</v>
      </c>
      <c r="X269" s="13">
        <v>3.4389363099146422E-4</v>
      </c>
      <c r="Y269" s="12">
        <v>0.18056467498358503</v>
      </c>
      <c r="Z269" s="12">
        <v>4.9244911359159552E-2</v>
      </c>
      <c r="AA269" s="13">
        <v>6.2631319763624431E-3</v>
      </c>
      <c r="AB269" s="12">
        <v>2.2816808929743928</v>
      </c>
      <c r="AC269" s="12" t="s">
        <v>333</v>
      </c>
      <c r="AD269" s="12" t="s">
        <v>333</v>
      </c>
      <c r="AE269" s="12">
        <v>27.683847669074193</v>
      </c>
      <c r="AF269" s="14">
        <v>9.7833223900196994E-3</v>
      </c>
      <c r="AG269" s="12">
        <v>5.4169402495075518</v>
      </c>
      <c r="AH269" s="12">
        <v>0.14773473407747867</v>
      </c>
      <c r="AI269" s="12">
        <v>2.4130006565988182</v>
      </c>
      <c r="AJ269" s="12" t="s">
        <v>333</v>
      </c>
      <c r="AK269" s="12">
        <v>2.2242284963887067</v>
      </c>
    </row>
    <row r="270" spans="1:37" x14ac:dyDescent="0.25">
      <c r="A270" s="7" t="s">
        <v>601</v>
      </c>
      <c r="B270" s="7" t="str">
        <f t="shared" si="4"/>
        <v>2768-270</v>
      </c>
      <c r="C270" s="7">
        <f>VLOOKUP(B270,'CEBAS-DEWOOD code'!A$2:B$302,2,FALSE)</f>
        <v>143</v>
      </c>
      <c r="D270" s="7" t="str">
        <f>VLOOKUP(IONOMICS!C270,'Field Table'!A$2:E$661,3,FALSE)</f>
        <v>FS</v>
      </c>
      <c r="E270" s="7" t="str">
        <f>VLOOKUP(IONOMICS!C270,'Field Table'!A$2:E$661,4,FALSE)</f>
        <v>1</v>
      </c>
      <c r="F270" s="7" t="str">
        <f>VLOOKUP(IONOMICS!C270,'Field Table'!A$2:E$661,5,FALSE)</f>
        <v>10</v>
      </c>
      <c r="G270" s="11">
        <v>0.391644908616188</v>
      </c>
      <c r="H270" s="12" t="s">
        <v>333</v>
      </c>
      <c r="I270" s="12" t="s">
        <v>333</v>
      </c>
      <c r="J270" s="12" t="s">
        <v>333</v>
      </c>
      <c r="K270" s="12" t="s">
        <v>333</v>
      </c>
      <c r="L270" s="11">
        <v>8.0678851174934729E-2</v>
      </c>
      <c r="M270" s="11" t="s">
        <v>333</v>
      </c>
      <c r="N270" s="12" t="s">
        <v>333</v>
      </c>
      <c r="O270" s="12" t="s">
        <v>333</v>
      </c>
      <c r="P270" s="12">
        <v>0.57814248414770608</v>
      </c>
      <c r="Q270" s="12">
        <v>94.18127564341664</v>
      </c>
      <c r="R270" s="12">
        <v>7.0486758672137259E-2</v>
      </c>
      <c r="S270" s="12" t="s">
        <v>333</v>
      </c>
      <c r="T270" s="12" t="s">
        <v>333</v>
      </c>
      <c r="U270" s="12">
        <v>3.2534502051473325E-2</v>
      </c>
      <c r="V270" s="12">
        <v>54.009697873927642</v>
      </c>
      <c r="W270" s="12" t="s">
        <v>333</v>
      </c>
      <c r="X270" s="13">
        <v>6.9283849309958979E-4</v>
      </c>
      <c r="Y270" s="12">
        <v>0.85788884744498317</v>
      </c>
      <c r="Z270" s="12">
        <v>4.6624393882879527E-2</v>
      </c>
      <c r="AA270" s="13">
        <v>5.4121596419246546E-3</v>
      </c>
      <c r="AB270" s="12">
        <v>1.0630361805296533</v>
      </c>
      <c r="AC270" s="12" t="s">
        <v>333</v>
      </c>
      <c r="AD270" s="12" t="s">
        <v>333</v>
      </c>
      <c r="AE270" s="12">
        <v>1.9955240581872433</v>
      </c>
      <c r="AF270" s="14">
        <v>8.1387541961954486E-3</v>
      </c>
      <c r="AG270" s="12">
        <v>7.0496083550913839</v>
      </c>
      <c r="AH270" s="12">
        <v>7.4599030212607234E-2</v>
      </c>
      <c r="AI270" s="12">
        <v>4.7370384185005596</v>
      </c>
      <c r="AJ270" s="12" t="s">
        <v>333</v>
      </c>
      <c r="AK270" s="12">
        <v>1.8463259977620292</v>
      </c>
    </row>
    <row r="271" spans="1:37" x14ac:dyDescent="0.25">
      <c r="A271" s="7" t="s">
        <v>602</v>
      </c>
      <c r="B271" s="7" t="str">
        <f t="shared" si="4"/>
        <v>2775-1</v>
      </c>
      <c r="C271" s="7">
        <f>VLOOKUP(B271,'CEBAS-DEWOOD code'!A$2:B$302,2,FALSE)</f>
        <v>187</v>
      </c>
      <c r="D271" s="7" t="str">
        <f>VLOOKUP(IONOMICS!C271,'Field Table'!A$2:E$661,3,FALSE)</f>
        <v>FS</v>
      </c>
      <c r="E271" s="7" t="str">
        <f>VLOOKUP(IONOMICS!C271,'Field Table'!A$2:E$661,4,FALSE)</f>
        <v>4</v>
      </c>
      <c r="F271" s="7" t="str">
        <f>VLOOKUP(IONOMICS!C271,'Field Table'!A$2:E$661,5,FALSE)</f>
        <v>25</v>
      </c>
      <c r="G271" s="11">
        <v>47.422089825847848</v>
      </c>
      <c r="H271" s="12">
        <v>0.35517873510540787</v>
      </c>
      <c r="I271" s="12" t="s">
        <v>333</v>
      </c>
      <c r="J271" s="12" t="s">
        <v>333</v>
      </c>
      <c r="K271" s="12" t="s">
        <v>333</v>
      </c>
      <c r="L271" s="11">
        <v>0.31255728689275897</v>
      </c>
      <c r="M271" s="11">
        <v>3.4372135655362054E-2</v>
      </c>
      <c r="N271" s="12">
        <v>6.8744271310724109E-2</v>
      </c>
      <c r="O271" s="12">
        <v>0.22914757103574704</v>
      </c>
      <c r="P271" s="12">
        <v>4.9839596700274971</v>
      </c>
      <c r="Q271" s="12">
        <v>31.106782768102661</v>
      </c>
      <c r="R271" s="12">
        <v>0.12774977085242897</v>
      </c>
      <c r="S271" s="12" t="s">
        <v>333</v>
      </c>
      <c r="T271" s="12">
        <v>0.22914757103574704</v>
      </c>
      <c r="U271" s="12">
        <v>0.25744729605866173</v>
      </c>
      <c r="V271" s="12">
        <v>144.47754353803847</v>
      </c>
      <c r="W271" s="12" t="s">
        <v>333</v>
      </c>
      <c r="X271" s="13">
        <v>3.0957836846929421E-3</v>
      </c>
      <c r="Y271" s="12">
        <v>0.67598533455545362</v>
      </c>
      <c r="Z271" s="12">
        <v>0.24060494958753437</v>
      </c>
      <c r="AA271" s="14">
        <v>1.0210815765352887E-2</v>
      </c>
      <c r="AB271" s="12">
        <v>2.8070577451879011</v>
      </c>
      <c r="AC271" s="12" t="s">
        <v>333</v>
      </c>
      <c r="AD271" s="12" t="s">
        <v>333</v>
      </c>
      <c r="AE271" s="12">
        <v>96.219065077910173</v>
      </c>
      <c r="AF271" s="14">
        <v>1.5937213565536207E-2</v>
      </c>
      <c r="AG271" s="12">
        <v>19.958753437213563</v>
      </c>
      <c r="AH271" s="12">
        <v>3.6319890009165903</v>
      </c>
      <c r="AI271" s="12">
        <v>27.463336388634279</v>
      </c>
      <c r="AJ271" s="12" t="s">
        <v>333</v>
      </c>
      <c r="AK271" s="12">
        <v>4.5371219065077915</v>
      </c>
    </row>
    <row r="272" spans="1:37" x14ac:dyDescent="0.25">
      <c r="A272" s="7" t="s">
        <v>603</v>
      </c>
      <c r="B272" s="7" t="str">
        <f t="shared" si="4"/>
        <v>2775-2</v>
      </c>
      <c r="C272" s="7">
        <f>VLOOKUP(B272,'CEBAS-DEWOOD code'!A$2:B$302,2,FALSE)</f>
        <v>1040</v>
      </c>
      <c r="D272" s="7" t="str">
        <f>VLOOKUP(IONOMICS!C272,'Field Table'!A$2:E$661,3,FALSE)</f>
        <v>FS</v>
      </c>
      <c r="E272" s="7" t="str">
        <f>VLOOKUP(IONOMICS!C272,'Field Table'!A$2:E$661,4,FALSE)</f>
        <v>1</v>
      </c>
      <c r="F272" s="7" t="str">
        <f>VLOOKUP(IONOMICS!C272,'Field Table'!A$2:E$661,5,FALSE)</f>
        <v>01</v>
      </c>
      <c r="G272" s="11">
        <v>11.330213903743315</v>
      </c>
      <c r="H272" s="12">
        <v>0.11140819964349377</v>
      </c>
      <c r="I272" s="12" t="s">
        <v>333</v>
      </c>
      <c r="J272" s="12" t="s">
        <v>333</v>
      </c>
      <c r="K272" s="12" t="s">
        <v>333</v>
      </c>
      <c r="L272" s="11">
        <v>0.29244652406417115</v>
      </c>
      <c r="M272" s="11">
        <v>6.684491978609626E-2</v>
      </c>
      <c r="N272" s="12">
        <v>3.342245989304813E-2</v>
      </c>
      <c r="O272" s="12" t="s">
        <v>333</v>
      </c>
      <c r="P272" s="12">
        <v>4.2780748663101607</v>
      </c>
      <c r="Q272" s="12">
        <v>7.1412655971479504</v>
      </c>
      <c r="R272" s="12">
        <v>9.9643493761140831E-2</v>
      </c>
      <c r="S272" s="12" t="s">
        <v>333</v>
      </c>
      <c r="T272" s="12">
        <v>0.15597147950089127</v>
      </c>
      <c r="U272" s="12">
        <v>2.1590909090909095E-2</v>
      </c>
      <c r="V272" s="12">
        <v>66.265597147950089</v>
      </c>
      <c r="W272" s="12" t="s">
        <v>333</v>
      </c>
      <c r="X272" s="13">
        <v>1.8594028520499109E-3</v>
      </c>
      <c r="Y272" s="12">
        <v>0.53475935828877008</v>
      </c>
      <c r="Z272" s="12">
        <v>1.1029411764705883</v>
      </c>
      <c r="AA272" s="14">
        <v>1.4527629233511589E-2</v>
      </c>
      <c r="AB272" s="12">
        <v>1.9607843137254903</v>
      </c>
      <c r="AC272" s="12" t="s">
        <v>333</v>
      </c>
      <c r="AD272" s="12" t="s">
        <v>333</v>
      </c>
      <c r="AE272" s="12">
        <v>385.58377896613189</v>
      </c>
      <c r="AF272" s="14">
        <v>1.6143048128342247E-2</v>
      </c>
      <c r="AG272" s="12">
        <v>21.657754010695186</v>
      </c>
      <c r="AH272" s="12">
        <v>0.54590017825311943</v>
      </c>
      <c r="AI272" s="12" t="s">
        <v>333</v>
      </c>
      <c r="AJ272" s="12" t="s">
        <v>333</v>
      </c>
      <c r="AK272" s="12">
        <v>8.1662210338680925</v>
      </c>
    </row>
    <row r="273" spans="1:37" x14ac:dyDescent="0.25">
      <c r="A273" s="7" t="s">
        <v>604</v>
      </c>
      <c r="B273" s="7" t="str">
        <f t="shared" si="4"/>
        <v>2775-3</v>
      </c>
      <c r="C273" s="7">
        <f>VLOOKUP(B273,'CEBAS-DEWOOD code'!A$2:B$302,2,FALSE)</f>
        <v>150</v>
      </c>
      <c r="D273" s="7" t="str">
        <f>VLOOKUP(IONOMICS!C273,'Field Table'!A$2:E$661,3,FALSE)</f>
        <v>FS</v>
      </c>
      <c r="E273" s="7" t="str">
        <f>VLOOKUP(IONOMICS!C273,'Field Table'!A$2:E$661,4,FALSE)</f>
        <v>2</v>
      </c>
      <c r="F273" s="7" t="str">
        <f>VLOOKUP(IONOMICS!C273,'Field Table'!A$2:E$661,5,FALSE)</f>
        <v>25</v>
      </c>
      <c r="G273" s="11">
        <v>9.3584814992791916</v>
      </c>
      <c r="H273" s="12" t="s">
        <v>333</v>
      </c>
      <c r="I273" s="12" t="s">
        <v>333</v>
      </c>
      <c r="J273" s="12" t="s">
        <v>333</v>
      </c>
      <c r="K273" s="12" t="s">
        <v>333</v>
      </c>
      <c r="L273" s="11">
        <v>0.11914944738106678</v>
      </c>
      <c r="M273" s="11">
        <v>8.4094185487746262E-2</v>
      </c>
      <c r="N273" s="12" t="s">
        <v>333</v>
      </c>
      <c r="O273" s="12">
        <v>1.2013455069678039E-2</v>
      </c>
      <c r="P273" s="12">
        <v>1.4175876982220086</v>
      </c>
      <c r="Q273" s="12">
        <v>5.4180682364247952</v>
      </c>
      <c r="R273" s="12">
        <v>0.15509370494954347</v>
      </c>
      <c r="S273" s="12" t="s">
        <v>333</v>
      </c>
      <c r="T273" s="12">
        <v>0.33637674195098505</v>
      </c>
      <c r="U273" s="12">
        <v>5.3531955790485343E-2</v>
      </c>
      <c r="V273" s="12">
        <v>35.728015377222484</v>
      </c>
      <c r="W273" s="12" t="s">
        <v>333</v>
      </c>
      <c r="X273" s="13">
        <v>1.5197020663142719E-3</v>
      </c>
      <c r="Y273" s="12">
        <v>0.62469966362325802</v>
      </c>
      <c r="Z273" s="12">
        <v>8.4094185487746262E-2</v>
      </c>
      <c r="AA273" s="14">
        <v>5.8000961076405573E-3</v>
      </c>
      <c r="AB273" s="12">
        <v>3.5439692455550214</v>
      </c>
      <c r="AC273" s="12" t="s">
        <v>333</v>
      </c>
      <c r="AD273" s="12" t="s">
        <v>333</v>
      </c>
      <c r="AE273" s="12">
        <v>79.949543488707349</v>
      </c>
      <c r="AF273" s="14">
        <v>1.0061268620855358E-2</v>
      </c>
      <c r="AG273" s="12">
        <v>8.5295530994714071</v>
      </c>
      <c r="AH273" s="12">
        <v>2.3906775588659301</v>
      </c>
      <c r="AI273" s="12" t="s">
        <v>333</v>
      </c>
      <c r="AJ273" s="12" t="s">
        <v>333</v>
      </c>
      <c r="AK273" s="12">
        <v>2.9553099471407975</v>
      </c>
    </row>
    <row r="274" spans="1:37" x14ac:dyDescent="0.25">
      <c r="A274" s="7" t="s">
        <v>605</v>
      </c>
      <c r="B274" s="7" t="str">
        <f t="shared" si="4"/>
        <v>2775-4</v>
      </c>
      <c r="C274" s="7">
        <f>VLOOKUP(B274,'CEBAS-DEWOOD code'!A$2:B$302,2,FALSE)</f>
        <v>1057</v>
      </c>
      <c r="D274" s="7" t="str">
        <f>VLOOKUP(IONOMICS!C274,'Field Table'!A$2:E$661,3,FALSE)</f>
        <v>AA</v>
      </c>
      <c r="E274" s="7" t="str">
        <f>VLOOKUP(IONOMICS!C274,'Field Table'!A$2:E$661,4,FALSE)</f>
        <v>4</v>
      </c>
      <c r="F274" s="7" t="str">
        <f>VLOOKUP(IONOMICS!C274,'Field Table'!A$2:E$661,5,FALSE)</f>
        <v>01</v>
      </c>
      <c r="G274" s="11">
        <v>60.907744392721114</v>
      </c>
      <c r="H274" s="12">
        <v>4.2319085907744393E-2</v>
      </c>
      <c r="I274" s="12" t="s">
        <v>333</v>
      </c>
      <c r="J274" s="12" t="s">
        <v>333</v>
      </c>
      <c r="K274" s="12" t="s">
        <v>333</v>
      </c>
      <c r="L274" s="11">
        <v>0.19953449005501478</v>
      </c>
      <c r="M274" s="11">
        <v>0.20101565806178587</v>
      </c>
      <c r="N274" s="12" t="s">
        <v>333</v>
      </c>
      <c r="O274" s="12">
        <v>0.23275497249259416</v>
      </c>
      <c r="P274" s="12">
        <v>4.7820567075751157</v>
      </c>
      <c r="Q274" s="12">
        <v>22.037663986457893</v>
      </c>
      <c r="R274" s="12">
        <v>6.0389335590351249E-2</v>
      </c>
      <c r="S274" s="12" t="s">
        <v>333</v>
      </c>
      <c r="T274" s="12">
        <v>0.14811680067710536</v>
      </c>
      <c r="U274" s="12">
        <v>3.4892086330935254E-2</v>
      </c>
      <c r="V274" s="12">
        <v>85.272958104104958</v>
      </c>
      <c r="W274" s="12" t="s">
        <v>333</v>
      </c>
      <c r="X274" s="13">
        <v>1.8609818027930597E-3</v>
      </c>
      <c r="Y274" s="12">
        <v>0.35971223021582727</v>
      </c>
      <c r="Z274" s="12">
        <v>0.40203131612357174</v>
      </c>
      <c r="AA274" s="14">
        <v>9.9735505713076586E-3</v>
      </c>
      <c r="AB274" s="12">
        <v>1.0473973762166737</v>
      </c>
      <c r="AC274" s="12" t="s">
        <v>333</v>
      </c>
      <c r="AD274" s="12" t="s">
        <v>333</v>
      </c>
      <c r="AE274" s="12">
        <v>48.233178163351674</v>
      </c>
      <c r="AF274" s="14">
        <v>1.6641980533220482E-2</v>
      </c>
      <c r="AG274" s="12">
        <v>8.5378755818874303</v>
      </c>
      <c r="AH274" s="12">
        <v>1.967837494710114</v>
      </c>
      <c r="AI274" s="12" t="s">
        <v>333</v>
      </c>
      <c r="AJ274" s="12" t="s">
        <v>333</v>
      </c>
      <c r="AK274" s="12">
        <v>14.208633093525179</v>
      </c>
    </row>
    <row r="275" spans="1:37" x14ac:dyDescent="0.25">
      <c r="A275" s="7" t="s">
        <v>606</v>
      </c>
      <c r="B275" s="7" t="str">
        <f t="shared" si="4"/>
        <v>2775-5</v>
      </c>
      <c r="C275" s="7">
        <f>VLOOKUP(B275,'CEBAS-DEWOOD code'!A$2:B$302,2,FALSE)</f>
        <v>1013</v>
      </c>
      <c r="D275" s="7" t="str">
        <f>VLOOKUP(IONOMICS!C275,'Field Table'!A$2:E$661,3,FALSE)</f>
        <v>AA</v>
      </c>
      <c r="E275" s="7" t="str">
        <f>VLOOKUP(IONOMICS!C275,'Field Table'!A$2:E$661,4,FALSE)</f>
        <v>1</v>
      </c>
      <c r="F275" s="7" t="str">
        <f>VLOOKUP(IONOMICS!C275,'Field Table'!A$2:E$661,5,FALSE)</f>
        <v>01</v>
      </c>
      <c r="G275" s="11">
        <v>51.346801346801357</v>
      </c>
      <c r="H275" s="12">
        <v>9.3527871305649102E-2</v>
      </c>
      <c r="I275" s="12" t="s">
        <v>333</v>
      </c>
      <c r="J275" s="12" t="s">
        <v>333</v>
      </c>
      <c r="K275" s="12" t="s">
        <v>333</v>
      </c>
      <c r="L275" s="11">
        <v>0.10811821922933036</v>
      </c>
      <c r="M275" s="11">
        <v>0.34605312383090164</v>
      </c>
      <c r="N275" s="12">
        <v>1.8705574261129818E-2</v>
      </c>
      <c r="O275" s="12">
        <v>0.15899738121960344</v>
      </c>
      <c r="P275" s="12">
        <v>2.7871305649083427</v>
      </c>
      <c r="Q275" s="12">
        <v>10.811821922933033</v>
      </c>
      <c r="R275" s="12">
        <v>9.0123456790123457E-2</v>
      </c>
      <c r="S275" s="12" t="s">
        <v>333</v>
      </c>
      <c r="T275" s="12">
        <v>0.16835016835016836</v>
      </c>
      <c r="U275" s="12">
        <v>1.7489711934156382E-2</v>
      </c>
      <c r="V275" s="12">
        <v>92.564534231200909</v>
      </c>
      <c r="W275" s="12" t="s">
        <v>333</v>
      </c>
      <c r="X275" s="13">
        <v>3.5269360269360272E-3</v>
      </c>
      <c r="Y275" s="12">
        <v>0.15899738121960344</v>
      </c>
      <c r="Z275" s="12">
        <v>0.34605312383090164</v>
      </c>
      <c r="AA275" s="14">
        <v>1.0867938645716424E-2</v>
      </c>
      <c r="AB275" s="12">
        <v>1.3280957725402172</v>
      </c>
      <c r="AC275" s="12" t="s">
        <v>333</v>
      </c>
      <c r="AD275" s="12" t="s">
        <v>333</v>
      </c>
      <c r="AE275" s="12">
        <v>26.748971193415638</v>
      </c>
      <c r="AF275" s="14">
        <v>1.0409652076318743E-2</v>
      </c>
      <c r="AG275" s="12">
        <v>5.5181444070332955</v>
      </c>
      <c r="AH275" s="12">
        <v>0.72951739618406286</v>
      </c>
      <c r="AI275" s="12" t="s">
        <v>333</v>
      </c>
      <c r="AJ275" s="12" t="s">
        <v>333</v>
      </c>
      <c r="AK275" s="12">
        <v>11.27946127946128</v>
      </c>
    </row>
    <row r="276" spans="1:37" x14ac:dyDescent="0.25">
      <c r="A276" s="7" t="s">
        <v>607</v>
      </c>
      <c r="B276" s="7" t="str">
        <f t="shared" si="4"/>
        <v>2775-6</v>
      </c>
      <c r="C276" s="7">
        <f>VLOOKUP(B276,'CEBAS-DEWOOD code'!A$2:B$302,2,FALSE)</f>
        <v>1008</v>
      </c>
      <c r="D276" s="7" t="str">
        <f>VLOOKUP(IONOMICS!C276,'Field Table'!A$2:E$661,3,FALSE)</f>
        <v>AA</v>
      </c>
      <c r="E276" s="7" t="str">
        <f>VLOOKUP(IONOMICS!C276,'Field Table'!A$2:E$661,4,FALSE)</f>
        <v>2</v>
      </c>
      <c r="F276" s="7" t="str">
        <f>VLOOKUP(IONOMICS!C276,'Field Table'!A$2:E$661,5,FALSE)</f>
        <v>01</v>
      </c>
      <c r="G276" s="11">
        <v>17.728828058169377</v>
      </c>
      <c r="H276" s="12">
        <v>0.2352437981180496</v>
      </c>
      <c r="I276" s="12" t="s">
        <v>333</v>
      </c>
      <c r="J276" s="12" t="s">
        <v>333</v>
      </c>
      <c r="K276" s="12" t="s">
        <v>333</v>
      </c>
      <c r="L276" s="11">
        <v>0.11441402908468776</v>
      </c>
      <c r="M276" s="11">
        <v>0.16039349871685199</v>
      </c>
      <c r="N276" s="12" t="s">
        <v>333</v>
      </c>
      <c r="O276" s="12">
        <v>0.2352437981180496</v>
      </c>
      <c r="P276" s="12">
        <v>3.5072711719418308</v>
      </c>
      <c r="Q276" s="12">
        <v>6.9717707442258332</v>
      </c>
      <c r="R276" s="12">
        <v>9.1306672369546607E-2</v>
      </c>
      <c r="S276" s="12" t="s">
        <v>333</v>
      </c>
      <c r="T276" s="12">
        <v>0.32078699743370398</v>
      </c>
      <c r="U276" s="12">
        <v>1.5355004277159965E-2</v>
      </c>
      <c r="V276" s="12">
        <v>54.469632164242938</v>
      </c>
      <c r="W276" s="12" t="s">
        <v>333</v>
      </c>
      <c r="X276" s="13">
        <v>1.1355859709153123E-3</v>
      </c>
      <c r="Y276" s="12">
        <v>0.20316509837467922</v>
      </c>
      <c r="Z276" s="12">
        <v>0.21385799828913601</v>
      </c>
      <c r="AA276" s="14">
        <v>9.9625748502994022E-3</v>
      </c>
      <c r="AB276" s="12">
        <v>1.0479041916167664</v>
      </c>
      <c r="AC276" s="12" t="s">
        <v>333</v>
      </c>
      <c r="AD276" s="12" t="s">
        <v>333</v>
      </c>
      <c r="AE276" s="12">
        <v>14.210863986313086</v>
      </c>
      <c r="AF276" s="14">
        <v>9.8257057313943554E-3</v>
      </c>
      <c r="AG276" s="12">
        <v>4.5337895637296839</v>
      </c>
      <c r="AH276" s="12">
        <v>0.35286569717707444</v>
      </c>
      <c r="AI276" s="12" t="s">
        <v>333</v>
      </c>
      <c r="AJ276" s="12" t="s">
        <v>333</v>
      </c>
      <c r="AK276" s="12">
        <v>8.4580838323353298</v>
      </c>
    </row>
    <row r="277" spans="1:37" x14ac:dyDescent="0.25">
      <c r="A277" s="7" t="s">
        <v>608</v>
      </c>
      <c r="B277" s="7" t="str">
        <f t="shared" si="4"/>
        <v>2775-7</v>
      </c>
      <c r="C277" s="7">
        <f>VLOOKUP(B277,'CEBAS-DEWOOD code'!A$2:B$302,2,FALSE)</f>
        <v>1010</v>
      </c>
      <c r="D277" s="7" t="str">
        <f>VLOOKUP(IONOMICS!C277,'Field Table'!A$2:E$661,3,FALSE)</f>
        <v>FS</v>
      </c>
      <c r="E277" s="7" t="str">
        <f>VLOOKUP(IONOMICS!C277,'Field Table'!A$2:E$661,4,FALSE)</f>
        <v>1</v>
      </c>
      <c r="F277" s="7" t="str">
        <f>VLOOKUP(IONOMICS!C277,'Field Table'!A$2:E$661,5,FALSE)</f>
        <v>01</v>
      </c>
      <c r="G277" s="11">
        <v>10.3125</v>
      </c>
      <c r="H277" s="12" t="s">
        <v>333</v>
      </c>
      <c r="I277" s="12" t="s">
        <v>333</v>
      </c>
      <c r="J277" s="12" t="s">
        <v>333</v>
      </c>
      <c r="K277" s="12" t="s">
        <v>333</v>
      </c>
      <c r="L277" s="11">
        <v>0.21537500000000001</v>
      </c>
      <c r="M277" s="11">
        <v>7.4999999999999997E-2</v>
      </c>
      <c r="N277" s="12" t="s">
        <v>333</v>
      </c>
      <c r="O277" s="12">
        <v>0.13749999999999998</v>
      </c>
      <c r="P277" s="12">
        <v>4.0249999999999995</v>
      </c>
      <c r="Q277" s="12">
        <v>69.224999999999994</v>
      </c>
      <c r="R277" s="12">
        <v>0.141125</v>
      </c>
      <c r="S277" s="12" t="s">
        <v>333</v>
      </c>
      <c r="T277" s="12">
        <v>0.23749999999999999</v>
      </c>
      <c r="U277" s="12">
        <v>3.11875E-2</v>
      </c>
      <c r="V277" s="12">
        <v>83.637499999999989</v>
      </c>
      <c r="W277" s="12" t="s">
        <v>333</v>
      </c>
      <c r="X277" s="13">
        <v>1.2862499999999999E-3</v>
      </c>
      <c r="Y277" s="12">
        <v>0.72499999999999987</v>
      </c>
      <c r="Z277" s="12">
        <v>0.79999999999999993</v>
      </c>
      <c r="AA277" s="14">
        <v>2.56125E-2</v>
      </c>
      <c r="AB277" s="12">
        <v>3.1874999999999996</v>
      </c>
      <c r="AC277" s="12" t="s">
        <v>333</v>
      </c>
      <c r="AD277" s="12" t="s">
        <v>333</v>
      </c>
      <c r="AE277" s="12">
        <v>309.5</v>
      </c>
      <c r="AF277" s="14">
        <v>1.8262500000000001E-2</v>
      </c>
      <c r="AG277" s="12">
        <v>12.712499999999999</v>
      </c>
      <c r="AH277" s="12">
        <v>0.42499999999999993</v>
      </c>
      <c r="AI277" s="12" t="s">
        <v>333</v>
      </c>
      <c r="AJ277" s="12" t="s">
        <v>333</v>
      </c>
      <c r="AK277" s="12">
        <v>6.8249999999999993</v>
      </c>
    </row>
    <row r="278" spans="1:37" x14ac:dyDescent="0.25">
      <c r="A278" s="7" t="s">
        <v>609</v>
      </c>
      <c r="B278" s="7" t="str">
        <f t="shared" si="4"/>
        <v>2775-8</v>
      </c>
      <c r="C278" s="7">
        <f>VLOOKUP(B278,'CEBAS-DEWOOD code'!A$2:B$302,2,FALSE)</f>
        <v>126</v>
      </c>
      <c r="D278" s="7" t="str">
        <f>VLOOKUP(IONOMICS!C278,'Field Table'!A$2:E$661,3,FALSE)</f>
        <v>FS</v>
      </c>
      <c r="E278" s="7" t="str">
        <f>VLOOKUP(IONOMICS!C278,'Field Table'!A$2:E$661,4,FALSE)</f>
        <v>4</v>
      </c>
      <c r="F278" s="7" t="str">
        <f>VLOOKUP(IONOMICS!C278,'Field Table'!A$2:E$661,5,FALSE)</f>
        <v>25</v>
      </c>
      <c r="G278" s="11">
        <v>12.678035982008998</v>
      </c>
      <c r="H278" s="12">
        <v>8.4332833583208394E-2</v>
      </c>
      <c r="I278" s="12" t="s">
        <v>333</v>
      </c>
      <c r="J278" s="12" t="s">
        <v>333</v>
      </c>
      <c r="K278" s="12" t="s">
        <v>333</v>
      </c>
      <c r="L278" s="11">
        <v>0.27970389805097456</v>
      </c>
      <c r="M278" s="11">
        <v>0.23425787106446777</v>
      </c>
      <c r="N278" s="12">
        <v>3.7481259370314844E-2</v>
      </c>
      <c r="O278" s="12">
        <v>0.77773613193403301</v>
      </c>
      <c r="P278" s="12">
        <v>1.911544227886057</v>
      </c>
      <c r="Q278" s="12">
        <v>16.173163418290859</v>
      </c>
      <c r="R278" s="12">
        <v>0.11956521739130435</v>
      </c>
      <c r="S278" s="12" t="s">
        <v>333</v>
      </c>
      <c r="T278" s="12">
        <v>0.20614692653673164</v>
      </c>
      <c r="U278" s="12">
        <v>5.6474887556221896E-2</v>
      </c>
      <c r="V278" s="12">
        <v>163.13718140929538</v>
      </c>
      <c r="W278" s="12" t="s">
        <v>333</v>
      </c>
      <c r="X278" s="13">
        <v>2.8467016491754127E-3</v>
      </c>
      <c r="Y278" s="12">
        <v>0.83395802098950533</v>
      </c>
      <c r="Z278" s="12">
        <v>0.13118440779610194</v>
      </c>
      <c r="AA278" s="14">
        <v>6.6070089955022494E-3</v>
      </c>
      <c r="AB278" s="12">
        <v>3.6263118440779611</v>
      </c>
      <c r="AC278" s="12" t="s">
        <v>333</v>
      </c>
      <c r="AD278" s="12" t="s">
        <v>333</v>
      </c>
      <c r="AE278" s="12">
        <v>17.232008995502252</v>
      </c>
      <c r="AF278" s="14">
        <v>1.6979010494752627E-2</v>
      </c>
      <c r="AG278" s="12">
        <v>15.4047976011994</v>
      </c>
      <c r="AH278" s="12">
        <v>3.6731634182908546</v>
      </c>
      <c r="AI278" s="12">
        <v>2.7736131934032984</v>
      </c>
      <c r="AJ278" s="12" t="s">
        <v>333</v>
      </c>
      <c r="AK278" s="12">
        <v>3.3358320839580213</v>
      </c>
    </row>
    <row r="279" spans="1:37" x14ac:dyDescent="0.25">
      <c r="A279" s="7" t="s">
        <v>610</v>
      </c>
      <c r="B279" s="7" t="str">
        <f t="shared" si="4"/>
        <v>2775-9</v>
      </c>
      <c r="C279" s="7">
        <f>VLOOKUP(B279,'CEBAS-DEWOOD code'!A$2:B$302,2,FALSE)</f>
        <v>378</v>
      </c>
      <c r="D279" s="7" t="str">
        <f>VLOOKUP(IONOMICS!C279,'Field Table'!A$2:E$661,3,FALSE)</f>
        <v>AA</v>
      </c>
      <c r="E279" s="7" t="str">
        <f>VLOOKUP(IONOMICS!C279,'Field Table'!A$2:E$661,4,FALSE)</f>
        <v>1</v>
      </c>
      <c r="F279" s="7" t="str">
        <f>VLOOKUP(IONOMICS!C279,'Field Table'!A$2:E$661,5,FALSE)</f>
        <v>25</v>
      </c>
      <c r="G279" s="11">
        <v>30.606936416184968</v>
      </c>
      <c r="H279" s="12" t="s">
        <v>333</v>
      </c>
      <c r="I279" s="12" t="s">
        <v>333</v>
      </c>
      <c r="J279" s="12" t="s">
        <v>333</v>
      </c>
      <c r="K279" s="12" t="s">
        <v>333</v>
      </c>
      <c r="L279" s="11">
        <v>7.5597302504816971E-2</v>
      </c>
      <c r="M279" s="11">
        <v>0.1445086705202312</v>
      </c>
      <c r="N279" s="12">
        <v>1.9267822736030827E-2</v>
      </c>
      <c r="O279" s="12">
        <v>2.5433526011560694</v>
      </c>
      <c r="P279" s="12">
        <v>1.1753371868978806</v>
      </c>
      <c r="Q279" s="12">
        <v>103.08285163776493</v>
      </c>
      <c r="R279" s="12">
        <v>9.5616570327552983E-2</v>
      </c>
      <c r="S279" s="12" t="s">
        <v>333</v>
      </c>
      <c r="T279" s="12">
        <v>0.20231213872832368</v>
      </c>
      <c r="U279" s="12">
        <v>1.2976878612716762E-2</v>
      </c>
      <c r="V279" s="12">
        <v>30.491329479768783</v>
      </c>
      <c r="W279" s="12" t="s">
        <v>333</v>
      </c>
      <c r="X279" s="13">
        <v>1.4017341040462427E-3</v>
      </c>
      <c r="Y279" s="12">
        <v>0.24084778420038536</v>
      </c>
      <c r="Z279" s="12">
        <v>0.24084778420038536</v>
      </c>
      <c r="AA279" s="14">
        <v>1.3583815028901732E-3</v>
      </c>
      <c r="AB279" s="12">
        <v>1.4450867052023122</v>
      </c>
      <c r="AC279" s="12" t="s">
        <v>333</v>
      </c>
      <c r="AD279" s="12" t="s">
        <v>333</v>
      </c>
      <c r="AE279" s="12">
        <v>61.25240847784201</v>
      </c>
      <c r="AF279" s="14">
        <v>5.4739884393063586E-3</v>
      </c>
      <c r="AG279" s="12">
        <v>5.6743737957610785</v>
      </c>
      <c r="AH279" s="12">
        <v>24.23892100192678</v>
      </c>
      <c r="AI279" s="12" t="s">
        <v>333</v>
      </c>
      <c r="AJ279" s="12" t="s">
        <v>333</v>
      </c>
      <c r="AK279" s="12">
        <v>4.1329479768786124</v>
      </c>
    </row>
    <row r="280" spans="1:37" x14ac:dyDescent="0.25">
      <c r="A280" s="7" t="s">
        <v>611</v>
      </c>
      <c r="B280" s="7" t="str">
        <f t="shared" si="4"/>
        <v>2775-10</v>
      </c>
      <c r="C280" s="7">
        <f>VLOOKUP(B280,'CEBAS-DEWOOD code'!A$2:B$302,2,FALSE)</f>
        <v>7</v>
      </c>
      <c r="D280" s="7" t="str">
        <f>VLOOKUP(IONOMICS!C280,'Field Table'!A$2:E$661,3,FALSE)</f>
        <v>AA</v>
      </c>
      <c r="E280" s="7" t="str">
        <f>VLOOKUP(IONOMICS!C280,'Field Table'!A$2:E$661,4,FALSE)</f>
        <v>1</v>
      </c>
      <c r="F280" s="7" t="str">
        <f>VLOOKUP(IONOMICS!C280,'Field Table'!A$2:E$661,5,FALSE)</f>
        <v>10</v>
      </c>
      <c r="G280" s="11">
        <v>6.1327392120075039</v>
      </c>
      <c r="H280" s="12">
        <v>4.6904315196998128E-2</v>
      </c>
      <c r="I280" s="12" t="s">
        <v>333</v>
      </c>
      <c r="J280" s="12" t="s">
        <v>333</v>
      </c>
      <c r="K280" s="12" t="s">
        <v>333</v>
      </c>
      <c r="L280" s="11">
        <v>4.2026266416510326E-2</v>
      </c>
      <c r="M280" s="11">
        <v>0.16416510318949343</v>
      </c>
      <c r="N280" s="12" t="s">
        <v>333</v>
      </c>
      <c r="O280" s="12">
        <v>4.6904315196998128E-2</v>
      </c>
      <c r="P280" s="12">
        <v>2.4507504690431516</v>
      </c>
      <c r="Q280" s="12">
        <v>6.1796435272045027</v>
      </c>
      <c r="R280" s="12">
        <v>8.8719512195121961E-2</v>
      </c>
      <c r="S280" s="12" t="s">
        <v>333</v>
      </c>
      <c r="T280" s="12">
        <v>2.3452157598499064E-2</v>
      </c>
      <c r="U280" s="12">
        <v>1.0272045028142589E-2</v>
      </c>
      <c r="V280" s="12">
        <v>38.825046904315194</v>
      </c>
      <c r="W280" s="12" t="s">
        <v>333</v>
      </c>
      <c r="X280" s="13">
        <v>1.050656660412758E-3</v>
      </c>
      <c r="Y280" s="12">
        <v>0.1524390243902439</v>
      </c>
      <c r="Z280" s="12">
        <v>0.51594746716697937</v>
      </c>
      <c r="AA280" s="14">
        <v>3.1250000000000002E-3</v>
      </c>
      <c r="AB280" s="12">
        <v>1.7823639774859288</v>
      </c>
      <c r="AC280" s="12" t="s">
        <v>333</v>
      </c>
      <c r="AD280" s="12" t="s">
        <v>333</v>
      </c>
      <c r="AE280" s="12">
        <v>12.335834896810505</v>
      </c>
      <c r="AF280" s="14">
        <v>4.8487335834896811E-3</v>
      </c>
      <c r="AG280" s="12">
        <v>2.8963414634146338</v>
      </c>
      <c r="AH280" s="12">
        <v>0.31660412757973738</v>
      </c>
      <c r="AI280" s="12" t="s">
        <v>333</v>
      </c>
      <c r="AJ280" s="12" t="s">
        <v>333</v>
      </c>
      <c r="AK280" s="12">
        <v>5.112570356472796</v>
      </c>
    </row>
    <row r="281" spans="1:37" x14ac:dyDescent="0.25">
      <c r="A281" s="7" t="s">
        <v>612</v>
      </c>
      <c r="B281" s="7" t="str">
        <f t="shared" si="4"/>
        <v>2775-11</v>
      </c>
      <c r="C281" s="7">
        <f>VLOOKUP(B281,'CEBAS-DEWOOD code'!A$2:B$302,2,FALSE)</f>
        <v>1079</v>
      </c>
      <c r="D281" s="7" t="str">
        <f>VLOOKUP(IONOMICS!C281,'Field Table'!A$2:E$661,3,FALSE)</f>
        <v>AA</v>
      </c>
      <c r="E281" s="7" t="str">
        <f>VLOOKUP(IONOMICS!C281,'Field Table'!A$2:E$661,4,FALSE)</f>
        <v>1</v>
      </c>
      <c r="F281" s="7" t="str">
        <f>VLOOKUP(IONOMICS!C281,'Field Table'!A$2:E$661,5,FALSE)</f>
        <v>01</v>
      </c>
      <c r="G281" s="11">
        <v>51.155462184873947</v>
      </c>
      <c r="H281" s="12">
        <v>1.7752100840336136</v>
      </c>
      <c r="I281" s="12" t="s">
        <v>333</v>
      </c>
      <c r="J281" s="12" t="s">
        <v>333</v>
      </c>
      <c r="K281" s="12" t="s">
        <v>333</v>
      </c>
      <c r="L281" s="11">
        <v>0.10787815126050421</v>
      </c>
      <c r="M281" s="11">
        <v>1.7647058823529411</v>
      </c>
      <c r="N281" s="12">
        <v>0.94537815126050417</v>
      </c>
      <c r="O281" s="12">
        <v>0.51470588235294124</v>
      </c>
      <c r="P281" s="12">
        <v>4.7268907563025211</v>
      </c>
      <c r="Q281" s="12">
        <v>16.90126050420168</v>
      </c>
      <c r="R281" s="12">
        <v>0.12804621848739495</v>
      </c>
      <c r="S281" s="12" t="s">
        <v>333</v>
      </c>
      <c r="T281" s="12">
        <v>0.46218487394957986</v>
      </c>
      <c r="U281" s="12">
        <v>2.1691176470588235E-2</v>
      </c>
      <c r="V281" s="12">
        <v>97.72058823529413</v>
      </c>
      <c r="W281" s="12">
        <v>2.6995798319327737</v>
      </c>
      <c r="X281" s="13">
        <v>1.0703781512605044E-3</v>
      </c>
      <c r="Y281" s="12">
        <v>1.1134453781512605</v>
      </c>
      <c r="Z281" s="12">
        <v>1.6806722689075633</v>
      </c>
      <c r="AA281" s="14">
        <v>2.2163865546218488E-2</v>
      </c>
      <c r="AB281" s="12">
        <v>2.7205882352941178</v>
      </c>
      <c r="AC281" s="12">
        <v>3.0252100840336134</v>
      </c>
      <c r="AD281" s="12">
        <v>0.78781512605042026</v>
      </c>
      <c r="AE281" s="12">
        <v>53.455882352941181</v>
      </c>
      <c r="AF281" s="14">
        <v>1.2710084033613445E-2</v>
      </c>
      <c r="AG281" s="12">
        <v>5.325630252100841</v>
      </c>
      <c r="AH281" s="12">
        <v>2.1428571428571428</v>
      </c>
      <c r="AI281" s="12" t="s">
        <v>333</v>
      </c>
      <c r="AJ281" s="12">
        <v>0.38865546218487396</v>
      </c>
      <c r="AK281" s="12">
        <v>11.071428571428571</v>
      </c>
    </row>
    <row r="282" spans="1:37" x14ac:dyDescent="0.25">
      <c r="A282" s="7" t="s">
        <v>613</v>
      </c>
      <c r="B282" s="7" t="str">
        <f t="shared" si="4"/>
        <v>2775-12</v>
      </c>
      <c r="C282" s="7">
        <f>VLOOKUP(B282,'CEBAS-DEWOOD code'!A$2:B$302,2,FALSE)</f>
        <v>84</v>
      </c>
      <c r="D282" s="7" t="str">
        <f>VLOOKUP(IONOMICS!C282,'Field Table'!A$2:E$661,3,FALSE)</f>
        <v>FS</v>
      </c>
      <c r="E282" s="7" t="str">
        <f>VLOOKUP(IONOMICS!C282,'Field Table'!A$2:E$661,4,FALSE)</f>
        <v>4</v>
      </c>
      <c r="F282" s="7" t="str">
        <f>VLOOKUP(IONOMICS!C282,'Field Table'!A$2:E$661,5,FALSE)</f>
        <v>10</v>
      </c>
      <c r="G282" s="11">
        <v>85.767564966313742</v>
      </c>
      <c r="H282" s="12">
        <v>0.33686236766121264</v>
      </c>
      <c r="I282" s="12" t="s">
        <v>333</v>
      </c>
      <c r="J282" s="12" t="s">
        <v>333</v>
      </c>
      <c r="K282" s="12" t="s">
        <v>333</v>
      </c>
      <c r="L282" s="11">
        <v>0.12957170356111644</v>
      </c>
      <c r="M282" s="11">
        <v>0.27670837343599614</v>
      </c>
      <c r="N282" s="12">
        <v>7.2184793070259864E-2</v>
      </c>
      <c r="O282" s="12">
        <v>0.31280076997112605</v>
      </c>
      <c r="P282" s="12">
        <v>2.0211742059672759</v>
      </c>
      <c r="Q282" s="12">
        <v>61.778152069297391</v>
      </c>
      <c r="R282" s="12">
        <v>6.4160250240615974E-2</v>
      </c>
      <c r="S282" s="12" t="s">
        <v>333</v>
      </c>
      <c r="T282" s="12">
        <v>0.25264677574590949</v>
      </c>
      <c r="U282" s="12">
        <v>2.650384985563041E-2</v>
      </c>
      <c r="V282" s="12">
        <v>53.164100096246393</v>
      </c>
      <c r="W282" s="12" t="s">
        <v>333</v>
      </c>
      <c r="X282" s="13">
        <v>7.9403272377285845E-4</v>
      </c>
      <c r="Y282" s="12">
        <v>0.66169393647738195</v>
      </c>
      <c r="Z282" s="12">
        <v>0.60153994225216556</v>
      </c>
      <c r="AA282" s="14">
        <v>6.1044273339749752E-3</v>
      </c>
      <c r="AB282" s="12">
        <v>1.4316650625601541</v>
      </c>
      <c r="AC282" s="12" t="s">
        <v>333</v>
      </c>
      <c r="AD282" s="12" t="s">
        <v>333</v>
      </c>
      <c r="AE282" s="12">
        <v>158.68623676612125</v>
      </c>
      <c r="AF282" s="14">
        <v>1.0421077959576515E-2</v>
      </c>
      <c r="AG282" s="12">
        <v>9.2637151106833482</v>
      </c>
      <c r="AH282" s="12">
        <v>6.6530317613089505</v>
      </c>
      <c r="AI282" s="12" t="s">
        <v>333</v>
      </c>
      <c r="AJ282" s="12">
        <v>6.0153994225216556E-2</v>
      </c>
      <c r="AK282" s="12">
        <v>2.9475457170356112</v>
      </c>
    </row>
    <row r="283" spans="1:37" x14ac:dyDescent="0.25">
      <c r="A283" s="7" t="s">
        <v>614</v>
      </c>
      <c r="B283" s="7" t="str">
        <f t="shared" si="4"/>
        <v>2775-13</v>
      </c>
      <c r="C283" s="7">
        <f>VLOOKUP(B283,'CEBAS-DEWOOD code'!A$2:B$302,2,FALSE)</f>
        <v>1034</v>
      </c>
      <c r="D283" s="7" t="str">
        <f>VLOOKUP(IONOMICS!C283,'Field Table'!A$2:E$661,3,FALSE)</f>
        <v>FS</v>
      </c>
      <c r="E283" s="7" t="str">
        <f>VLOOKUP(IONOMICS!C283,'Field Table'!A$2:E$661,4,FALSE)</f>
        <v>1</v>
      </c>
      <c r="F283" s="7" t="str">
        <f>VLOOKUP(IONOMICS!C283,'Field Table'!A$2:E$661,5,FALSE)</f>
        <v>01</v>
      </c>
      <c r="G283" s="11">
        <v>15.309784661881377</v>
      </c>
      <c r="H283" s="12">
        <v>0.27389497544389874</v>
      </c>
      <c r="I283" s="12" t="s">
        <v>333</v>
      </c>
      <c r="J283" s="12" t="s">
        <v>333</v>
      </c>
      <c r="K283" s="12" t="s">
        <v>333</v>
      </c>
      <c r="L283" s="11">
        <v>0.36097468832640728</v>
      </c>
      <c r="M283" s="11">
        <v>0.17944843218738196</v>
      </c>
      <c r="N283" s="12">
        <v>0.1038911975821685</v>
      </c>
      <c r="O283" s="12">
        <v>0.29278428409520213</v>
      </c>
      <c r="P283" s="12">
        <v>3.4850774461654708</v>
      </c>
      <c r="Q283" s="12">
        <v>12.278050623347186</v>
      </c>
      <c r="R283" s="12">
        <v>0.11116358141292029</v>
      </c>
      <c r="S283" s="12" t="s">
        <v>333</v>
      </c>
      <c r="T283" s="12">
        <v>0.17000377786173027</v>
      </c>
      <c r="U283" s="12">
        <v>2.3328296184359658E-2</v>
      </c>
      <c r="V283" s="12">
        <v>94.540989799773328</v>
      </c>
      <c r="W283" s="12" t="s">
        <v>333</v>
      </c>
      <c r="X283" s="13">
        <v>5.6667925953910094E-3</v>
      </c>
      <c r="Y283" s="12">
        <v>0.91613146958821312</v>
      </c>
      <c r="Z283" s="12">
        <v>1.2372497166603704</v>
      </c>
      <c r="AA283" s="14">
        <v>2.2449943332074045E-2</v>
      </c>
      <c r="AB283" s="12">
        <v>2.4839440876463921</v>
      </c>
      <c r="AC283" s="12" t="s">
        <v>333</v>
      </c>
      <c r="AD283" s="12" t="s">
        <v>333</v>
      </c>
      <c r="AE283" s="12">
        <v>445.97657725727242</v>
      </c>
      <c r="AF283" s="14">
        <v>2.4159425765016999E-2</v>
      </c>
      <c r="AG283" s="12">
        <v>22.468832640725349</v>
      </c>
      <c r="AH283" s="12">
        <v>0.66112580279561772</v>
      </c>
      <c r="AI283" s="12" t="s">
        <v>333</v>
      </c>
      <c r="AJ283" s="12" t="s">
        <v>333</v>
      </c>
      <c r="AK283" s="12">
        <v>9.5579901775595015</v>
      </c>
    </row>
    <row r="284" spans="1:37" x14ac:dyDescent="0.25">
      <c r="A284" s="7" t="s">
        <v>615</v>
      </c>
      <c r="B284" s="7" t="str">
        <f t="shared" si="4"/>
        <v>2775-14</v>
      </c>
      <c r="C284" s="7">
        <f>VLOOKUP(B284,'CEBAS-DEWOOD code'!A$2:B$302,2,FALSE)</f>
        <v>1058</v>
      </c>
      <c r="D284" s="7" t="str">
        <f>VLOOKUP(IONOMICS!C284,'Field Table'!A$2:E$661,3,FALSE)</f>
        <v>FS</v>
      </c>
      <c r="E284" s="7" t="str">
        <f>VLOOKUP(IONOMICS!C284,'Field Table'!A$2:E$661,4,FALSE)</f>
        <v>1</v>
      </c>
      <c r="F284" s="7" t="str">
        <f>VLOOKUP(IONOMICS!C284,'Field Table'!A$2:E$661,5,FALSE)</f>
        <v>01</v>
      </c>
      <c r="G284" s="11">
        <v>10.050071530758226</v>
      </c>
      <c r="H284" s="12" t="s">
        <v>333</v>
      </c>
      <c r="I284" s="12" t="s">
        <v>333</v>
      </c>
      <c r="J284" s="12" t="s">
        <v>333</v>
      </c>
      <c r="K284" s="12" t="s">
        <v>333</v>
      </c>
      <c r="L284" s="11">
        <v>0.20910824988078208</v>
      </c>
      <c r="M284" s="11">
        <v>0.11921793037672866</v>
      </c>
      <c r="N284" s="12">
        <v>2.3843586075345733E-2</v>
      </c>
      <c r="O284" s="12">
        <v>0.39341917024320461</v>
      </c>
      <c r="P284" s="12">
        <v>2.5870290891750121</v>
      </c>
      <c r="Q284" s="12">
        <v>60.073915116833575</v>
      </c>
      <c r="R284" s="12">
        <v>9.6578445398187898E-2</v>
      </c>
      <c r="S284" s="12" t="s">
        <v>333</v>
      </c>
      <c r="T284" s="12">
        <v>0.16690510252742011</v>
      </c>
      <c r="U284" s="12">
        <v>2.2865999046256556E-2</v>
      </c>
      <c r="V284" s="12">
        <v>70.207439198855511</v>
      </c>
      <c r="W284" s="12" t="s">
        <v>333</v>
      </c>
      <c r="X284" s="13">
        <v>6.8192656175488796E-4</v>
      </c>
      <c r="Y284" s="12">
        <v>0.92989985693848343</v>
      </c>
      <c r="Z284" s="12">
        <v>0.48879351454458753</v>
      </c>
      <c r="AA284" s="14">
        <v>2.4868860276585598E-2</v>
      </c>
      <c r="AB284" s="12">
        <v>2.2770624701955176</v>
      </c>
      <c r="AC284" s="12" t="s">
        <v>333</v>
      </c>
      <c r="AD284" s="12" t="s">
        <v>333</v>
      </c>
      <c r="AE284" s="12">
        <v>310.3242727706247</v>
      </c>
      <c r="AF284" s="14">
        <v>1.7870767763471629E-2</v>
      </c>
      <c r="AG284" s="12">
        <v>14.091559370529328</v>
      </c>
      <c r="AH284" s="12">
        <v>0.53648068669527893</v>
      </c>
      <c r="AI284" s="12" t="s">
        <v>333</v>
      </c>
      <c r="AJ284" s="12" t="s">
        <v>333</v>
      </c>
      <c r="AK284" s="12">
        <v>6.2827849308535999</v>
      </c>
    </row>
    <row r="285" spans="1:37" x14ac:dyDescent="0.25">
      <c r="A285" s="7" t="s">
        <v>616</v>
      </c>
      <c r="B285" s="7" t="str">
        <f t="shared" si="4"/>
        <v>2775-15</v>
      </c>
      <c r="C285" s="7">
        <f>VLOOKUP(B285,'CEBAS-DEWOOD code'!A$2:B$302,2,FALSE)</f>
        <v>152</v>
      </c>
      <c r="D285" s="7" t="str">
        <f>VLOOKUP(IONOMICS!C285,'Field Table'!A$2:E$661,3,FALSE)</f>
        <v>AA</v>
      </c>
      <c r="E285" s="7" t="str">
        <f>VLOOKUP(IONOMICS!C285,'Field Table'!A$2:E$661,4,FALSE)</f>
        <v>1</v>
      </c>
      <c r="F285" s="7" t="str">
        <f>VLOOKUP(IONOMICS!C285,'Field Table'!A$2:E$661,5,FALSE)</f>
        <v>10</v>
      </c>
      <c r="G285" s="11">
        <v>16.779700654817589</v>
      </c>
      <c r="H285" s="12">
        <v>0.11693171188026194</v>
      </c>
      <c r="I285" s="12" t="s">
        <v>333</v>
      </c>
      <c r="J285" s="12" t="s">
        <v>333</v>
      </c>
      <c r="K285" s="12" t="s">
        <v>333</v>
      </c>
      <c r="L285" s="11">
        <v>0.11845182413470536</v>
      </c>
      <c r="M285" s="11">
        <v>0.16370439663236669</v>
      </c>
      <c r="N285" s="12">
        <v>7.015902712815715E-2</v>
      </c>
      <c r="O285" s="12">
        <v>2.3386342376052388E-2</v>
      </c>
      <c r="P285" s="12">
        <v>1.5318054256314313</v>
      </c>
      <c r="Q285" s="12">
        <v>9.8573433115060798</v>
      </c>
      <c r="R285" s="12">
        <v>0.19235266604303089</v>
      </c>
      <c r="S285" s="12" t="s">
        <v>333</v>
      </c>
      <c r="T285" s="12">
        <v>0.2806361085126286</v>
      </c>
      <c r="U285" s="12">
        <v>2.1796071094480826E-2</v>
      </c>
      <c r="V285" s="12">
        <v>33.173526660430312</v>
      </c>
      <c r="W285" s="12" t="s">
        <v>333</v>
      </c>
      <c r="X285" s="13">
        <v>8.0215154349859679E-4</v>
      </c>
      <c r="Y285" s="12">
        <v>5.846585594013097E-2</v>
      </c>
      <c r="Z285" s="12">
        <v>0.19878391019644526</v>
      </c>
      <c r="AA285" s="14">
        <v>7.8110383536014972E-3</v>
      </c>
      <c r="AB285" s="12">
        <v>2.7011225444340505</v>
      </c>
      <c r="AC285" s="12" t="s">
        <v>333</v>
      </c>
      <c r="AD285" s="12" t="s">
        <v>333</v>
      </c>
      <c r="AE285" s="12">
        <v>77.970065481758652</v>
      </c>
      <c r="AF285" s="14">
        <v>1.0924929840972873E-2</v>
      </c>
      <c r="AG285" s="12">
        <v>5.8115060804490177</v>
      </c>
      <c r="AH285" s="12">
        <v>2.0229186155285315</v>
      </c>
      <c r="AI285" s="12" t="s">
        <v>333</v>
      </c>
      <c r="AJ285" s="12" t="s">
        <v>333</v>
      </c>
      <c r="AK285" s="12">
        <v>4.9812909260991578</v>
      </c>
    </row>
    <row r="286" spans="1:37" x14ac:dyDescent="0.25">
      <c r="A286" s="7" t="s">
        <v>617</v>
      </c>
      <c r="B286" s="7" t="str">
        <f t="shared" si="4"/>
        <v>2775-16</v>
      </c>
      <c r="C286" s="7">
        <f>VLOOKUP(B286,'CEBAS-DEWOOD code'!A$2:B$302,2,FALSE)</f>
        <v>1025</v>
      </c>
      <c r="D286" s="7" t="str">
        <f>VLOOKUP(IONOMICS!C286,'Field Table'!A$2:E$661,3,FALSE)</f>
        <v>AA</v>
      </c>
      <c r="E286" s="7" t="str">
        <f>VLOOKUP(IONOMICS!C286,'Field Table'!A$2:E$661,4,FALSE)</f>
        <v>1</v>
      </c>
      <c r="F286" s="7" t="str">
        <f>VLOOKUP(IONOMICS!C286,'Field Table'!A$2:E$661,5,FALSE)</f>
        <v>01</v>
      </c>
      <c r="G286" s="11">
        <v>64.184116949822211</v>
      </c>
      <c r="H286" s="12">
        <v>3.9510075069142635E-2</v>
      </c>
      <c r="I286" s="12" t="s">
        <v>333</v>
      </c>
      <c r="J286" s="12" t="s">
        <v>333</v>
      </c>
      <c r="K286" s="12" t="s">
        <v>333</v>
      </c>
      <c r="L286" s="11">
        <v>0.14431054919004346</v>
      </c>
      <c r="M286" s="11">
        <v>0.375345713156855</v>
      </c>
      <c r="N286" s="12">
        <v>1.9755037534571317E-2</v>
      </c>
      <c r="O286" s="12">
        <v>0.1876728565784275</v>
      </c>
      <c r="P286" s="12">
        <v>2.9435005926511262</v>
      </c>
      <c r="Q286" s="12">
        <v>17.088107467404186</v>
      </c>
      <c r="R286" s="12">
        <v>0.11023310944290796</v>
      </c>
      <c r="S286" s="12" t="s">
        <v>333</v>
      </c>
      <c r="T286" s="12">
        <v>0.12840774397471355</v>
      </c>
      <c r="U286" s="12">
        <v>2.016001580403003E-2</v>
      </c>
      <c r="V286" s="12">
        <v>101.63966811536942</v>
      </c>
      <c r="W286" s="12" t="s">
        <v>333</v>
      </c>
      <c r="X286" s="13">
        <v>4.1979454760964049E-4</v>
      </c>
      <c r="Y286" s="12">
        <v>0.23706045041485579</v>
      </c>
      <c r="Z286" s="12">
        <v>0.33583563808771233</v>
      </c>
      <c r="AA286" s="14">
        <v>1.6930067167127617E-2</v>
      </c>
      <c r="AB286" s="12">
        <v>2.1236665349664166</v>
      </c>
      <c r="AC286" s="12" t="s">
        <v>333</v>
      </c>
      <c r="AD286" s="12" t="s">
        <v>333</v>
      </c>
      <c r="AE286" s="12">
        <v>35.924535756617942</v>
      </c>
      <c r="AF286" s="14">
        <v>1.3443303042275782E-2</v>
      </c>
      <c r="AG286" s="12">
        <v>7.2599762939549581</v>
      </c>
      <c r="AH286" s="12">
        <v>1.1359146582378505</v>
      </c>
      <c r="AI286" s="12" t="s">
        <v>333</v>
      </c>
      <c r="AJ286" s="12" t="s">
        <v>333</v>
      </c>
      <c r="AK286" s="12">
        <v>12.771631766100356</v>
      </c>
    </row>
    <row r="287" spans="1:37" x14ac:dyDescent="0.25">
      <c r="A287" s="7" t="s">
        <v>618</v>
      </c>
      <c r="B287" s="7" t="str">
        <f t="shared" si="4"/>
        <v>2775-17</v>
      </c>
      <c r="C287" s="7">
        <f>VLOOKUP(B287,'CEBAS-DEWOOD code'!A$2:B$302,2,FALSE)</f>
        <v>331</v>
      </c>
      <c r="D287" s="7" t="str">
        <f>VLOOKUP(IONOMICS!C287,'Field Table'!A$2:E$661,3,FALSE)</f>
        <v>AA</v>
      </c>
      <c r="E287" s="7" t="str">
        <f>VLOOKUP(IONOMICS!C287,'Field Table'!A$2:E$661,4,FALSE)</f>
        <v>1</v>
      </c>
      <c r="F287" s="7" t="str">
        <f>VLOOKUP(IONOMICS!C287,'Field Table'!A$2:E$661,5,FALSE)</f>
        <v>10</v>
      </c>
      <c r="G287" s="11">
        <v>4.403854773644106</v>
      </c>
      <c r="H287" s="12">
        <v>4.482294935006724E-2</v>
      </c>
      <c r="I287" s="12" t="s">
        <v>333</v>
      </c>
      <c r="J287" s="12" t="s">
        <v>333</v>
      </c>
      <c r="K287" s="12" t="s">
        <v>333</v>
      </c>
      <c r="L287" s="11">
        <v>4.2929179740026899E-2</v>
      </c>
      <c r="M287" s="11">
        <v>0.17929179740026896</v>
      </c>
      <c r="N287" s="12">
        <v>4.482294935006724E-2</v>
      </c>
      <c r="O287" s="12">
        <v>0.10085163603765128</v>
      </c>
      <c r="P287" s="12">
        <v>1.3558942178395339</v>
      </c>
      <c r="Q287" s="12">
        <v>2.2859704168534289</v>
      </c>
      <c r="R287" s="12">
        <v>8.9970865082922458E-2</v>
      </c>
      <c r="S287" s="12" t="s">
        <v>333</v>
      </c>
      <c r="T287" s="12">
        <v>8.964589870013448E-2</v>
      </c>
      <c r="U287" s="12">
        <v>9.6839982070820261E-3</v>
      </c>
      <c r="V287" s="12">
        <v>34.020618556701031</v>
      </c>
      <c r="W287" s="12" t="s">
        <v>333</v>
      </c>
      <c r="X287" s="13">
        <v>4.9417301658449125E-4</v>
      </c>
      <c r="Y287" s="12">
        <v>0.11205737337516809</v>
      </c>
      <c r="Z287" s="12">
        <v>0.62752129090094122</v>
      </c>
      <c r="AA287" s="14">
        <v>1.3166741371582252E-3</v>
      </c>
      <c r="AB287" s="12">
        <v>1.3670999551770506</v>
      </c>
      <c r="AC287" s="12" t="s">
        <v>333</v>
      </c>
      <c r="AD287" s="12" t="s">
        <v>333</v>
      </c>
      <c r="AE287" s="12">
        <v>16.393993724787091</v>
      </c>
      <c r="AF287" s="14">
        <v>4.8599282832810396E-3</v>
      </c>
      <c r="AG287" s="12">
        <v>2.8462572837292694</v>
      </c>
      <c r="AH287" s="12">
        <v>0.42581801882563874</v>
      </c>
      <c r="AI287" s="12" t="s">
        <v>333</v>
      </c>
      <c r="AJ287" s="12" t="s">
        <v>333</v>
      </c>
      <c r="AK287" s="12">
        <v>4.7736441057821608</v>
      </c>
    </row>
    <row r="288" spans="1:37" x14ac:dyDescent="0.25">
      <c r="A288" s="7" t="s">
        <v>619</v>
      </c>
      <c r="B288" s="7" t="str">
        <f t="shared" si="4"/>
        <v>2775-18</v>
      </c>
      <c r="C288" s="7">
        <f>VLOOKUP(B288,'CEBAS-DEWOOD code'!A$2:B$302,2,FALSE)</f>
        <v>348</v>
      </c>
      <c r="D288" s="7" t="str">
        <f>VLOOKUP(IONOMICS!C288,'Field Table'!A$2:E$661,3,FALSE)</f>
        <v>AA</v>
      </c>
      <c r="E288" s="7" t="str">
        <f>VLOOKUP(IONOMICS!C288,'Field Table'!A$2:E$661,4,FALSE)</f>
        <v>1</v>
      </c>
      <c r="F288" s="7" t="str">
        <f>VLOOKUP(IONOMICS!C288,'Field Table'!A$2:E$661,5,FALSE)</f>
        <v>10</v>
      </c>
      <c r="G288" s="11">
        <v>6.0973084886128364</v>
      </c>
      <c r="H288" s="12">
        <v>0.12422360248447205</v>
      </c>
      <c r="I288" s="12" t="s">
        <v>333</v>
      </c>
      <c r="J288" s="12" t="s">
        <v>333</v>
      </c>
      <c r="K288" s="12" t="s">
        <v>333</v>
      </c>
      <c r="L288" s="11">
        <v>4.5527950310559007E-2</v>
      </c>
      <c r="M288" s="11">
        <v>0.11387163561076605</v>
      </c>
      <c r="N288" s="12" t="s">
        <v>333</v>
      </c>
      <c r="O288" s="12">
        <v>4.1407867494824016E-2</v>
      </c>
      <c r="P288" s="12">
        <v>1.0559006211180124</v>
      </c>
      <c r="Q288" s="12">
        <v>3.6024844720496891</v>
      </c>
      <c r="R288" s="12">
        <v>4.8136645962732927E-2</v>
      </c>
      <c r="S288" s="12" t="s">
        <v>333</v>
      </c>
      <c r="T288" s="12">
        <v>0.15527950310559005</v>
      </c>
      <c r="U288" s="12">
        <v>1.0621118012422361E-2</v>
      </c>
      <c r="V288" s="12">
        <v>34.503105590062113</v>
      </c>
      <c r="W288" s="12" t="s">
        <v>333</v>
      </c>
      <c r="X288" s="13">
        <v>3.0952380952380956E-4</v>
      </c>
      <c r="Y288" s="12">
        <v>0.14492753623188404</v>
      </c>
      <c r="Z288" s="12">
        <v>0.21739130434782608</v>
      </c>
      <c r="AA288" s="14">
        <v>2.1076604554865425E-3</v>
      </c>
      <c r="AB288" s="12">
        <v>1.0766045548654244</v>
      </c>
      <c r="AC288" s="12" t="s">
        <v>333</v>
      </c>
      <c r="AD288" s="12" t="s">
        <v>333</v>
      </c>
      <c r="AE288" s="12">
        <v>30.300207039337479</v>
      </c>
      <c r="AF288" s="14">
        <v>4.7877846790890279E-3</v>
      </c>
      <c r="AG288" s="12">
        <v>3.053830227743271</v>
      </c>
      <c r="AH288" s="12">
        <v>0.6314699792960663</v>
      </c>
      <c r="AI288" s="12" t="s">
        <v>333</v>
      </c>
      <c r="AJ288" s="12" t="s">
        <v>333</v>
      </c>
      <c r="AK288" s="12">
        <v>4.9378881987577641</v>
      </c>
    </row>
    <row r="289" spans="1:37" x14ac:dyDescent="0.25">
      <c r="A289" s="7" t="s">
        <v>620</v>
      </c>
      <c r="B289" s="7" t="str">
        <f t="shared" si="4"/>
        <v>2775-19</v>
      </c>
      <c r="C289" s="7">
        <f>VLOOKUP(B289,'CEBAS-DEWOOD code'!A$2:B$302,2,FALSE)</f>
        <v>390</v>
      </c>
      <c r="D289" s="7" t="str">
        <f>VLOOKUP(IONOMICS!C289,'Field Table'!A$2:E$661,3,FALSE)</f>
        <v>FS</v>
      </c>
      <c r="E289" s="7" t="str">
        <f>VLOOKUP(IONOMICS!C289,'Field Table'!A$2:E$661,4,FALSE)</f>
        <v>1</v>
      </c>
      <c r="F289" s="7" t="str">
        <f>VLOOKUP(IONOMICS!C289,'Field Table'!A$2:E$661,5,FALSE)</f>
        <v>10</v>
      </c>
      <c r="G289" s="11">
        <v>7.3859166011014956</v>
      </c>
      <c r="H289" s="12">
        <v>7.8678206136900089E-2</v>
      </c>
      <c r="I289" s="12" t="s">
        <v>333</v>
      </c>
      <c r="J289" s="12" t="s">
        <v>333</v>
      </c>
      <c r="K289" s="12" t="s">
        <v>333</v>
      </c>
      <c r="L289" s="11">
        <v>0.11526357199055863</v>
      </c>
      <c r="M289" s="11">
        <v>0.11801730920535013</v>
      </c>
      <c r="N289" s="12">
        <v>9.8347757671125111E-3</v>
      </c>
      <c r="O289" s="12">
        <v>5.9008654602675063E-2</v>
      </c>
      <c r="P289" s="12">
        <v>1.0916601101494887</v>
      </c>
      <c r="Q289" s="12">
        <v>4.0814319433516921</v>
      </c>
      <c r="R289" s="12">
        <v>9.2987804878048794E-2</v>
      </c>
      <c r="S289" s="12" t="s">
        <v>333</v>
      </c>
      <c r="T289" s="12">
        <v>8.8512981904012591E-2</v>
      </c>
      <c r="U289" s="12">
        <v>2.862903225806452E-2</v>
      </c>
      <c r="V289" s="12">
        <v>59.077498033044854</v>
      </c>
      <c r="W289" s="12" t="s">
        <v>333</v>
      </c>
      <c r="X289" s="13">
        <v>1.2529504327301339E-3</v>
      </c>
      <c r="Y289" s="12">
        <v>1.1900078678206139</v>
      </c>
      <c r="Z289" s="12">
        <v>4.9173878835562554E-2</v>
      </c>
      <c r="AA289" s="14">
        <v>5.062942564909521E-3</v>
      </c>
      <c r="AB289" s="12">
        <v>2.7635719905586154</v>
      </c>
      <c r="AC289" s="12" t="s">
        <v>333</v>
      </c>
      <c r="AD289" s="12" t="s">
        <v>333</v>
      </c>
      <c r="AE289" s="12">
        <v>59.067663257277744</v>
      </c>
      <c r="AF289" s="14">
        <v>9.349921321793863E-3</v>
      </c>
      <c r="AG289" s="12">
        <v>8.3792289535798581</v>
      </c>
      <c r="AH289" s="12">
        <v>1.0326514555468136</v>
      </c>
      <c r="AI289" s="12" t="s">
        <v>333</v>
      </c>
      <c r="AJ289" s="12" t="s">
        <v>333</v>
      </c>
      <c r="AK289" s="12">
        <v>4.1994492525570424</v>
      </c>
    </row>
    <row r="290" spans="1:37" x14ac:dyDescent="0.25">
      <c r="A290" s="7" t="s">
        <v>621</v>
      </c>
      <c r="B290" s="7" t="str">
        <f t="shared" si="4"/>
        <v>2775-20</v>
      </c>
      <c r="C290" s="7">
        <f>VLOOKUP(B290,'CEBAS-DEWOOD code'!A$2:B$302,2,FALSE)</f>
        <v>1066</v>
      </c>
      <c r="D290" s="7" t="str">
        <f>VLOOKUP(IONOMICS!C290,'Field Table'!A$2:E$661,3,FALSE)</f>
        <v>FS</v>
      </c>
      <c r="E290" s="7" t="str">
        <f>VLOOKUP(IONOMICS!C290,'Field Table'!A$2:E$661,4,FALSE)</f>
        <v>4</v>
      </c>
      <c r="F290" s="7" t="str">
        <f>VLOOKUP(IONOMICS!C290,'Field Table'!A$2:E$661,5,FALSE)</f>
        <v>01</v>
      </c>
      <c r="G290" s="11">
        <v>81.538955479452056</v>
      </c>
      <c r="H290" s="12">
        <v>0.2247431506849315</v>
      </c>
      <c r="I290" s="12" t="s">
        <v>333</v>
      </c>
      <c r="J290" s="12" t="s">
        <v>333</v>
      </c>
      <c r="K290" s="12" t="s">
        <v>333</v>
      </c>
      <c r="L290" s="11">
        <v>0.83015839041095885</v>
      </c>
      <c r="M290" s="11">
        <v>0.2247431506849315</v>
      </c>
      <c r="N290" s="12">
        <v>0.13912671232876714</v>
      </c>
      <c r="O290" s="12">
        <v>0.49229452054794515</v>
      </c>
      <c r="P290" s="12">
        <v>3.4032534246575343</v>
      </c>
      <c r="Q290" s="12">
        <v>53.767123287671225</v>
      </c>
      <c r="R290" s="12">
        <v>4.7270976027397264E-2</v>
      </c>
      <c r="S290" s="12" t="s">
        <v>333</v>
      </c>
      <c r="T290" s="12">
        <v>0.27825342465753428</v>
      </c>
      <c r="U290" s="12">
        <v>2.8938356164383564E-2</v>
      </c>
      <c r="V290" s="12">
        <v>122.85958904109589</v>
      </c>
      <c r="W290" s="12" t="s">
        <v>333</v>
      </c>
      <c r="X290" s="13">
        <v>2.818921232876713E-3</v>
      </c>
      <c r="Y290" s="12">
        <v>0.87756849315068497</v>
      </c>
      <c r="Z290" s="12">
        <v>2.0761986301369864</v>
      </c>
      <c r="AA290" s="14">
        <v>1.3484589041095891E-2</v>
      </c>
      <c r="AB290" s="12">
        <v>0.92037671232876705</v>
      </c>
      <c r="AC290" s="12" t="s">
        <v>333</v>
      </c>
      <c r="AD290" s="12" t="s">
        <v>333</v>
      </c>
      <c r="AE290" s="12">
        <v>508.66866438356163</v>
      </c>
      <c r="AF290" s="14">
        <v>2.8007277397260274E-2</v>
      </c>
      <c r="AG290" s="12">
        <v>58.154965753424655</v>
      </c>
      <c r="AH290" s="12">
        <v>3.7136130136986303</v>
      </c>
      <c r="AI290" s="12" t="s">
        <v>333</v>
      </c>
      <c r="AJ290" s="12">
        <v>3.210616438356164E-2</v>
      </c>
      <c r="AK290" s="12">
        <v>15.592893835616438</v>
      </c>
    </row>
    <row r="291" spans="1:37" x14ac:dyDescent="0.25">
      <c r="A291" s="7" t="s">
        <v>622</v>
      </c>
      <c r="B291" s="7" t="str">
        <f t="shared" si="4"/>
        <v>2775-21</v>
      </c>
      <c r="C291" s="7">
        <f>VLOOKUP(B291,'CEBAS-DEWOOD code'!A$2:B$302,2,FALSE)</f>
        <v>337</v>
      </c>
      <c r="D291" s="7" t="str">
        <f>VLOOKUP(IONOMICS!C291,'Field Table'!A$2:E$661,3,FALSE)</f>
        <v>FS</v>
      </c>
      <c r="E291" s="7" t="str">
        <f>VLOOKUP(IONOMICS!C291,'Field Table'!A$2:E$661,4,FALSE)</f>
        <v>1</v>
      </c>
      <c r="F291" s="7" t="str">
        <f>VLOOKUP(IONOMICS!C291,'Field Table'!A$2:E$661,5,FALSE)</f>
        <v>10</v>
      </c>
      <c r="G291" s="11">
        <v>9.096907993966818</v>
      </c>
      <c r="H291" s="12">
        <v>8.4841628959276022E-2</v>
      </c>
      <c r="I291" s="12" t="s">
        <v>333</v>
      </c>
      <c r="J291" s="12" t="s">
        <v>333</v>
      </c>
      <c r="K291" s="12" t="s">
        <v>333</v>
      </c>
      <c r="L291" s="11">
        <v>9.0686274509803919E-2</v>
      </c>
      <c r="M291" s="11">
        <v>0.10369532428355958</v>
      </c>
      <c r="N291" s="12">
        <v>9.426847662141781E-3</v>
      </c>
      <c r="O291" s="12">
        <v>3.7707390648567124E-2</v>
      </c>
      <c r="P291" s="12">
        <v>0.92383107088989447</v>
      </c>
      <c r="Q291" s="12">
        <v>55.392156862745097</v>
      </c>
      <c r="R291" s="12">
        <v>7.3680241327300153E-2</v>
      </c>
      <c r="S291" s="12" t="s">
        <v>333</v>
      </c>
      <c r="T291" s="12">
        <v>0.1508295625942685</v>
      </c>
      <c r="U291" s="12">
        <v>2.7413273001508295E-2</v>
      </c>
      <c r="V291" s="12">
        <v>64.715309200603329</v>
      </c>
      <c r="W291" s="12" t="s">
        <v>333</v>
      </c>
      <c r="X291" s="13">
        <v>2.4604072398190047E-4</v>
      </c>
      <c r="Y291" s="12">
        <v>1.206636500754148</v>
      </c>
      <c r="Z291" s="12">
        <v>4.7134238310708905E-2</v>
      </c>
      <c r="AA291" s="14">
        <v>3.96210407239819E-3</v>
      </c>
      <c r="AB291" s="12">
        <v>2.2530165912518854</v>
      </c>
      <c r="AC291" s="12" t="s">
        <v>333</v>
      </c>
      <c r="AD291" s="12" t="s">
        <v>333</v>
      </c>
      <c r="AE291" s="12">
        <v>16.977752639517348</v>
      </c>
      <c r="AF291" s="14">
        <v>7.664969834087482E-3</v>
      </c>
      <c r="AG291" s="12">
        <v>7.4377828054298645</v>
      </c>
      <c r="AH291" s="12">
        <v>0.35822021116138764</v>
      </c>
      <c r="AI291" s="12" t="s">
        <v>333</v>
      </c>
      <c r="AJ291" s="12" t="s">
        <v>333</v>
      </c>
      <c r="AK291" s="12">
        <v>3.0260180995475108</v>
      </c>
    </row>
    <row r="292" spans="1:37" x14ac:dyDescent="0.25">
      <c r="A292" s="7" t="s">
        <v>623</v>
      </c>
      <c r="B292" s="7" t="str">
        <f t="shared" si="4"/>
        <v>2775-22</v>
      </c>
      <c r="C292" s="7" t="e">
        <f>VLOOKUP(B292,'CEBAS-DEWOOD code'!A$2:B$302,2,FALSE)</f>
        <v>#N/A</v>
      </c>
      <c r="D292" s="7" t="e">
        <f>VLOOKUP(IONOMICS!C292,'Field Table'!A$2:E$661,3,FALSE)</f>
        <v>#N/A</v>
      </c>
      <c r="E292" s="7" t="e">
        <f>VLOOKUP(IONOMICS!C292,'Field Table'!A$2:E$661,4,FALSE)</f>
        <v>#N/A</v>
      </c>
      <c r="F292" s="7" t="e">
        <f>VLOOKUP(IONOMICS!C292,'Field Table'!A$2:E$661,5,FALSE)</f>
        <v>#N/A</v>
      </c>
      <c r="G292" s="11">
        <v>36.98329853862213</v>
      </c>
      <c r="H292" s="12">
        <v>3.1315240083507306E-2</v>
      </c>
      <c r="I292" s="12" t="s">
        <v>333</v>
      </c>
      <c r="J292" s="12" t="s">
        <v>333</v>
      </c>
      <c r="K292" s="12" t="s">
        <v>333</v>
      </c>
      <c r="L292" s="11">
        <v>9.6524008350730689E-2</v>
      </c>
      <c r="M292" s="11">
        <v>5.2192066805845518E-2</v>
      </c>
      <c r="N292" s="12" t="s">
        <v>333</v>
      </c>
      <c r="O292" s="12">
        <v>0.11482254697286014</v>
      </c>
      <c r="P292" s="12">
        <v>1.0960334029227559</v>
      </c>
      <c r="Q292" s="12">
        <v>70.146137787056375</v>
      </c>
      <c r="R292" s="12">
        <v>0.15782881002087684</v>
      </c>
      <c r="S292" s="12" t="s">
        <v>333</v>
      </c>
      <c r="T292" s="12">
        <v>0.12526096033402923</v>
      </c>
      <c r="U292" s="12">
        <v>2.5480167014613777E-2</v>
      </c>
      <c r="V292" s="12">
        <v>26.169102296450937</v>
      </c>
      <c r="W292" s="12" t="s">
        <v>333</v>
      </c>
      <c r="X292" s="13">
        <v>3.7056367432150312E-4</v>
      </c>
      <c r="Y292" s="12">
        <v>4.1753653444676408E-2</v>
      </c>
      <c r="Z292" s="12">
        <v>8.3507306889352817E-2</v>
      </c>
      <c r="AA292" s="14">
        <v>1.0897703549060543E-3</v>
      </c>
      <c r="AB292" s="12">
        <v>1.534446764091858</v>
      </c>
      <c r="AC292" s="12" t="s">
        <v>333</v>
      </c>
      <c r="AD292" s="12" t="s">
        <v>333</v>
      </c>
      <c r="AE292" s="12">
        <v>169.41544885177456</v>
      </c>
      <c r="AF292" s="14">
        <v>5.9812108559498959E-3</v>
      </c>
      <c r="AG292" s="12">
        <v>5.9081419624217126</v>
      </c>
      <c r="AH292" s="12">
        <v>5.4279749478079333</v>
      </c>
      <c r="AI292" s="12" t="s">
        <v>333</v>
      </c>
      <c r="AJ292" s="12" t="s">
        <v>333</v>
      </c>
      <c r="AK292" s="12">
        <v>2.6722338204592901</v>
      </c>
    </row>
    <row r="293" spans="1:37" x14ac:dyDescent="0.25">
      <c r="A293" s="7" t="s">
        <v>624</v>
      </c>
      <c r="B293" s="7" t="str">
        <f t="shared" si="4"/>
        <v>2775-23</v>
      </c>
      <c r="C293" s="7">
        <f>VLOOKUP(B293,'CEBAS-DEWOOD code'!A$2:B$302,2,FALSE)</f>
        <v>1015</v>
      </c>
      <c r="D293" s="7" t="str">
        <f>VLOOKUP(IONOMICS!C293,'Field Table'!A$2:E$661,3,FALSE)</f>
        <v>AA</v>
      </c>
      <c r="E293" s="7" t="str">
        <f>VLOOKUP(IONOMICS!C293,'Field Table'!A$2:E$661,4,FALSE)</f>
        <v>4</v>
      </c>
      <c r="F293" s="7" t="str">
        <f>VLOOKUP(IONOMICS!C293,'Field Table'!A$2:E$661,5,FALSE)</f>
        <v>01</v>
      </c>
      <c r="G293" s="11">
        <v>76.815302144249515</v>
      </c>
      <c r="H293" s="12">
        <v>0.13401559454191034</v>
      </c>
      <c r="I293" s="12" t="s">
        <v>333</v>
      </c>
      <c r="J293" s="12" t="s">
        <v>333</v>
      </c>
      <c r="K293" s="12" t="s">
        <v>333</v>
      </c>
      <c r="L293" s="11">
        <v>0.16873781676413258</v>
      </c>
      <c r="M293" s="11">
        <v>0.30458089668615984</v>
      </c>
      <c r="N293" s="12" t="s">
        <v>333</v>
      </c>
      <c r="O293" s="12">
        <v>0.36549707602339182</v>
      </c>
      <c r="P293" s="12">
        <v>3.8011695906432745</v>
      </c>
      <c r="Q293" s="12">
        <v>32.383040935672511</v>
      </c>
      <c r="R293" s="12">
        <v>6.9761208576998052E-2</v>
      </c>
      <c r="S293" s="12" t="s">
        <v>333</v>
      </c>
      <c r="T293" s="12">
        <v>4.8732943469785579E-2</v>
      </c>
      <c r="U293" s="12">
        <v>2.3806042884990251E-2</v>
      </c>
      <c r="V293" s="12">
        <v>64.071637426900594</v>
      </c>
      <c r="W293" s="12" t="s">
        <v>333</v>
      </c>
      <c r="X293" s="13">
        <v>8.0165692007797267E-4</v>
      </c>
      <c r="Y293" s="12">
        <v>0.40204678362573104</v>
      </c>
      <c r="Z293" s="12">
        <v>0.46296296296296297</v>
      </c>
      <c r="AA293" s="14">
        <v>1.1617933723196883E-2</v>
      </c>
      <c r="AB293" s="12">
        <v>1.6081871345029242</v>
      </c>
      <c r="AC293" s="12" t="s">
        <v>333</v>
      </c>
      <c r="AD293" s="12" t="s">
        <v>333</v>
      </c>
      <c r="AE293" s="12">
        <v>74.549220272904478</v>
      </c>
      <c r="AF293" s="14">
        <v>1.5095029239766085E-2</v>
      </c>
      <c r="AG293" s="12">
        <v>7.8581871345029244</v>
      </c>
      <c r="AH293" s="12">
        <v>2.3513645224171542</v>
      </c>
      <c r="AI293" s="12" t="s">
        <v>333</v>
      </c>
      <c r="AJ293" s="12" t="s">
        <v>333</v>
      </c>
      <c r="AK293" s="12">
        <v>13.011695906432749</v>
      </c>
    </row>
    <row r="294" spans="1:37" x14ac:dyDescent="0.25">
      <c r="A294" s="7" t="s">
        <v>625</v>
      </c>
      <c r="B294" s="7" t="str">
        <f t="shared" si="4"/>
        <v>2775-24</v>
      </c>
      <c r="C294" s="7">
        <f>VLOOKUP(B294,'CEBAS-DEWOOD code'!A$2:B$302,2,FALSE)</f>
        <v>42</v>
      </c>
      <c r="D294" s="7" t="str">
        <f>VLOOKUP(IONOMICS!C294,'Field Table'!A$2:E$661,3,FALSE)</f>
        <v>FS</v>
      </c>
      <c r="E294" s="7" t="str">
        <f>VLOOKUP(IONOMICS!C294,'Field Table'!A$2:E$661,4,FALSE)</f>
        <v>4</v>
      </c>
      <c r="F294" s="7" t="str">
        <f>VLOOKUP(IONOMICS!C294,'Field Table'!A$2:E$661,5,FALSE)</f>
        <v>25</v>
      </c>
      <c r="G294" s="11">
        <v>5.3773996509598607</v>
      </c>
      <c r="H294" s="12" t="s">
        <v>333</v>
      </c>
      <c r="I294" s="12" t="s">
        <v>333</v>
      </c>
      <c r="J294" s="12" t="s">
        <v>333</v>
      </c>
      <c r="K294" s="12" t="s">
        <v>333</v>
      </c>
      <c r="L294" s="11">
        <v>0.21269633507853405</v>
      </c>
      <c r="M294" s="11">
        <v>0.15270506108202442</v>
      </c>
      <c r="N294" s="12">
        <v>7.6352530541012209E-2</v>
      </c>
      <c r="O294" s="12">
        <v>0.27268760907504364</v>
      </c>
      <c r="P294" s="12">
        <v>2.1815008726003491</v>
      </c>
      <c r="Q294" s="12">
        <v>10.340314136125656</v>
      </c>
      <c r="R294" s="12">
        <v>0.23134816753926704</v>
      </c>
      <c r="S294" s="12" t="s">
        <v>333</v>
      </c>
      <c r="T294" s="12">
        <v>0.22905759162303665</v>
      </c>
      <c r="U294" s="12">
        <v>7.5447207678883077E-2</v>
      </c>
      <c r="V294" s="12">
        <v>152.92321116928446</v>
      </c>
      <c r="W294" s="12" t="s">
        <v>333</v>
      </c>
      <c r="X294" s="13">
        <v>1.0634816753926702E-3</v>
      </c>
      <c r="Y294" s="12">
        <v>0.7417102966841187</v>
      </c>
      <c r="Z294" s="12">
        <v>0.21815008726003493</v>
      </c>
      <c r="AA294" s="14">
        <v>1.0161431064572426E-2</v>
      </c>
      <c r="AB294" s="12">
        <v>7.7443280977312394</v>
      </c>
      <c r="AC294" s="12" t="s">
        <v>333</v>
      </c>
      <c r="AD294" s="12" t="s">
        <v>333</v>
      </c>
      <c r="AE294" s="12">
        <v>39.299738219895289</v>
      </c>
      <c r="AF294" s="14">
        <v>1.6644851657940666E-2</v>
      </c>
      <c r="AG294" s="12">
        <v>12.249127399650961</v>
      </c>
      <c r="AH294" s="12">
        <v>1.8542757417102971</v>
      </c>
      <c r="AI294" s="12">
        <v>2.3342059336823731</v>
      </c>
      <c r="AJ294" s="12" t="s">
        <v>333</v>
      </c>
      <c r="AK294" s="12">
        <v>4.1230366492146606</v>
      </c>
    </row>
    <row r="295" spans="1:37" x14ac:dyDescent="0.25">
      <c r="A295" s="7" t="s">
        <v>626</v>
      </c>
      <c r="B295" s="7" t="str">
        <f t="shared" si="4"/>
        <v>2775-25</v>
      </c>
      <c r="C295" s="7">
        <f>VLOOKUP(B295,'CEBAS-DEWOOD code'!A$2:B$302,2,FALSE)</f>
        <v>336</v>
      </c>
      <c r="D295" s="7" t="str">
        <f>VLOOKUP(IONOMICS!C295,'Field Table'!A$2:E$661,3,FALSE)</f>
        <v>FS</v>
      </c>
      <c r="E295" s="7" t="str">
        <f>VLOOKUP(IONOMICS!C295,'Field Table'!A$2:E$661,4,FALSE)</f>
        <v>1</v>
      </c>
      <c r="F295" s="7" t="str">
        <f>VLOOKUP(IONOMICS!C295,'Field Table'!A$2:E$661,5,FALSE)</f>
        <v>10</v>
      </c>
      <c r="G295" s="11">
        <v>1.3425253991291726</v>
      </c>
      <c r="H295" s="12">
        <v>5.4426705370101594E-2</v>
      </c>
      <c r="I295" s="12" t="s">
        <v>333</v>
      </c>
      <c r="J295" s="12" t="s">
        <v>333</v>
      </c>
      <c r="K295" s="12" t="s">
        <v>333</v>
      </c>
      <c r="L295" s="11">
        <v>7.2886429608127717E-2</v>
      </c>
      <c r="M295" s="11">
        <v>0.18142235123367198</v>
      </c>
      <c r="N295" s="12">
        <v>3.6284470246734396E-2</v>
      </c>
      <c r="O295" s="12" t="s">
        <v>333</v>
      </c>
      <c r="P295" s="12">
        <v>1.1248185776487662</v>
      </c>
      <c r="Q295" s="12">
        <v>2.031930333817126</v>
      </c>
      <c r="R295" s="12">
        <v>5.0054426705370102E-2</v>
      </c>
      <c r="S295" s="12" t="s">
        <v>333</v>
      </c>
      <c r="T295" s="12">
        <v>4.5355587808417995E-2</v>
      </c>
      <c r="U295" s="12">
        <v>1.5511611030478954E-2</v>
      </c>
      <c r="V295" s="12">
        <v>57.574383164005809</v>
      </c>
      <c r="W295" s="12" t="s">
        <v>333</v>
      </c>
      <c r="X295" s="13">
        <v>2.7757619738751814E-4</v>
      </c>
      <c r="Y295" s="12">
        <v>0.65312046444121907</v>
      </c>
      <c r="Z295" s="12">
        <v>0.16328011611030477</v>
      </c>
      <c r="AA295" s="14">
        <v>3.9414005805515238E-3</v>
      </c>
      <c r="AB295" s="12">
        <v>1.3878809869375908</v>
      </c>
      <c r="AC295" s="12" t="s">
        <v>333</v>
      </c>
      <c r="AD295" s="12" t="s">
        <v>333</v>
      </c>
      <c r="AE295" s="12">
        <v>16.654571843251091</v>
      </c>
      <c r="AF295" s="14">
        <v>7.0337445573294627E-3</v>
      </c>
      <c r="AG295" s="12">
        <v>6.2772133526850507</v>
      </c>
      <c r="AH295" s="12">
        <v>0.14513788098693758</v>
      </c>
      <c r="AI295" s="12" t="s">
        <v>333</v>
      </c>
      <c r="AJ295" s="12" t="s">
        <v>333</v>
      </c>
      <c r="AK295" s="12">
        <v>2.3040638606676342</v>
      </c>
    </row>
    <row r="296" spans="1:37" x14ac:dyDescent="0.25">
      <c r="A296" s="7" t="s">
        <v>627</v>
      </c>
      <c r="B296" s="7" t="str">
        <f t="shared" si="4"/>
        <v>2775-26</v>
      </c>
      <c r="C296" s="7">
        <f>VLOOKUP(B296,'CEBAS-DEWOOD code'!A$2:B$302,2,FALSE)</f>
        <v>1062</v>
      </c>
      <c r="D296" s="7" t="str">
        <f>VLOOKUP(IONOMICS!C296,'Field Table'!A$2:E$661,3,FALSE)</f>
        <v>AA</v>
      </c>
      <c r="E296" s="7" t="str">
        <f>VLOOKUP(IONOMICS!C296,'Field Table'!A$2:E$661,4,FALSE)</f>
        <v>2</v>
      </c>
      <c r="F296" s="7" t="str">
        <f>VLOOKUP(IONOMICS!C296,'Field Table'!A$2:E$661,5,FALSE)</f>
        <v>01</v>
      </c>
      <c r="G296" s="11">
        <v>34.764758100310701</v>
      </c>
      <c r="H296" s="12">
        <v>8.8770528184642705E-2</v>
      </c>
      <c r="I296" s="12" t="s">
        <v>333</v>
      </c>
      <c r="J296" s="12" t="s">
        <v>333</v>
      </c>
      <c r="K296" s="12" t="s">
        <v>333</v>
      </c>
      <c r="L296" s="11">
        <v>0.14214380825565914</v>
      </c>
      <c r="M296" s="11">
        <v>0.21083000443852642</v>
      </c>
      <c r="N296" s="12" t="s">
        <v>333</v>
      </c>
      <c r="O296" s="12">
        <v>0.2996005326231691</v>
      </c>
      <c r="P296" s="12">
        <v>2.6520195295162008</v>
      </c>
      <c r="Q296" s="12">
        <v>14.036839769196627</v>
      </c>
      <c r="R296" s="12">
        <v>0.101242787394585</v>
      </c>
      <c r="S296" s="12" t="s">
        <v>333</v>
      </c>
      <c r="T296" s="12">
        <v>0.17754105636928541</v>
      </c>
      <c r="U296" s="12">
        <v>1.2705281846426986E-2</v>
      </c>
      <c r="V296" s="12">
        <v>54.60497114957834</v>
      </c>
      <c r="W296" s="12" t="s">
        <v>333</v>
      </c>
      <c r="X296" s="13">
        <v>5.8921438082556587E-4</v>
      </c>
      <c r="Y296" s="12">
        <v>0.26631158455392806</v>
      </c>
      <c r="Z296" s="12">
        <v>0.35508211273857082</v>
      </c>
      <c r="AA296" s="14">
        <v>1.3925876608965822E-2</v>
      </c>
      <c r="AB296" s="12">
        <v>1.5978695073235685</v>
      </c>
      <c r="AC296" s="12" t="s">
        <v>333</v>
      </c>
      <c r="AD296" s="12" t="s">
        <v>333</v>
      </c>
      <c r="AE296" s="12">
        <v>26.276076342654239</v>
      </c>
      <c r="AF296" s="14">
        <v>1.2272525521526854E-2</v>
      </c>
      <c r="AG296" s="12">
        <v>7.1571238348868178</v>
      </c>
      <c r="AH296" s="12">
        <v>0.78783843763870398</v>
      </c>
      <c r="AI296" s="12" t="s">
        <v>333</v>
      </c>
      <c r="AJ296" s="12" t="s">
        <v>333</v>
      </c>
      <c r="AK296" s="12">
        <v>12.316910785619173</v>
      </c>
    </row>
    <row r="297" spans="1:37" x14ac:dyDescent="0.25">
      <c r="A297" s="7" t="s">
        <v>628</v>
      </c>
      <c r="B297" s="7" t="str">
        <f t="shared" si="4"/>
        <v>2775-27</v>
      </c>
      <c r="C297" s="7" t="e">
        <f>VLOOKUP(B297,'CEBAS-DEWOOD code'!A$2:B$302,2,FALSE)</f>
        <v>#N/A</v>
      </c>
      <c r="D297" s="7" t="e">
        <f>VLOOKUP(IONOMICS!C297,'Field Table'!A$2:E$661,3,FALSE)</f>
        <v>#N/A</v>
      </c>
      <c r="E297" s="7" t="e">
        <f>VLOOKUP(IONOMICS!C297,'Field Table'!A$2:E$661,4,FALSE)</f>
        <v>#N/A</v>
      </c>
      <c r="F297" s="7" t="e">
        <f>VLOOKUP(IONOMICS!C297,'Field Table'!A$2:E$661,5,FALSE)</f>
        <v>#N/A</v>
      </c>
      <c r="G297" s="11">
        <v>24.86915887850467</v>
      </c>
      <c r="H297" s="12">
        <v>0.12149532710280374</v>
      </c>
      <c r="I297" s="12" t="s">
        <v>333</v>
      </c>
      <c r="J297" s="12" t="s">
        <v>333</v>
      </c>
      <c r="K297" s="12" t="s">
        <v>333</v>
      </c>
      <c r="L297" s="11">
        <v>8.3691588785046733E-2</v>
      </c>
      <c r="M297" s="11">
        <v>4.6728971962616821E-2</v>
      </c>
      <c r="N297" s="12" t="s">
        <v>333</v>
      </c>
      <c r="O297" s="12">
        <v>9.3457943925233638E-3</v>
      </c>
      <c r="P297" s="12">
        <v>0.95327102803738317</v>
      </c>
      <c r="Q297" s="12">
        <v>22.570093457943923</v>
      </c>
      <c r="R297" s="12">
        <v>0.14093457943925233</v>
      </c>
      <c r="S297" s="12" t="s">
        <v>333</v>
      </c>
      <c r="T297" s="12">
        <v>0.20560747663551401</v>
      </c>
      <c r="U297" s="12">
        <v>2.2252336448598128E-2</v>
      </c>
      <c r="V297" s="12">
        <v>22.906542056074766</v>
      </c>
      <c r="W297" s="12" t="s">
        <v>333</v>
      </c>
      <c r="X297" s="13">
        <v>-5.6074766355140179E-6</v>
      </c>
      <c r="Y297" s="12">
        <v>7.476635514018691E-2</v>
      </c>
      <c r="Z297" s="12">
        <v>7.476635514018691E-2</v>
      </c>
      <c r="AA297" s="14">
        <v>1.2373831775700933E-3</v>
      </c>
      <c r="AB297" s="12">
        <v>1.4018691588785046</v>
      </c>
      <c r="AC297" s="12" t="s">
        <v>333</v>
      </c>
      <c r="AD297" s="12" t="s">
        <v>333</v>
      </c>
      <c r="AE297" s="12">
        <v>53.514018691588781</v>
      </c>
      <c r="AF297" s="14">
        <v>5.259813084112149E-3</v>
      </c>
      <c r="AG297" s="12">
        <v>5.130841121495326</v>
      </c>
      <c r="AH297" s="12">
        <v>2.2897196261682242</v>
      </c>
      <c r="AI297" s="12" t="s">
        <v>333</v>
      </c>
      <c r="AJ297" s="12" t="s">
        <v>333</v>
      </c>
      <c r="AK297" s="12">
        <v>2.3644859813084107</v>
      </c>
    </row>
    <row r="298" spans="1:37" x14ac:dyDescent="0.25">
      <c r="A298" s="7" t="s">
        <v>629</v>
      </c>
      <c r="B298" s="7" t="str">
        <f t="shared" si="4"/>
        <v>2775-28</v>
      </c>
      <c r="C298" s="7">
        <f>VLOOKUP(B298,'CEBAS-DEWOOD code'!A$2:B$302,2,FALSE)</f>
        <v>130</v>
      </c>
      <c r="D298" s="7" t="str">
        <f>VLOOKUP(IONOMICS!C298,'Field Table'!A$2:E$661,3,FALSE)</f>
        <v>FS</v>
      </c>
      <c r="E298" s="7" t="str">
        <f>VLOOKUP(IONOMICS!C298,'Field Table'!A$2:E$661,4,FALSE)</f>
        <v>1</v>
      </c>
      <c r="F298" s="7" t="str">
        <f>VLOOKUP(IONOMICS!C298,'Field Table'!A$2:E$661,5,FALSE)</f>
        <v>10</v>
      </c>
      <c r="G298" s="11">
        <v>3.0968247745981969</v>
      </c>
      <c r="H298" s="12">
        <v>6.8600548804390427E-2</v>
      </c>
      <c r="I298" s="12" t="s">
        <v>333</v>
      </c>
      <c r="J298" s="12" t="s">
        <v>333</v>
      </c>
      <c r="K298" s="12" t="s">
        <v>333</v>
      </c>
      <c r="L298" s="11">
        <v>0.10015680125441005</v>
      </c>
      <c r="M298" s="11">
        <v>9.800078400627206E-2</v>
      </c>
      <c r="N298" s="12">
        <v>5.8800470403763232E-2</v>
      </c>
      <c r="O298" s="12">
        <v>5.8800470403763232E-2</v>
      </c>
      <c r="P298" s="12">
        <v>1.1760094080752646</v>
      </c>
      <c r="Q298" s="12">
        <v>2.4794198353586827</v>
      </c>
      <c r="R298" s="12">
        <v>0.10250882007056059</v>
      </c>
      <c r="S298" s="12" t="s">
        <v>333</v>
      </c>
      <c r="T298" s="12">
        <v>7.8400627205017642E-2</v>
      </c>
      <c r="U298" s="12">
        <v>6.6709133673069396E-2</v>
      </c>
      <c r="V298" s="12">
        <v>40.150921207369656</v>
      </c>
      <c r="W298" s="12" t="s">
        <v>333</v>
      </c>
      <c r="X298" s="13">
        <v>3.2536260290082323E-4</v>
      </c>
      <c r="Y298" s="12">
        <v>0.88200705605644836</v>
      </c>
      <c r="Z298" s="12">
        <v>9.800078400627206E-2</v>
      </c>
      <c r="AA298" s="14">
        <v>5.9898079184633477E-3</v>
      </c>
      <c r="AB298" s="12">
        <v>3.0282242257938061</v>
      </c>
      <c r="AC298" s="12" t="s">
        <v>333</v>
      </c>
      <c r="AD298" s="12" t="s">
        <v>333</v>
      </c>
      <c r="AE298" s="12">
        <v>27.940023520188163</v>
      </c>
      <c r="AF298" s="14">
        <v>9.2924343394747162E-3</v>
      </c>
      <c r="AG298" s="12">
        <v>6.3798510388083116</v>
      </c>
      <c r="AH298" s="12">
        <v>0.47040376323010585</v>
      </c>
      <c r="AI298" s="12">
        <v>0.29400235201881614</v>
      </c>
      <c r="AJ298" s="12" t="s">
        <v>333</v>
      </c>
      <c r="AK298" s="12">
        <v>1.9208153665229322</v>
      </c>
    </row>
    <row r="299" spans="1:37" x14ac:dyDescent="0.25">
      <c r="A299" s="7" t="s">
        <v>630</v>
      </c>
      <c r="B299" s="7" t="str">
        <f t="shared" si="4"/>
        <v>2775-29</v>
      </c>
      <c r="C299" s="7">
        <f>VLOOKUP(B299,'CEBAS-DEWOOD code'!A$2:B$302,2,FALSE)</f>
        <v>329</v>
      </c>
      <c r="D299" s="7" t="str">
        <f>VLOOKUP(IONOMICS!C299,'Field Table'!A$2:E$661,3,FALSE)</f>
        <v>FS</v>
      </c>
      <c r="E299" s="7" t="str">
        <f>VLOOKUP(IONOMICS!C299,'Field Table'!A$2:E$661,4,FALSE)</f>
        <v>4</v>
      </c>
      <c r="F299" s="7" t="str">
        <f>VLOOKUP(IONOMICS!C299,'Field Table'!A$2:E$661,5,FALSE)</f>
        <v>25</v>
      </c>
      <c r="G299" s="11">
        <v>6.4470588235294128</v>
      </c>
      <c r="H299" s="12">
        <v>0.17647058823529413</v>
      </c>
      <c r="I299" s="12" t="s">
        <v>333</v>
      </c>
      <c r="J299" s="12" t="s">
        <v>333</v>
      </c>
      <c r="K299" s="12" t="s">
        <v>333</v>
      </c>
      <c r="L299" s="11">
        <v>0.16588235294117645</v>
      </c>
      <c r="M299" s="11">
        <v>8.2352941176470587E-2</v>
      </c>
      <c r="N299" s="12">
        <v>7.0588235294117646E-2</v>
      </c>
      <c r="O299" s="12">
        <v>8.2352941176470587E-2</v>
      </c>
      <c r="P299" s="12">
        <v>1.0705882352941176</v>
      </c>
      <c r="Q299" s="12">
        <v>6.3294117647058821</v>
      </c>
      <c r="R299" s="12">
        <v>5.4705882352941188E-2</v>
      </c>
      <c r="S299" s="12" t="s">
        <v>333</v>
      </c>
      <c r="T299" s="12">
        <v>0.12941176470588237</v>
      </c>
      <c r="U299" s="12">
        <v>4.0741176470588239E-2</v>
      </c>
      <c r="V299" s="12">
        <v>43.129411764705878</v>
      </c>
      <c r="W299" s="12" t="s">
        <v>333</v>
      </c>
      <c r="X299" s="13">
        <v>8.7411764705882362E-4</v>
      </c>
      <c r="Y299" s="12">
        <v>0.54117647058823526</v>
      </c>
      <c r="Z299" s="12">
        <v>0.16470588235294117</v>
      </c>
      <c r="AA299" s="14">
        <v>4.1129411764705892E-3</v>
      </c>
      <c r="AB299" s="12">
        <v>0.97647058823529409</v>
      </c>
      <c r="AC299" s="12" t="s">
        <v>333</v>
      </c>
      <c r="AD299" s="12" t="s">
        <v>333</v>
      </c>
      <c r="AE299" s="12">
        <v>28.811764705882357</v>
      </c>
      <c r="AF299" s="14">
        <v>1.2741176470588235E-2</v>
      </c>
      <c r="AG299" s="12">
        <v>12.588235294117647</v>
      </c>
      <c r="AH299" s="12">
        <v>0.42352941176470588</v>
      </c>
      <c r="AI299" s="12" t="s">
        <v>333</v>
      </c>
      <c r="AJ299" s="12" t="s">
        <v>333</v>
      </c>
      <c r="AK299" s="12">
        <v>2.0588235294117649</v>
      </c>
    </row>
    <row r="300" spans="1:37" x14ac:dyDescent="0.25">
      <c r="A300" s="7" t="s">
        <v>631</v>
      </c>
      <c r="B300" s="7" t="str">
        <f t="shared" si="4"/>
        <v>2775-30</v>
      </c>
      <c r="C300" s="7">
        <f>VLOOKUP(B300,'CEBAS-DEWOOD code'!A$2:B$302,2,FALSE)</f>
        <v>170</v>
      </c>
      <c r="D300" s="7" t="str">
        <f>VLOOKUP(IONOMICS!C300,'Field Table'!A$2:E$661,3,FALSE)</f>
        <v>AA</v>
      </c>
      <c r="E300" s="7" t="str">
        <f>VLOOKUP(IONOMICS!C300,'Field Table'!A$2:E$661,4,FALSE)</f>
        <v>1</v>
      </c>
      <c r="F300" s="7" t="str">
        <f>VLOOKUP(IONOMICS!C300,'Field Table'!A$2:E$661,5,FALSE)</f>
        <v>25</v>
      </c>
      <c r="G300" s="11">
        <v>5.9663079082826389</v>
      </c>
      <c r="H300" s="12">
        <v>9.3589143659335516E-2</v>
      </c>
      <c r="I300" s="12" t="s">
        <v>333</v>
      </c>
      <c r="J300" s="12" t="s">
        <v>333</v>
      </c>
      <c r="K300" s="12" t="s">
        <v>333</v>
      </c>
      <c r="L300" s="11">
        <v>6.4623303696771175E-2</v>
      </c>
      <c r="M300" s="11">
        <v>5.8493214787084698E-2</v>
      </c>
      <c r="N300" s="12" t="s">
        <v>333</v>
      </c>
      <c r="O300" s="12">
        <v>7.0191857744501637E-2</v>
      </c>
      <c r="P300" s="12">
        <v>1.169864295741694</v>
      </c>
      <c r="Q300" s="12">
        <v>16.062236780533457</v>
      </c>
      <c r="R300" s="12">
        <v>5.2328029948525971E-2</v>
      </c>
      <c r="S300" s="12" t="s">
        <v>333</v>
      </c>
      <c r="T300" s="12">
        <v>0.29246607393542351</v>
      </c>
      <c r="U300" s="12">
        <v>1.5781469349555453E-2</v>
      </c>
      <c r="V300" s="12">
        <v>22.625175479644362</v>
      </c>
      <c r="W300" s="12" t="s">
        <v>333</v>
      </c>
      <c r="X300" s="13">
        <v>8.3060364997660278E-5</v>
      </c>
      <c r="Y300" s="12" t="s">
        <v>333</v>
      </c>
      <c r="Z300" s="12">
        <v>0.38605521759475903</v>
      </c>
      <c r="AA300" s="14">
        <v>9.113242863827795E-4</v>
      </c>
      <c r="AB300" s="12">
        <v>0.91249415067852124</v>
      </c>
      <c r="AC300" s="12" t="s">
        <v>333</v>
      </c>
      <c r="AD300" s="12" t="s">
        <v>333</v>
      </c>
      <c r="AE300" s="12">
        <v>11.839026672905941</v>
      </c>
      <c r="AF300" s="14">
        <v>4.4665418811417872E-3</v>
      </c>
      <c r="AG300" s="12">
        <v>4.2934019653720172</v>
      </c>
      <c r="AH300" s="12">
        <v>0.60832943378568083</v>
      </c>
      <c r="AI300" s="12" t="s">
        <v>333</v>
      </c>
      <c r="AJ300" s="12" t="s">
        <v>333</v>
      </c>
      <c r="AK300" s="12">
        <v>2.7959756668226485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6400-713C-4800-9CCB-07237C521D0B}">
  <dimension ref="A1:B302"/>
  <sheetViews>
    <sheetView workbookViewId="0">
      <selection activeCell="C102" sqref="C102"/>
    </sheetView>
  </sheetViews>
  <sheetFormatPr defaultRowHeight="15" x14ac:dyDescent="0.25"/>
  <sheetData>
    <row r="1" spans="1:2" x14ac:dyDescent="0.25">
      <c r="A1" t="s">
        <v>1329</v>
      </c>
      <c r="B1" t="s">
        <v>1330</v>
      </c>
    </row>
    <row r="2" spans="1:2" x14ac:dyDescent="0.25">
      <c r="A2" t="s">
        <v>1300</v>
      </c>
      <c r="B2">
        <v>42</v>
      </c>
    </row>
    <row r="3" spans="1:2" x14ac:dyDescent="0.25">
      <c r="A3" t="s">
        <v>1301</v>
      </c>
      <c r="B3">
        <v>1034</v>
      </c>
    </row>
    <row r="4" spans="1:2" x14ac:dyDescent="0.25">
      <c r="A4" t="s">
        <v>1302</v>
      </c>
      <c r="B4">
        <v>130</v>
      </c>
    </row>
    <row r="5" spans="1:2" x14ac:dyDescent="0.25">
      <c r="A5" t="s">
        <v>1303</v>
      </c>
      <c r="B5">
        <v>1025</v>
      </c>
    </row>
    <row r="6" spans="1:2" x14ac:dyDescent="0.25">
      <c r="A6" t="s">
        <v>1304</v>
      </c>
      <c r="B6">
        <v>170</v>
      </c>
    </row>
    <row r="7" spans="1:2" x14ac:dyDescent="0.25">
      <c r="A7" t="s">
        <v>1305</v>
      </c>
      <c r="B7">
        <v>1058</v>
      </c>
    </row>
    <row r="8" spans="1:2" x14ac:dyDescent="0.25">
      <c r="A8" t="s">
        <v>1306</v>
      </c>
      <c r="B8">
        <v>378</v>
      </c>
    </row>
    <row r="9" spans="1:2" x14ac:dyDescent="0.25">
      <c r="A9" t="s">
        <v>1307</v>
      </c>
      <c r="B9">
        <v>1015</v>
      </c>
    </row>
    <row r="10" spans="1:2" x14ac:dyDescent="0.25">
      <c r="A10" t="s">
        <v>1308</v>
      </c>
      <c r="B10">
        <v>331</v>
      </c>
    </row>
    <row r="11" spans="1:2" x14ac:dyDescent="0.25">
      <c r="A11" t="s">
        <v>1309</v>
      </c>
      <c r="B11">
        <v>1010</v>
      </c>
    </row>
    <row r="12" spans="1:2" x14ac:dyDescent="0.25">
      <c r="A12" t="s">
        <v>1310</v>
      </c>
      <c r="B12">
        <v>187</v>
      </c>
    </row>
    <row r="13" spans="1:2" x14ac:dyDescent="0.25">
      <c r="A13" t="s">
        <v>1311</v>
      </c>
      <c r="B13">
        <v>1057</v>
      </c>
    </row>
    <row r="14" spans="1:2" x14ac:dyDescent="0.25">
      <c r="A14" t="s">
        <v>1312</v>
      </c>
      <c r="B14">
        <v>84</v>
      </c>
    </row>
    <row r="15" spans="1:2" x14ac:dyDescent="0.25">
      <c r="A15" t="s">
        <v>1313</v>
      </c>
      <c r="B15">
        <v>152</v>
      </c>
    </row>
    <row r="16" spans="1:2" x14ac:dyDescent="0.25">
      <c r="A16" t="s">
        <v>1314</v>
      </c>
      <c r="B16">
        <v>1008</v>
      </c>
    </row>
    <row r="17" spans="1:2" x14ac:dyDescent="0.25">
      <c r="A17" t="s">
        <v>1315</v>
      </c>
      <c r="B17">
        <v>150</v>
      </c>
    </row>
    <row r="18" spans="1:2" x14ac:dyDescent="0.25">
      <c r="A18" t="s">
        <v>1316</v>
      </c>
      <c r="B18">
        <v>1062</v>
      </c>
    </row>
    <row r="19" spans="1:2" x14ac:dyDescent="0.25">
      <c r="A19" t="s">
        <v>1317</v>
      </c>
      <c r="B19">
        <v>126</v>
      </c>
    </row>
    <row r="20" spans="1:2" x14ac:dyDescent="0.25">
      <c r="A20" t="s">
        <v>1318</v>
      </c>
      <c r="B20">
        <v>7</v>
      </c>
    </row>
    <row r="21" spans="1:2" x14ac:dyDescent="0.25">
      <c r="A21" t="s">
        <v>1319</v>
      </c>
      <c r="B21">
        <v>337</v>
      </c>
    </row>
    <row r="22" spans="1:2" x14ac:dyDescent="0.25">
      <c r="A22" t="s">
        <v>1320</v>
      </c>
      <c r="B22">
        <v>390</v>
      </c>
    </row>
    <row r="23" spans="1:2" x14ac:dyDescent="0.25">
      <c r="A23" t="s">
        <v>1321</v>
      </c>
      <c r="B23">
        <v>329</v>
      </c>
    </row>
    <row r="24" spans="1:2" x14ac:dyDescent="0.25">
      <c r="A24" t="s">
        <v>1322</v>
      </c>
      <c r="B24">
        <v>336</v>
      </c>
    </row>
    <row r="25" spans="1:2" x14ac:dyDescent="0.25">
      <c r="A25" t="s">
        <v>1323</v>
      </c>
      <c r="B25">
        <v>1079</v>
      </c>
    </row>
    <row r="26" spans="1:2" x14ac:dyDescent="0.25">
      <c r="A26" t="s">
        <v>1324</v>
      </c>
      <c r="B26">
        <v>348</v>
      </c>
    </row>
    <row r="27" spans="1:2" x14ac:dyDescent="0.25">
      <c r="A27" t="s">
        <v>1325</v>
      </c>
      <c r="B27">
        <v>1040</v>
      </c>
    </row>
    <row r="28" spans="1:2" x14ac:dyDescent="0.25">
      <c r="A28" t="s">
        <v>1326</v>
      </c>
      <c r="B28">
        <v>1066</v>
      </c>
    </row>
    <row r="29" spans="1:2" x14ac:dyDescent="0.25">
      <c r="A29" t="s">
        <v>1327</v>
      </c>
      <c r="B29">
        <v>1013</v>
      </c>
    </row>
    <row r="30" spans="1:2" x14ac:dyDescent="0.25">
      <c r="A30" t="s">
        <v>1328</v>
      </c>
      <c r="B30" t="s">
        <v>1299</v>
      </c>
    </row>
    <row r="31" spans="1:2" x14ac:dyDescent="0.25">
      <c r="A31" t="s">
        <v>1328</v>
      </c>
      <c r="B31" t="s">
        <v>1299</v>
      </c>
    </row>
    <row r="32" spans="1:2" x14ac:dyDescent="0.25">
      <c r="A32" t="s">
        <v>1331</v>
      </c>
      <c r="B32">
        <v>114</v>
      </c>
    </row>
    <row r="33" spans="1:2" x14ac:dyDescent="0.25">
      <c r="A33" t="s">
        <v>1333</v>
      </c>
      <c r="B33">
        <v>382</v>
      </c>
    </row>
    <row r="34" spans="1:2" x14ac:dyDescent="0.25">
      <c r="A34" t="s">
        <v>1334</v>
      </c>
      <c r="B34">
        <v>37</v>
      </c>
    </row>
    <row r="35" spans="1:2" x14ac:dyDescent="0.25">
      <c r="A35" t="s">
        <v>1335</v>
      </c>
      <c r="B35">
        <v>364</v>
      </c>
    </row>
    <row r="36" spans="1:2" x14ac:dyDescent="0.25">
      <c r="A36" t="s">
        <v>1336</v>
      </c>
      <c r="B36">
        <v>190</v>
      </c>
    </row>
    <row r="37" spans="1:2" x14ac:dyDescent="0.25">
      <c r="A37" t="s">
        <v>1337</v>
      </c>
      <c r="B37">
        <v>381</v>
      </c>
    </row>
    <row r="38" spans="1:2" x14ac:dyDescent="0.25">
      <c r="A38" t="s">
        <v>1338</v>
      </c>
      <c r="B38">
        <v>176</v>
      </c>
    </row>
    <row r="39" spans="1:2" x14ac:dyDescent="0.25">
      <c r="A39" t="s">
        <v>1339</v>
      </c>
      <c r="B39">
        <v>75</v>
      </c>
    </row>
    <row r="40" spans="1:2" x14ac:dyDescent="0.25">
      <c r="A40" t="s">
        <v>1340</v>
      </c>
      <c r="B40">
        <v>137</v>
      </c>
    </row>
    <row r="41" spans="1:2" x14ac:dyDescent="0.25">
      <c r="A41" t="s">
        <v>1341</v>
      </c>
      <c r="B41">
        <v>1085</v>
      </c>
    </row>
    <row r="42" spans="1:2" x14ac:dyDescent="0.25">
      <c r="A42" t="s">
        <v>1342</v>
      </c>
      <c r="B42">
        <v>172</v>
      </c>
    </row>
    <row r="43" spans="1:2" x14ac:dyDescent="0.25">
      <c r="A43" t="s">
        <v>1343</v>
      </c>
      <c r="B43">
        <v>1090</v>
      </c>
    </row>
    <row r="44" spans="1:2" x14ac:dyDescent="0.25">
      <c r="A44" t="s">
        <v>1344</v>
      </c>
      <c r="B44">
        <v>1011</v>
      </c>
    </row>
    <row r="45" spans="1:2" x14ac:dyDescent="0.25">
      <c r="A45" t="s">
        <v>1345</v>
      </c>
      <c r="B45">
        <v>129</v>
      </c>
    </row>
    <row r="46" spans="1:2" x14ac:dyDescent="0.25">
      <c r="A46" t="s">
        <v>1346</v>
      </c>
      <c r="B46">
        <v>350</v>
      </c>
    </row>
    <row r="47" spans="1:2" x14ac:dyDescent="0.25">
      <c r="A47" t="s">
        <v>1347</v>
      </c>
      <c r="B47">
        <v>1070</v>
      </c>
    </row>
    <row r="48" spans="1:2" x14ac:dyDescent="0.25">
      <c r="A48" t="s">
        <v>1348</v>
      </c>
      <c r="B48">
        <v>192</v>
      </c>
    </row>
    <row r="49" spans="1:2" x14ac:dyDescent="0.25">
      <c r="A49" t="s">
        <v>1349</v>
      </c>
      <c r="B49">
        <v>1005</v>
      </c>
    </row>
    <row r="50" spans="1:2" x14ac:dyDescent="0.25">
      <c r="A50" t="s">
        <v>1350</v>
      </c>
      <c r="B50">
        <v>166</v>
      </c>
    </row>
    <row r="51" spans="1:2" x14ac:dyDescent="0.25">
      <c r="A51" t="s">
        <v>1351</v>
      </c>
      <c r="B51">
        <v>1038</v>
      </c>
    </row>
    <row r="52" spans="1:2" x14ac:dyDescent="0.25">
      <c r="A52" t="s">
        <v>1352</v>
      </c>
      <c r="B52">
        <v>1014</v>
      </c>
    </row>
    <row r="53" spans="1:2" x14ac:dyDescent="0.25">
      <c r="A53" t="s">
        <v>1353</v>
      </c>
      <c r="B53">
        <v>268</v>
      </c>
    </row>
    <row r="54" spans="1:2" x14ac:dyDescent="0.25">
      <c r="A54" t="s">
        <v>1354</v>
      </c>
      <c r="B54">
        <v>8</v>
      </c>
    </row>
    <row r="55" spans="1:2" x14ac:dyDescent="0.25">
      <c r="A55" t="s">
        <v>1355</v>
      </c>
      <c r="B55">
        <v>44</v>
      </c>
    </row>
    <row r="56" spans="1:2" x14ac:dyDescent="0.25">
      <c r="A56" t="s">
        <v>1356</v>
      </c>
      <c r="B56">
        <v>369</v>
      </c>
    </row>
    <row r="57" spans="1:2" x14ac:dyDescent="0.25">
      <c r="A57" t="s">
        <v>1357</v>
      </c>
      <c r="B57">
        <v>1044</v>
      </c>
    </row>
    <row r="58" spans="1:2" x14ac:dyDescent="0.25">
      <c r="A58" t="s">
        <v>1358</v>
      </c>
      <c r="B58">
        <v>380</v>
      </c>
    </row>
    <row r="59" spans="1:2" x14ac:dyDescent="0.25">
      <c r="A59" t="s">
        <v>1359</v>
      </c>
      <c r="B59">
        <v>1063</v>
      </c>
    </row>
    <row r="60" spans="1:2" x14ac:dyDescent="0.25">
      <c r="A60" t="s">
        <v>1360</v>
      </c>
      <c r="B60">
        <v>34</v>
      </c>
    </row>
    <row r="61" spans="1:2" x14ac:dyDescent="0.25">
      <c r="A61" t="s">
        <v>1361</v>
      </c>
      <c r="B61">
        <v>388</v>
      </c>
    </row>
    <row r="62" spans="1:2" x14ac:dyDescent="0.25">
      <c r="A62" t="s">
        <v>1362</v>
      </c>
      <c r="B62">
        <v>157</v>
      </c>
    </row>
    <row r="63" spans="1:2" x14ac:dyDescent="0.25">
      <c r="A63" t="s">
        <v>1360</v>
      </c>
      <c r="B63">
        <v>403</v>
      </c>
    </row>
    <row r="64" spans="1:2" x14ac:dyDescent="0.25">
      <c r="A64" t="s">
        <v>1363</v>
      </c>
      <c r="B64">
        <v>708</v>
      </c>
    </row>
    <row r="65" spans="1:2" x14ac:dyDescent="0.25">
      <c r="A65" t="s">
        <v>1364</v>
      </c>
      <c r="B65">
        <v>124</v>
      </c>
    </row>
    <row r="66" spans="1:2" x14ac:dyDescent="0.25">
      <c r="A66" t="s">
        <v>1365</v>
      </c>
      <c r="B66">
        <v>175</v>
      </c>
    </row>
    <row r="67" spans="1:2" x14ac:dyDescent="0.25">
      <c r="A67" t="s">
        <v>1366</v>
      </c>
      <c r="B67">
        <v>386</v>
      </c>
    </row>
    <row r="68" spans="1:2" x14ac:dyDescent="0.25">
      <c r="A68" t="s">
        <v>1367</v>
      </c>
      <c r="B68">
        <v>148</v>
      </c>
    </row>
    <row r="69" spans="1:2" x14ac:dyDescent="0.25">
      <c r="A69" t="s">
        <v>1368</v>
      </c>
      <c r="B69">
        <v>139</v>
      </c>
    </row>
    <row r="70" spans="1:2" x14ac:dyDescent="0.25">
      <c r="A70" t="s">
        <v>1369</v>
      </c>
      <c r="B70">
        <v>365</v>
      </c>
    </row>
    <row r="71" spans="1:2" x14ac:dyDescent="0.25">
      <c r="A71" t="s">
        <v>1370</v>
      </c>
      <c r="B71">
        <v>119</v>
      </c>
    </row>
    <row r="72" spans="1:2" x14ac:dyDescent="0.25">
      <c r="A72" t="s">
        <v>1371</v>
      </c>
      <c r="B72">
        <v>161</v>
      </c>
    </row>
    <row r="73" spans="1:2" x14ac:dyDescent="0.25">
      <c r="A73" t="s">
        <v>1372</v>
      </c>
      <c r="B73">
        <v>338</v>
      </c>
    </row>
    <row r="74" spans="1:2" x14ac:dyDescent="0.25">
      <c r="A74" t="s">
        <v>1373</v>
      </c>
      <c r="B74">
        <v>354</v>
      </c>
    </row>
    <row r="75" spans="1:2" x14ac:dyDescent="0.25">
      <c r="A75" t="s">
        <v>1374</v>
      </c>
      <c r="B75">
        <v>47</v>
      </c>
    </row>
    <row r="76" spans="1:2" x14ac:dyDescent="0.25">
      <c r="A76" t="s">
        <v>1375</v>
      </c>
      <c r="B76">
        <v>325</v>
      </c>
    </row>
    <row r="77" spans="1:2" x14ac:dyDescent="0.25">
      <c r="A77" t="s">
        <v>1376</v>
      </c>
      <c r="B77">
        <v>360</v>
      </c>
    </row>
    <row r="78" spans="1:2" x14ac:dyDescent="0.25">
      <c r="A78" t="s">
        <v>1377</v>
      </c>
      <c r="B78">
        <v>1075</v>
      </c>
    </row>
    <row r="79" spans="1:2" x14ac:dyDescent="0.25">
      <c r="A79" t="s">
        <v>1378</v>
      </c>
      <c r="B79">
        <v>82</v>
      </c>
    </row>
    <row r="80" spans="1:2" x14ac:dyDescent="0.25">
      <c r="A80" t="s">
        <v>1379</v>
      </c>
      <c r="B80">
        <v>1083</v>
      </c>
    </row>
    <row r="81" spans="1:2" x14ac:dyDescent="0.25">
      <c r="A81" t="s">
        <v>1380</v>
      </c>
      <c r="B81">
        <v>1012</v>
      </c>
    </row>
    <row r="82" spans="1:2" x14ac:dyDescent="0.25">
      <c r="A82" t="s">
        <v>1381</v>
      </c>
      <c r="B82">
        <v>143</v>
      </c>
    </row>
    <row r="83" spans="1:2" x14ac:dyDescent="0.25">
      <c r="A83" t="s">
        <v>1382</v>
      </c>
      <c r="B83">
        <v>142</v>
      </c>
    </row>
    <row r="84" spans="1:2" x14ac:dyDescent="0.25">
      <c r="A84" t="s">
        <v>1383</v>
      </c>
      <c r="B84">
        <v>346</v>
      </c>
    </row>
    <row r="85" spans="1:2" x14ac:dyDescent="0.25">
      <c r="A85" t="s">
        <v>1384</v>
      </c>
      <c r="B85">
        <v>332</v>
      </c>
    </row>
    <row r="86" spans="1:2" x14ac:dyDescent="0.25">
      <c r="A86" t="s">
        <v>1385</v>
      </c>
      <c r="B86">
        <v>146</v>
      </c>
    </row>
    <row r="87" spans="1:2" x14ac:dyDescent="0.25">
      <c r="A87" t="s">
        <v>1386</v>
      </c>
      <c r="B87">
        <v>328</v>
      </c>
    </row>
    <row r="88" spans="1:2" x14ac:dyDescent="0.25">
      <c r="A88" t="s">
        <v>1387</v>
      </c>
      <c r="B88">
        <v>128</v>
      </c>
    </row>
    <row r="89" spans="1:2" x14ac:dyDescent="0.25">
      <c r="A89" t="s">
        <v>1388</v>
      </c>
      <c r="B89">
        <v>135</v>
      </c>
    </row>
    <row r="90" spans="1:2" x14ac:dyDescent="0.25">
      <c r="A90" t="s">
        <v>1389</v>
      </c>
      <c r="B90">
        <v>1022</v>
      </c>
    </row>
    <row r="91" spans="1:2" x14ac:dyDescent="0.25">
      <c r="A91" t="s">
        <v>1390</v>
      </c>
      <c r="B91">
        <v>147</v>
      </c>
    </row>
    <row r="92" spans="1:2" x14ac:dyDescent="0.25">
      <c r="A92" t="s">
        <v>1391</v>
      </c>
      <c r="B92">
        <v>330</v>
      </c>
    </row>
    <row r="93" spans="1:2" x14ac:dyDescent="0.25">
      <c r="A93" t="s">
        <v>1392</v>
      </c>
      <c r="B93">
        <v>347</v>
      </c>
    </row>
    <row r="94" spans="1:2" x14ac:dyDescent="0.25">
      <c r="A94" t="s">
        <v>1393</v>
      </c>
      <c r="B94">
        <v>160</v>
      </c>
    </row>
    <row r="95" spans="1:2" x14ac:dyDescent="0.25">
      <c r="A95" t="s">
        <v>1394</v>
      </c>
      <c r="B95">
        <v>163</v>
      </c>
    </row>
    <row r="96" spans="1:2" x14ac:dyDescent="0.25">
      <c r="A96" t="s">
        <v>1395</v>
      </c>
      <c r="B96">
        <v>110</v>
      </c>
    </row>
    <row r="97" spans="1:2" x14ac:dyDescent="0.25">
      <c r="A97" t="s">
        <v>1396</v>
      </c>
      <c r="B97">
        <v>358</v>
      </c>
    </row>
    <row r="98" spans="1:2" x14ac:dyDescent="0.25">
      <c r="A98" t="s">
        <v>1397</v>
      </c>
      <c r="B98">
        <v>1052</v>
      </c>
    </row>
    <row r="99" spans="1:2" x14ac:dyDescent="0.25">
      <c r="A99" t="s">
        <v>1398</v>
      </c>
      <c r="B99">
        <v>371</v>
      </c>
    </row>
    <row r="100" spans="1:2" x14ac:dyDescent="0.25">
      <c r="A100" t="s">
        <v>1399</v>
      </c>
      <c r="B100">
        <v>180</v>
      </c>
    </row>
    <row r="101" spans="1:2" x14ac:dyDescent="0.25">
      <c r="A101" t="s">
        <v>1400</v>
      </c>
      <c r="B101">
        <v>159</v>
      </c>
    </row>
    <row r="102" spans="1:2" x14ac:dyDescent="0.25">
      <c r="A102" t="s">
        <v>1401</v>
      </c>
      <c r="B102">
        <v>1064</v>
      </c>
    </row>
    <row r="103" spans="1:2" x14ac:dyDescent="0.25">
      <c r="A103" t="s">
        <v>1385</v>
      </c>
      <c r="B103">
        <v>1003</v>
      </c>
    </row>
    <row r="104" spans="1:2" x14ac:dyDescent="0.25">
      <c r="A104" t="s">
        <v>1402</v>
      </c>
      <c r="B104">
        <v>1016</v>
      </c>
    </row>
    <row r="105" spans="1:2" x14ac:dyDescent="0.25">
      <c r="A105" t="s">
        <v>1403</v>
      </c>
      <c r="B105">
        <v>6</v>
      </c>
    </row>
    <row r="106" spans="1:2" x14ac:dyDescent="0.25">
      <c r="A106" t="s">
        <v>1404</v>
      </c>
      <c r="B106">
        <v>184</v>
      </c>
    </row>
    <row r="107" spans="1:2" x14ac:dyDescent="0.25">
      <c r="A107" t="s">
        <v>1405</v>
      </c>
      <c r="B107">
        <v>46</v>
      </c>
    </row>
    <row r="108" spans="1:2" x14ac:dyDescent="0.25">
      <c r="A108" t="s">
        <v>1406</v>
      </c>
      <c r="B108">
        <v>167</v>
      </c>
    </row>
    <row r="109" spans="1:2" x14ac:dyDescent="0.25">
      <c r="A109" t="s">
        <v>1407</v>
      </c>
      <c r="B109">
        <v>1077</v>
      </c>
    </row>
    <row r="110" spans="1:2" x14ac:dyDescent="0.25">
      <c r="A110" t="s">
        <v>1408</v>
      </c>
      <c r="B110">
        <v>182</v>
      </c>
    </row>
    <row r="111" spans="1:2" x14ac:dyDescent="0.25">
      <c r="A111" t="s">
        <v>1409</v>
      </c>
      <c r="B111">
        <v>1054</v>
      </c>
    </row>
    <row r="112" spans="1:2" x14ac:dyDescent="0.25">
      <c r="A112" t="s">
        <v>1410</v>
      </c>
      <c r="B112">
        <v>1035</v>
      </c>
    </row>
    <row r="113" spans="1:2" x14ac:dyDescent="0.25">
      <c r="A113" t="s">
        <v>1411</v>
      </c>
      <c r="B113">
        <v>389</v>
      </c>
    </row>
    <row r="114" spans="1:2" x14ac:dyDescent="0.25">
      <c r="A114" t="s">
        <v>1412</v>
      </c>
      <c r="B114">
        <v>327</v>
      </c>
    </row>
    <row r="115" spans="1:2" x14ac:dyDescent="0.25">
      <c r="A115" t="s">
        <v>1413</v>
      </c>
      <c r="B115">
        <v>344</v>
      </c>
    </row>
    <row r="116" spans="1:2" x14ac:dyDescent="0.25">
      <c r="A116" t="s">
        <v>1414</v>
      </c>
      <c r="B116">
        <v>158</v>
      </c>
    </row>
    <row r="117" spans="1:2" x14ac:dyDescent="0.25">
      <c r="A117" t="s">
        <v>1415</v>
      </c>
      <c r="B117">
        <v>136</v>
      </c>
    </row>
    <row r="118" spans="1:2" x14ac:dyDescent="0.25">
      <c r="A118" t="s">
        <v>1416</v>
      </c>
      <c r="B118">
        <v>185</v>
      </c>
    </row>
    <row r="119" spans="1:2" x14ac:dyDescent="0.25">
      <c r="A119" t="s">
        <v>1417</v>
      </c>
      <c r="B119">
        <v>345</v>
      </c>
    </row>
    <row r="120" spans="1:2" x14ac:dyDescent="0.25">
      <c r="A120" t="s">
        <v>1418</v>
      </c>
      <c r="B120">
        <v>78</v>
      </c>
    </row>
    <row r="121" spans="1:2" x14ac:dyDescent="0.25">
      <c r="A121" t="s">
        <v>1419</v>
      </c>
      <c r="B121">
        <v>379</v>
      </c>
    </row>
    <row r="122" spans="1:2" x14ac:dyDescent="0.25">
      <c r="A122" t="s">
        <v>1420</v>
      </c>
      <c r="B122">
        <v>191</v>
      </c>
    </row>
    <row r="123" spans="1:2" x14ac:dyDescent="0.25">
      <c r="A123" t="s">
        <v>1421</v>
      </c>
      <c r="B123">
        <v>155</v>
      </c>
    </row>
    <row r="124" spans="1:2" x14ac:dyDescent="0.25">
      <c r="A124" t="s">
        <v>1422</v>
      </c>
      <c r="B124">
        <v>401</v>
      </c>
    </row>
    <row r="125" spans="1:2" x14ac:dyDescent="0.25">
      <c r="A125" t="s">
        <v>1423</v>
      </c>
      <c r="B125">
        <v>1</v>
      </c>
    </row>
    <row r="126" spans="1:2" x14ac:dyDescent="0.25">
      <c r="A126" t="s">
        <v>1424</v>
      </c>
      <c r="B126">
        <v>361</v>
      </c>
    </row>
    <row r="127" spans="1:2" x14ac:dyDescent="0.25">
      <c r="A127" t="s">
        <v>1425</v>
      </c>
      <c r="B127">
        <v>1072</v>
      </c>
    </row>
    <row r="128" spans="1:2" x14ac:dyDescent="0.25">
      <c r="A128" t="s">
        <v>1426</v>
      </c>
      <c r="B128">
        <v>410</v>
      </c>
    </row>
    <row r="129" spans="1:2" x14ac:dyDescent="0.25">
      <c r="A129" t="s">
        <v>1427</v>
      </c>
      <c r="B129">
        <v>76</v>
      </c>
    </row>
    <row r="130" spans="1:2" x14ac:dyDescent="0.25">
      <c r="A130" t="s">
        <v>1428</v>
      </c>
      <c r="B130">
        <v>138</v>
      </c>
    </row>
    <row r="131" spans="1:2" x14ac:dyDescent="0.25">
      <c r="A131" t="s">
        <v>1429</v>
      </c>
      <c r="B131">
        <v>1074</v>
      </c>
    </row>
    <row r="132" spans="1:2" x14ac:dyDescent="0.25">
      <c r="A132" t="s">
        <v>1430</v>
      </c>
      <c r="B132">
        <v>117</v>
      </c>
    </row>
    <row r="133" spans="1:2" x14ac:dyDescent="0.25">
      <c r="A133" t="s">
        <v>1431</v>
      </c>
      <c r="B133">
        <v>1076</v>
      </c>
    </row>
    <row r="134" spans="1:2" x14ac:dyDescent="0.25">
      <c r="A134" t="s">
        <v>1432</v>
      </c>
      <c r="B134">
        <v>45</v>
      </c>
    </row>
    <row r="135" spans="1:2" x14ac:dyDescent="0.25">
      <c r="A135" t="s">
        <v>1433</v>
      </c>
      <c r="B135">
        <v>374</v>
      </c>
    </row>
    <row r="136" spans="1:2" x14ac:dyDescent="0.25">
      <c r="A136" t="s">
        <v>1434</v>
      </c>
      <c r="B136">
        <v>381</v>
      </c>
    </row>
    <row r="137" spans="1:2" x14ac:dyDescent="0.25">
      <c r="A137" t="s">
        <v>1435</v>
      </c>
      <c r="B137">
        <v>1007</v>
      </c>
    </row>
    <row r="138" spans="1:2" x14ac:dyDescent="0.25">
      <c r="A138" t="s">
        <v>1436</v>
      </c>
      <c r="B138">
        <v>1084</v>
      </c>
    </row>
    <row r="139" spans="1:2" x14ac:dyDescent="0.25">
      <c r="A139" t="s">
        <v>1437</v>
      </c>
      <c r="B139">
        <v>1055</v>
      </c>
    </row>
    <row r="140" spans="1:2" x14ac:dyDescent="0.25">
      <c r="A140" t="s">
        <v>1438</v>
      </c>
      <c r="B140">
        <v>326</v>
      </c>
    </row>
    <row r="141" spans="1:2" x14ac:dyDescent="0.25">
      <c r="A141" t="s">
        <v>1439</v>
      </c>
      <c r="B141">
        <v>372</v>
      </c>
    </row>
    <row r="142" spans="1:2" x14ac:dyDescent="0.25">
      <c r="A142" t="s">
        <v>1440</v>
      </c>
      <c r="B142">
        <v>1032</v>
      </c>
    </row>
    <row r="143" spans="1:2" x14ac:dyDescent="0.25">
      <c r="A143" t="s">
        <v>1441</v>
      </c>
      <c r="B143">
        <v>1051</v>
      </c>
    </row>
    <row r="144" spans="1:2" x14ac:dyDescent="0.25">
      <c r="A144" t="s">
        <v>1442</v>
      </c>
      <c r="B144">
        <v>178</v>
      </c>
    </row>
    <row r="145" spans="1:2" x14ac:dyDescent="0.25">
      <c r="A145" t="s">
        <v>1443</v>
      </c>
      <c r="B145">
        <v>343</v>
      </c>
    </row>
    <row r="146" spans="1:2" x14ac:dyDescent="0.25">
      <c r="A146" t="s">
        <v>1444</v>
      </c>
      <c r="B146">
        <v>373</v>
      </c>
    </row>
    <row r="147" spans="1:2" x14ac:dyDescent="0.25">
      <c r="A147" t="s">
        <v>1445</v>
      </c>
      <c r="B147">
        <v>353</v>
      </c>
    </row>
    <row r="148" spans="1:2" x14ac:dyDescent="0.25">
      <c r="A148" t="s">
        <v>1446</v>
      </c>
      <c r="B148">
        <v>169</v>
      </c>
    </row>
    <row r="149" spans="1:2" x14ac:dyDescent="0.25">
      <c r="A149" t="s">
        <v>1447</v>
      </c>
      <c r="B149">
        <v>1088</v>
      </c>
    </row>
    <row r="150" spans="1:2" x14ac:dyDescent="0.25">
      <c r="A150" t="s">
        <v>1448</v>
      </c>
      <c r="B150">
        <v>113</v>
      </c>
    </row>
    <row r="151" spans="1:2" x14ac:dyDescent="0.25">
      <c r="A151" t="s">
        <v>1449</v>
      </c>
      <c r="B151">
        <v>115</v>
      </c>
    </row>
    <row r="152" spans="1:2" x14ac:dyDescent="0.25">
      <c r="A152" t="s">
        <v>1450</v>
      </c>
      <c r="B152">
        <v>1028</v>
      </c>
    </row>
    <row r="153" spans="1:2" x14ac:dyDescent="0.25">
      <c r="A153" t="s">
        <v>1451</v>
      </c>
      <c r="B153">
        <v>341</v>
      </c>
    </row>
    <row r="154" spans="1:2" x14ac:dyDescent="0.25">
      <c r="A154" t="s">
        <v>1452</v>
      </c>
      <c r="B154">
        <v>121</v>
      </c>
    </row>
    <row r="155" spans="1:2" x14ac:dyDescent="0.25">
      <c r="A155" t="s">
        <v>1453</v>
      </c>
      <c r="B155">
        <v>354</v>
      </c>
    </row>
    <row r="156" spans="1:2" x14ac:dyDescent="0.25">
      <c r="A156" t="s">
        <v>1454</v>
      </c>
      <c r="B156">
        <v>1039</v>
      </c>
    </row>
    <row r="157" spans="1:2" x14ac:dyDescent="0.25">
      <c r="A157" t="s">
        <v>1455</v>
      </c>
      <c r="B157">
        <v>1056</v>
      </c>
    </row>
    <row r="158" spans="1:2" x14ac:dyDescent="0.25">
      <c r="A158" t="s">
        <v>1456</v>
      </c>
      <c r="B158">
        <v>12</v>
      </c>
    </row>
    <row r="159" spans="1:2" x14ac:dyDescent="0.25">
      <c r="A159" t="s">
        <v>1457</v>
      </c>
      <c r="B159">
        <v>1050</v>
      </c>
    </row>
    <row r="160" spans="1:2" x14ac:dyDescent="0.25">
      <c r="A160" t="s">
        <v>1458</v>
      </c>
      <c r="B160">
        <v>1036</v>
      </c>
    </row>
    <row r="161" spans="1:2" x14ac:dyDescent="0.25">
      <c r="A161" t="s">
        <v>1459</v>
      </c>
      <c r="B161">
        <v>1004</v>
      </c>
    </row>
    <row r="162" spans="1:2" x14ac:dyDescent="0.25">
      <c r="A162" t="s">
        <v>1460</v>
      </c>
      <c r="B162">
        <v>356</v>
      </c>
    </row>
    <row r="163" spans="1:2" x14ac:dyDescent="0.25">
      <c r="A163" t="s">
        <v>1461</v>
      </c>
      <c r="B163">
        <v>1018</v>
      </c>
    </row>
    <row r="164" spans="1:2" x14ac:dyDescent="0.25">
      <c r="A164" t="s">
        <v>1462</v>
      </c>
      <c r="B164">
        <v>394</v>
      </c>
    </row>
    <row r="165" spans="1:2" x14ac:dyDescent="0.25">
      <c r="A165" t="s">
        <v>1463</v>
      </c>
      <c r="B165">
        <v>1009</v>
      </c>
    </row>
    <row r="166" spans="1:2" x14ac:dyDescent="0.25">
      <c r="A166" t="s">
        <v>1464</v>
      </c>
      <c r="B166">
        <v>112</v>
      </c>
    </row>
    <row r="167" spans="1:2" x14ac:dyDescent="0.25">
      <c r="A167" t="s">
        <v>1465</v>
      </c>
      <c r="B167">
        <v>1027</v>
      </c>
    </row>
    <row r="168" spans="1:2" x14ac:dyDescent="0.25">
      <c r="A168" t="s">
        <v>1466</v>
      </c>
      <c r="B168">
        <v>118</v>
      </c>
    </row>
    <row r="169" spans="1:2" x14ac:dyDescent="0.25">
      <c r="A169" t="s">
        <v>1467</v>
      </c>
      <c r="B169">
        <v>1002</v>
      </c>
    </row>
    <row r="170" spans="1:2" x14ac:dyDescent="0.25">
      <c r="A170" t="s">
        <v>1468</v>
      </c>
      <c r="B170">
        <v>398</v>
      </c>
    </row>
    <row r="171" spans="1:2" x14ac:dyDescent="0.25">
      <c r="A171" t="s">
        <v>1469</v>
      </c>
      <c r="B171">
        <v>1081</v>
      </c>
    </row>
    <row r="172" spans="1:2" x14ac:dyDescent="0.25">
      <c r="A172" t="s">
        <v>1470</v>
      </c>
      <c r="B172">
        <v>1037</v>
      </c>
    </row>
    <row r="173" spans="1:2" x14ac:dyDescent="0.25">
      <c r="A173" t="s">
        <v>1471</v>
      </c>
      <c r="B173">
        <v>1086</v>
      </c>
    </row>
    <row r="174" spans="1:2" x14ac:dyDescent="0.25">
      <c r="A174" t="s">
        <v>1472</v>
      </c>
      <c r="B174">
        <v>349</v>
      </c>
    </row>
    <row r="175" spans="1:2" x14ac:dyDescent="0.25">
      <c r="A175" t="s">
        <v>1473</v>
      </c>
      <c r="B175">
        <v>407</v>
      </c>
    </row>
    <row r="176" spans="1:2" x14ac:dyDescent="0.25">
      <c r="A176" t="s">
        <v>1474</v>
      </c>
      <c r="B176">
        <v>387</v>
      </c>
    </row>
    <row r="177" spans="1:2" x14ac:dyDescent="0.25">
      <c r="A177" t="s">
        <v>1475</v>
      </c>
      <c r="B177">
        <v>404</v>
      </c>
    </row>
    <row r="178" spans="1:2" x14ac:dyDescent="0.25">
      <c r="A178" t="s">
        <v>1476</v>
      </c>
      <c r="B178">
        <v>375</v>
      </c>
    </row>
    <row r="179" spans="1:2" x14ac:dyDescent="0.25">
      <c r="A179" t="s">
        <v>1477</v>
      </c>
      <c r="B179">
        <v>1053</v>
      </c>
    </row>
    <row r="180" spans="1:2" x14ac:dyDescent="0.25">
      <c r="A180" t="s">
        <v>1478</v>
      </c>
      <c r="B180">
        <v>405</v>
      </c>
    </row>
    <row r="181" spans="1:2" x14ac:dyDescent="0.25">
      <c r="A181" t="s">
        <v>1479</v>
      </c>
      <c r="B181">
        <v>351</v>
      </c>
    </row>
    <row r="182" spans="1:2" x14ac:dyDescent="0.25">
      <c r="A182" t="s">
        <v>1480</v>
      </c>
      <c r="B182">
        <v>1079</v>
      </c>
    </row>
    <row r="183" spans="1:2" x14ac:dyDescent="0.25">
      <c r="A183" t="s">
        <v>1481</v>
      </c>
      <c r="B183">
        <v>352</v>
      </c>
    </row>
    <row r="184" spans="1:2" x14ac:dyDescent="0.25">
      <c r="A184" t="s">
        <v>1482</v>
      </c>
      <c r="B184">
        <v>1089</v>
      </c>
    </row>
    <row r="185" spans="1:2" x14ac:dyDescent="0.25">
      <c r="A185" t="s">
        <v>1483</v>
      </c>
      <c r="B185">
        <v>156</v>
      </c>
    </row>
    <row r="186" spans="1:2" x14ac:dyDescent="0.25">
      <c r="A186" t="s">
        <v>1484</v>
      </c>
      <c r="B186">
        <v>1033</v>
      </c>
    </row>
    <row r="187" spans="1:2" x14ac:dyDescent="0.25">
      <c r="A187" t="s">
        <v>1485</v>
      </c>
      <c r="B187">
        <v>395</v>
      </c>
    </row>
    <row r="188" spans="1:2" x14ac:dyDescent="0.25">
      <c r="A188" t="s">
        <v>1486</v>
      </c>
      <c r="B188">
        <v>411</v>
      </c>
    </row>
    <row r="189" spans="1:2" x14ac:dyDescent="0.25">
      <c r="A189" t="s">
        <v>1487</v>
      </c>
      <c r="B189">
        <v>1078</v>
      </c>
    </row>
    <row r="190" spans="1:2" x14ac:dyDescent="0.25">
      <c r="A190" t="s">
        <v>1488</v>
      </c>
      <c r="B190">
        <v>168</v>
      </c>
    </row>
    <row r="191" spans="1:2" x14ac:dyDescent="0.25">
      <c r="A191" t="s">
        <v>1489</v>
      </c>
      <c r="B191">
        <v>409</v>
      </c>
    </row>
    <row r="192" spans="1:2" x14ac:dyDescent="0.25">
      <c r="A192" t="s">
        <v>1490</v>
      </c>
      <c r="B192">
        <v>1026</v>
      </c>
    </row>
    <row r="193" spans="1:2" x14ac:dyDescent="0.25">
      <c r="A193" t="s">
        <v>1491</v>
      </c>
      <c r="B193">
        <v>188</v>
      </c>
    </row>
    <row r="194" spans="1:2" x14ac:dyDescent="0.25">
      <c r="A194" t="s">
        <v>1492</v>
      </c>
      <c r="B194">
        <v>367</v>
      </c>
    </row>
    <row r="195" spans="1:2" x14ac:dyDescent="0.25">
      <c r="A195" t="s">
        <v>1493</v>
      </c>
      <c r="B195">
        <v>149</v>
      </c>
    </row>
    <row r="196" spans="1:2" x14ac:dyDescent="0.25">
      <c r="A196" t="s">
        <v>1494</v>
      </c>
      <c r="B196">
        <v>1048</v>
      </c>
    </row>
    <row r="197" spans="1:2" x14ac:dyDescent="0.25">
      <c r="A197" t="s">
        <v>1495</v>
      </c>
      <c r="B197">
        <v>1006</v>
      </c>
    </row>
    <row r="198" spans="1:2" x14ac:dyDescent="0.25">
      <c r="A198" t="s">
        <v>1496</v>
      </c>
      <c r="B198">
        <v>9</v>
      </c>
    </row>
    <row r="199" spans="1:2" x14ac:dyDescent="0.25">
      <c r="A199" t="s">
        <v>1497</v>
      </c>
      <c r="B199">
        <v>1045</v>
      </c>
    </row>
    <row r="200" spans="1:2" x14ac:dyDescent="0.25">
      <c r="A200" t="s">
        <v>1498</v>
      </c>
      <c r="B200">
        <v>334</v>
      </c>
    </row>
    <row r="201" spans="1:2" x14ac:dyDescent="0.25">
      <c r="A201" t="s">
        <v>1499</v>
      </c>
      <c r="B201">
        <v>377</v>
      </c>
    </row>
    <row r="202" spans="1:2" x14ac:dyDescent="0.25">
      <c r="A202" t="s">
        <v>1500</v>
      </c>
      <c r="B202">
        <v>131</v>
      </c>
    </row>
    <row r="203" spans="1:2" x14ac:dyDescent="0.25">
      <c r="A203" t="s">
        <v>1501</v>
      </c>
      <c r="B203">
        <v>1047</v>
      </c>
    </row>
    <row r="204" spans="1:2" x14ac:dyDescent="0.25">
      <c r="A204" t="s">
        <v>1502</v>
      </c>
      <c r="B204">
        <v>181</v>
      </c>
    </row>
    <row r="205" spans="1:2" x14ac:dyDescent="0.25">
      <c r="A205" t="s">
        <v>1503</v>
      </c>
      <c r="B205">
        <v>1031</v>
      </c>
    </row>
    <row r="206" spans="1:2" x14ac:dyDescent="0.25">
      <c r="A206" t="s">
        <v>1504</v>
      </c>
      <c r="B206">
        <v>132</v>
      </c>
    </row>
    <row r="207" spans="1:2" x14ac:dyDescent="0.25">
      <c r="A207" t="s">
        <v>1505</v>
      </c>
      <c r="B207">
        <v>1071</v>
      </c>
    </row>
    <row r="208" spans="1:2" x14ac:dyDescent="0.25">
      <c r="A208" t="s">
        <v>1506</v>
      </c>
      <c r="B208">
        <v>379</v>
      </c>
    </row>
    <row r="209" spans="1:2" x14ac:dyDescent="0.25">
      <c r="A209" t="s">
        <v>1507</v>
      </c>
      <c r="B209">
        <v>193</v>
      </c>
    </row>
    <row r="210" spans="1:2" x14ac:dyDescent="0.25">
      <c r="A210" t="s">
        <v>1508</v>
      </c>
      <c r="B210">
        <v>391</v>
      </c>
    </row>
    <row r="211" spans="1:2" x14ac:dyDescent="0.25">
      <c r="A211" t="s">
        <v>1509</v>
      </c>
      <c r="B211">
        <v>153</v>
      </c>
    </row>
    <row r="212" spans="1:2" x14ac:dyDescent="0.25">
      <c r="A212" t="s">
        <v>1510</v>
      </c>
      <c r="B212">
        <v>384</v>
      </c>
    </row>
    <row r="213" spans="1:2" x14ac:dyDescent="0.25">
      <c r="A213" t="s">
        <v>1511</v>
      </c>
      <c r="B213">
        <v>412</v>
      </c>
    </row>
    <row r="214" spans="1:2" x14ac:dyDescent="0.25">
      <c r="A214" t="s">
        <v>1512</v>
      </c>
      <c r="B214">
        <v>1067</v>
      </c>
    </row>
    <row r="215" spans="1:2" x14ac:dyDescent="0.25">
      <c r="A215" t="s">
        <v>1513</v>
      </c>
      <c r="B215">
        <v>179</v>
      </c>
    </row>
    <row r="216" spans="1:2" x14ac:dyDescent="0.25">
      <c r="A216" t="s">
        <v>1514</v>
      </c>
      <c r="B216">
        <v>363</v>
      </c>
    </row>
    <row r="217" spans="1:2" x14ac:dyDescent="0.25">
      <c r="A217" t="s">
        <v>1515</v>
      </c>
      <c r="B217">
        <v>2</v>
      </c>
    </row>
    <row r="218" spans="1:2" x14ac:dyDescent="0.25">
      <c r="A218" t="s">
        <v>1516</v>
      </c>
      <c r="B218">
        <v>1019</v>
      </c>
    </row>
    <row r="219" spans="1:2" x14ac:dyDescent="0.25">
      <c r="A219" t="s">
        <v>1517</v>
      </c>
      <c r="B219">
        <v>1023</v>
      </c>
    </row>
    <row r="220" spans="1:2" x14ac:dyDescent="0.25">
      <c r="A220" t="s">
        <v>1518</v>
      </c>
      <c r="B220">
        <v>164</v>
      </c>
    </row>
    <row r="221" spans="1:2" x14ac:dyDescent="0.25">
      <c r="A221" t="s">
        <v>1519</v>
      </c>
      <c r="B221">
        <v>109</v>
      </c>
    </row>
    <row r="222" spans="1:2" x14ac:dyDescent="0.25">
      <c r="A222" t="s">
        <v>1520</v>
      </c>
      <c r="B222">
        <v>4</v>
      </c>
    </row>
    <row r="223" spans="1:2" x14ac:dyDescent="0.25">
      <c r="A223" t="s">
        <v>1521</v>
      </c>
      <c r="B223">
        <v>392</v>
      </c>
    </row>
    <row r="224" spans="1:2" x14ac:dyDescent="0.25">
      <c r="A224" t="s">
        <v>1522</v>
      </c>
      <c r="B224">
        <v>400</v>
      </c>
    </row>
    <row r="225" spans="1:2" x14ac:dyDescent="0.25">
      <c r="A225" t="s">
        <v>1523</v>
      </c>
      <c r="B225">
        <v>143</v>
      </c>
    </row>
    <row r="226" spans="1:2" x14ac:dyDescent="0.25">
      <c r="A226" t="s">
        <v>1524</v>
      </c>
      <c r="B226">
        <v>1046</v>
      </c>
    </row>
    <row r="227" spans="1:2" x14ac:dyDescent="0.25">
      <c r="A227" t="s">
        <v>1525</v>
      </c>
      <c r="B227">
        <v>385</v>
      </c>
    </row>
    <row r="228" spans="1:2" x14ac:dyDescent="0.25">
      <c r="A228" t="s">
        <v>1526</v>
      </c>
      <c r="B228">
        <v>5</v>
      </c>
    </row>
    <row r="229" spans="1:2" x14ac:dyDescent="0.25">
      <c r="A229" t="s">
        <v>1527</v>
      </c>
      <c r="B229">
        <v>11</v>
      </c>
    </row>
    <row r="230" spans="1:2" x14ac:dyDescent="0.25">
      <c r="A230" t="s">
        <v>1528</v>
      </c>
      <c r="B230">
        <v>1002</v>
      </c>
    </row>
    <row r="231" spans="1:2" x14ac:dyDescent="0.25">
      <c r="A231" t="s">
        <v>1529</v>
      </c>
      <c r="B231">
        <v>335</v>
      </c>
    </row>
    <row r="232" spans="1:2" x14ac:dyDescent="0.25">
      <c r="A232" t="s">
        <v>1530</v>
      </c>
      <c r="B232">
        <v>1041</v>
      </c>
    </row>
    <row r="233" spans="1:2" x14ac:dyDescent="0.25">
      <c r="A233" t="s">
        <v>1531</v>
      </c>
      <c r="B233">
        <v>165</v>
      </c>
    </row>
    <row r="234" spans="1:2" x14ac:dyDescent="0.25">
      <c r="A234" t="s">
        <v>1532</v>
      </c>
      <c r="B234">
        <v>140</v>
      </c>
    </row>
    <row r="235" spans="1:2" x14ac:dyDescent="0.25">
      <c r="A235" t="s">
        <v>1533</v>
      </c>
      <c r="B235">
        <v>1080</v>
      </c>
    </row>
    <row r="236" spans="1:2" x14ac:dyDescent="0.25">
      <c r="A236" t="s">
        <v>1534</v>
      </c>
      <c r="B236">
        <v>370</v>
      </c>
    </row>
    <row r="237" spans="1:2" x14ac:dyDescent="0.25">
      <c r="A237" t="s">
        <v>1535</v>
      </c>
      <c r="B237">
        <v>133</v>
      </c>
    </row>
    <row r="238" spans="1:2" x14ac:dyDescent="0.25">
      <c r="A238" t="s">
        <v>1536</v>
      </c>
      <c r="B238">
        <v>171</v>
      </c>
    </row>
    <row r="239" spans="1:2" x14ac:dyDescent="0.25">
      <c r="A239" t="s">
        <v>1537</v>
      </c>
      <c r="B239">
        <v>41</v>
      </c>
    </row>
    <row r="240" spans="1:2" x14ac:dyDescent="0.25">
      <c r="A240" t="s">
        <v>1538</v>
      </c>
      <c r="B240">
        <v>39</v>
      </c>
    </row>
    <row r="241" spans="1:2" x14ac:dyDescent="0.25">
      <c r="A241" t="s">
        <v>1539</v>
      </c>
      <c r="B241">
        <v>183</v>
      </c>
    </row>
    <row r="242" spans="1:2" x14ac:dyDescent="0.25">
      <c r="A242" t="s">
        <v>1540</v>
      </c>
      <c r="B242">
        <v>1043</v>
      </c>
    </row>
    <row r="243" spans="1:2" x14ac:dyDescent="0.25">
      <c r="A243" t="s">
        <v>1541</v>
      </c>
      <c r="B243">
        <v>1017</v>
      </c>
    </row>
    <row r="244" spans="1:2" x14ac:dyDescent="0.25">
      <c r="A244" t="s">
        <v>1542</v>
      </c>
      <c r="B244">
        <v>38</v>
      </c>
    </row>
    <row r="245" spans="1:2" x14ac:dyDescent="0.25">
      <c r="A245" t="s">
        <v>1543</v>
      </c>
      <c r="B245">
        <v>402</v>
      </c>
    </row>
    <row r="246" spans="1:2" x14ac:dyDescent="0.25">
      <c r="A246" t="s">
        <v>1544</v>
      </c>
      <c r="B246">
        <v>77</v>
      </c>
    </row>
    <row r="247" spans="1:2" x14ac:dyDescent="0.25">
      <c r="A247" t="s">
        <v>1545</v>
      </c>
      <c r="B247">
        <v>111</v>
      </c>
    </row>
    <row r="248" spans="1:2" x14ac:dyDescent="0.25">
      <c r="A248" t="s">
        <v>1546</v>
      </c>
      <c r="B248">
        <v>406</v>
      </c>
    </row>
    <row r="249" spans="1:2" x14ac:dyDescent="0.25">
      <c r="A249" t="s">
        <v>1547</v>
      </c>
      <c r="B249">
        <v>392</v>
      </c>
    </row>
    <row r="250" spans="1:2" x14ac:dyDescent="0.25">
      <c r="A250" t="s">
        <v>1548</v>
      </c>
      <c r="B250">
        <v>154</v>
      </c>
    </row>
    <row r="251" spans="1:2" x14ac:dyDescent="0.25">
      <c r="A251" t="s">
        <v>1549</v>
      </c>
      <c r="B251">
        <v>1084</v>
      </c>
    </row>
    <row r="252" spans="1:2" x14ac:dyDescent="0.25">
      <c r="A252" t="s">
        <v>1550</v>
      </c>
      <c r="B252">
        <v>43</v>
      </c>
    </row>
    <row r="253" spans="1:2" x14ac:dyDescent="0.25">
      <c r="A253" t="s">
        <v>1551</v>
      </c>
      <c r="B253">
        <v>1049</v>
      </c>
    </row>
    <row r="254" spans="1:2" x14ac:dyDescent="0.25">
      <c r="A254" t="s">
        <v>1552</v>
      </c>
      <c r="B254">
        <v>48</v>
      </c>
    </row>
    <row r="255" spans="1:2" x14ac:dyDescent="0.25">
      <c r="A255" t="s">
        <v>1553</v>
      </c>
      <c r="B255">
        <v>74</v>
      </c>
    </row>
    <row r="256" spans="1:2" x14ac:dyDescent="0.25">
      <c r="A256" t="s">
        <v>1554</v>
      </c>
      <c r="B256">
        <v>12</v>
      </c>
    </row>
    <row r="257" spans="1:2" x14ac:dyDescent="0.25">
      <c r="A257" t="s">
        <v>1555</v>
      </c>
      <c r="B257">
        <v>141</v>
      </c>
    </row>
    <row r="258" spans="1:2" x14ac:dyDescent="0.25">
      <c r="A258" t="s">
        <v>1556</v>
      </c>
      <c r="B258">
        <v>355</v>
      </c>
    </row>
    <row r="259" spans="1:2" x14ac:dyDescent="0.25">
      <c r="A259" t="s">
        <v>1557</v>
      </c>
      <c r="B259">
        <v>1065</v>
      </c>
    </row>
    <row r="260" spans="1:2" x14ac:dyDescent="0.25">
      <c r="A260" t="s">
        <v>1558</v>
      </c>
      <c r="B260">
        <v>366</v>
      </c>
    </row>
    <row r="261" spans="1:2" x14ac:dyDescent="0.25">
      <c r="A261" t="s">
        <v>1559</v>
      </c>
      <c r="B261">
        <v>40</v>
      </c>
    </row>
    <row r="262" spans="1:2" x14ac:dyDescent="0.25">
      <c r="A262" t="s">
        <v>1560</v>
      </c>
      <c r="B262">
        <v>1021</v>
      </c>
    </row>
    <row r="263" spans="1:2" x14ac:dyDescent="0.25">
      <c r="A263" t="s">
        <v>1561</v>
      </c>
      <c r="B263">
        <v>177</v>
      </c>
    </row>
    <row r="264" spans="1:2" x14ac:dyDescent="0.25">
      <c r="A264" t="s">
        <v>1562</v>
      </c>
      <c r="B264">
        <v>408</v>
      </c>
    </row>
    <row r="265" spans="1:2" x14ac:dyDescent="0.25">
      <c r="A265" t="s">
        <v>1563</v>
      </c>
      <c r="B265">
        <v>1073</v>
      </c>
    </row>
    <row r="266" spans="1:2" x14ac:dyDescent="0.25">
      <c r="A266" t="s">
        <v>1564</v>
      </c>
      <c r="B266">
        <v>1059</v>
      </c>
    </row>
    <row r="267" spans="1:2" x14ac:dyDescent="0.25">
      <c r="A267" t="s">
        <v>1565</v>
      </c>
      <c r="B267">
        <v>1029</v>
      </c>
    </row>
    <row r="268" spans="1:2" x14ac:dyDescent="0.25">
      <c r="A268" t="s">
        <v>1566</v>
      </c>
      <c r="B268">
        <v>127</v>
      </c>
    </row>
    <row r="269" spans="1:2" x14ac:dyDescent="0.25">
      <c r="A269" t="s">
        <v>1567</v>
      </c>
      <c r="B269">
        <v>144</v>
      </c>
    </row>
    <row r="270" spans="1:2" x14ac:dyDescent="0.25">
      <c r="A270" t="s">
        <v>1568</v>
      </c>
      <c r="B270">
        <v>80</v>
      </c>
    </row>
    <row r="271" spans="1:2" x14ac:dyDescent="0.25">
      <c r="A271" t="s">
        <v>1569</v>
      </c>
      <c r="B271">
        <v>186</v>
      </c>
    </row>
    <row r="272" spans="1:2" x14ac:dyDescent="0.25">
      <c r="A272" t="s">
        <v>1570</v>
      </c>
      <c r="B272">
        <v>339</v>
      </c>
    </row>
    <row r="273" spans="1:2" x14ac:dyDescent="0.25">
      <c r="A273" t="s">
        <v>1571</v>
      </c>
      <c r="B273">
        <v>396</v>
      </c>
    </row>
    <row r="274" spans="1:2" x14ac:dyDescent="0.25">
      <c r="A274" t="s">
        <v>1572</v>
      </c>
      <c r="B274">
        <v>1024</v>
      </c>
    </row>
    <row r="275" spans="1:2" x14ac:dyDescent="0.25">
      <c r="A275" t="s">
        <v>1573</v>
      </c>
      <c r="B275">
        <v>383</v>
      </c>
    </row>
    <row r="276" spans="1:2" x14ac:dyDescent="0.25">
      <c r="A276" t="s">
        <v>1574</v>
      </c>
      <c r="B276">
        <v>116</v>
      </c>
    </row>
    <row r="277" spans="1:2" x14ac:dyDescent="0.25">
      <c r="A277" t="s">
        <v>1575</v>
      </c>
      <c r="B277">
        <v>162</v>
      </c>
    </row>
    <row r="278" spans="1:2" x14ac:dyDescent="0.25">
      <c r="A278" t="s">
        <v>1576</v>
      </c>
      <c r="B278">
        <v>79</v>
      </c>
    </row>
    <row r="279" spans="1:2" x14ac:dyDescent="0.25">
      <c r="A279" t="s">
        <v>1577</v>
      </c>
      <c r="B279">
        <v>3</v>
      </c>
    </row>
    <row r="280" spans="1:2" x14ac:dyDescent="0.25">
      <c r="A280" t="s">
        <v>1578</v>
      </c>
      <c r="B280">
        <v>1069</v>
      </c>
    </row>
    <row r="281" spans="1:2" x14ac:dyDescent="0.25">
      <c r="A281" t="s">
        <v>1579</v>
      </c>
      <c r="B281">
        <v>123</v>
      </c>
    </row>
    <row r="282" spans="1:2" x14ac:dyDescent="0.25">
      <c r="A282" t="s">
        <v>1580</v>
      </c>
      <c r="B282">
        <v>73</v>
      </c>
    </row>
    <row r="283" spans="1:2" x14ac:dyDescent="0.25">
      <c r="A283" t="s">
        <v>1581</v>
      </c>
      <c r="B283">
        <v>362</v>
      </c>
    </row>
    <row r="284" spans="1:2" x14ac:dyDescent="0.25">
      <c r="A284" t="s">
        <v>1582</v>
      </c>
      <c r="B284">
        <v>125</v>
      </c>
    </row>
    <row r="285" spans="1:2" x14ac:dyDescent="0.25">
      <c r="A285" t="s">
        <v>1583</v>
      </c>
      <c r="B285">
        <v>1020</v>
      </c>
    </row>
    <row r="286" spans="1:2" x14ac:dyDescent="0.25">
      <c r="A286" t="s">
        <v>1584</v>
      </c>
      <c r="B286">
        <v>151</v>
      </c>
    </row>
    <row r="287" spans="1:2" x14ac:dyDescent="0.25">
      <c r="A287" t="s">
        <v>1585</v>
      </c>
      <c r="B287">
        <v>1087</v>
      </c>
    </row>
    <row r="288" spans="1:2" x14ac:dyDescent="0.25">
      <c r="A288" t="s">
        <v>1586</v>
      </c>
      <c r="B288">
        <v>1042</v>
      </c>
    </row>
    <row r="289" spans="1:2" x14ac:dyDescent="0.25">
      <c r="A289" t="s">
        <v>1587</v>
      </c>
      <c r="B289">
        <v>1050</v>
      </c>
    </row>
    <row r="290" spans="1:2" x14ac:dyDescent="0.25">
      <c r="A290" t="s">
        <v>1588</v>
      </c>
      <c r="B290">
        <v>145</v>
      </c>
    </row>
    <row r="291" spans="1:2" x14ac:dyDescent="0.25">
      <c r="A291" t="s">
        <v>1589</v>
      </c>
      <c r="B291">
        <v>174</v>
      </c>
    </row>
    <row r="292" spans="1:2" x14ac:dyDescent="0.25">
      <c r="A292" t="s">
        <v>1590</v>
      </c>
      <c r="B292">
        <v>120</v>
      </c>
    </row>
    <row r="293" spans="1:2" x14ac:dyDescent="0.25">
      <c r="A293" t="s">
        <v>1591</v>
      </c>
      <c r="B293">
        <v>413</v>
      </c>
    </row>
    <row r="294" spans="1:2" x14ac:dyDescent="0.25">
      <c r="A294" t="s">
        <v>1592</v>
      </c>
      <c r="B294">
        <v>1060</v>
      </c>
    </row>
    <row r="295" spans="1:2" x14ac:dyDescent="0.25">
      <c r="A295" t="s">
        <v>1593</v>
      </c>
      <c r="B295">
        <v>122</v>
      </c>
    </row>
    <row r="296" spans="1:2" x14ac:dyDescent="0.25">
      <c r="A296" t="s">
        <v>1594</v>
      </c>
      <c r="B296">
        <v>189</v>
      </c>
    </row>
    <row r="297" spans="1:2" x14ac:dyDescent="0.25">
      <c r="A297" t="s">
        <v>1595</v>
      </c>
      <c r="B297">
        <v>324</v>
      </c>
    </row>
    <row r="298" spans="1:2" x14ac:dyDescent="0.25">
      <c r="A298" t="s">
        <v>1596</v>
      </c>
      <c r="B298">
        <v>333</v>
      </c>
    </row>
    <row r="299" spans="1:2" x14ac:dyDescent="0.25">
      <c r="A299" t="s">
        <v>1597</v>
      </c>
      <c r="B299" t="s">
        <v>1332</v>
      </c>
    </row>
    <row r="300" spans="1:2" x14ac:dyDescent="0.25">
      <c r="A300" t="s">
        <v>1597</v>
      </c>
      <c r="B300" t="s">
        <v>1332</v>
      </c>
    </row>
    <row r="301" spans="1:2" x14ac:dyDescent="0.25">
      <c r="A301" t="s">
        <v>1597</v>
      </c>
      <c r="B301" t="s">
        <v>1332</v>
      </c>
    </row>
    <row r="302" spans="1:2" x14ac:dyDescent="0.25">
      <c r="A302" t="s">
        <v>1597</v>
      </c>
      <c r="B302" t="s">
        <v>1332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2199-E5E0-4DEF-83A3-814C2832E725}">
  <dimension ref="A1:E661"/>
  <sheetViews>
    <sheetView topLeftCell="A589" workbookViewId="0">
      <selection activeCell="G582" sqref="G582"/>
    </sheetView>
  </sheetViews>
  <sheetFormatPr defaultRowHeight="15" x14ac:dyDescent="0.25"/>
  <cols>
    <col min="2" max="2" width="14.28515625" bestFit="1" customWidth="1"/>
  </cols>
  <sheetData>
    <row r="1" spans="1:5" x14ac:dyDescent="0.25">
      <c r="A1" s="18" t="s">
        <v>633</v>
      </c>
      <c r="B1" s="19" t="s">
        <v>634</v>
      </c>
      <c r="C1" t="s">
        <v>935</v>
      </c>
      <c r="D1" t="s">
        <v>1296</v>
      </c>
      <c r="E1" t="s">
        <v>1297</v>
      </c>
    </row>
    <row r="2" spans="1:5" x14ac:dyDescent="0.25">
      <c r="A2" s="20">
        <v>1</v>
      </c>
      <c r="B2" s="21" t="s">
        <v>635</v>
      </c>
      <c r="C2" t="str">
        <f>RIGHT(LEFT(B2,11),2)</f>
        <v>AA</v>
      </c>
      <c r="D2" t="str">
        <f>RIGHT(LEFT(B2,9),1)</f>
        <v>1</v>
      </c>
      <c r="E2" t="str">
        <f>LEFT(B2,2)</f>
        <v>25</v>
      </c>
    </row>
    <row r="3" spans="1:5" x14ac:dyDescent="0.25">
      <c r="A3" s="20">
        <v>2</v>
      </c>
      <c r="B3" s="21" t="s">
        <v>636</v>
      </c>
      <c r="C3" t="str">
        <f t="shared" ref="C3:C66" si="0">RIGHT(LEFT(B3,11),2)</f>
        <v>AA</v>
      </c>
      <c r="D3" t="str">
        <f t="shared" ref="D3:D66" si="1">RIGHT(LEFT(B3,9),1)</f>
        <v>2</v>
      </c>
      <c r="E3" t="str">
        <f t="shared" ref="E3:E66" si="2">LEFT(B3,2)</f>
        <v>25</v>
      </c>
    </row>
    <row r="4" spans="1:5" x14ac:dyDescent="0.25">
      <c r="A4" s="20">
        <v>3</v>
      </c>
      <c r="B4" s="21" t="s">
        <v>637</v>
      </c>
      <c r="C4" t="str">
        <f t="shared" si="0"/>
        <v>AA</v>
      </c>
      <c r="D4" t="str">
        <f t="shared" si="1"/>
        <v>4</v>
      </c>
      <c r="E4" t="str">
        <f t="shared" si="2"/>
        <v>25</v>
      </c>
    </row>
    <row r="5" spans="1:5" x14ac:dyDescent="0.25">
      <c r="A5" s="20">
        <v>4</v>
      </c>
      <c r="B5" s="21" t="s">
        <v>638</v>
      </c>
      <c r="C5" t="str">
        <f t="shared" si="0"/>
        <v>FS</v>
      </c>
      <c r="D5" t="str">
        <f t="shared" si="1"/>
        <v>1</v>
      </c>
      <c r="E5" t="str">
        <f t="shared" si="2"/>
        <v>25</v>
      </c>
    </row>
    <row r="6" spans="1:5" x14ac:dyDescent="0.25">
      <c r="A6" s="20">
        <v>5</v>
      </c>
      <c r="B6" s="21" t="s">
        <v>639</v>
      </c>
      <c r="C6" t="str">
        <f t="shared" si="0"/>
        <v>FS</v>
      </c>
      <c r="D6" t="str">
        <f t="shared" si="1"/>
        <v>2</v>
      </c>
      <c r="E6" t="str">
        <f t="shared" si="2"/>
        <v>25</v>
      </c>
    </row>
    <row r="7" spans="1:5" x14ac:dyDescent="0.25">
      <c r="A7" s="20">
        <v>6</v>
      </c>
      <c r="B7" s="21" t="s">
        <v>640</v>
      </c>
      <c r="C7" t="str">
        <f t="shared" si="0"/>
        <v>FS</v>
      </c>
      <c r="D7" t="str">
        <f t="shared" si="1"/>
        <v>4</v>
      </c>
      <c r="E7" t="str">
        <f t="shared" si="2"/>
        <v>25</v>
      </c>
    </row>
    <row r="8" spans="1:5" x14ac:dyDescent="0.25">
      <c r="A8" s="20">
        <v>37</v>
      </c>
      <c r="B8" s="21" t="s">
        <v>641</v>
      </c>
      <c r="C8" t="str">
        <f t="shared" si="0"/>
        <v>AA</v>
      </c>
      <c r="D8" t="str">
        <f t="shared" si="1"/>
        <v>1</v>
      </c>
      <c r="E8" t="str">
        <f t="shared" si="2"/>
        <v>25</v>
      </c>
    </row>
    <row r="9" spans="1:5" x14ac:dyDescent="0.25">
      <c r="A9" s="20">
        <v>38</v>
      </c>
      <c r="B9" s="21" t="s">
        <v>642</v>
      </c>
      <c r="C9" t="str">
        <f t="shared" si="0"/>
        <v>AA</v>
      </c>
      <c r="D9" t="str">
        <f t="shared" si="1"/>
        <v>2</v>
      </c>
      <c r="E9" t="str">
        <f t="shared" si="2"/>
        <v>25</v>
      </c>
    </row>
    <row r="10" spans="1:5" x14ac:dyDescent="0.25">
      <c r="A10" s="20">
        <v>39</v>
      </c>
      <c r="B10" s="21" t="s">
        <v>643</v>
      </c>
      <c r="C10" t="str">
        <f t="shared" si="0"/>
        <v>AA</v>
      </c>
      <c r="D10" t="str">
        <f t="shared" si="1"/>
        <v>4</v>
      </c>
      <c r="E10" t="str">
        <f t="shared" si="2"/>
        <v>25</v>
      </c>
    </row>
    <row r="11" spans="1:5" x14ac:dyDescent="0.25">
      <c r="A11" s="20">
        <v>40</v>
      </c>
      <c r="B11" s="21" t="s">
        <v>644</v>
      </c>
      <c r="C11" t="str">
        <f t="shared" si="0"/>
        <v>FS</v>
      </c>
      <c r="D11" t="str">
        <f t="shared" si="1"/>
        <v>1</v>
      </c>
      <c r="E11" t="str">
        <f t="shared" si="2"/>
        <v>25</v>
      </c>
    </row>
    <row r="12" spans="1:5" x14ac:dyDescent="0.25">
      <c r="A12" s="20">
        <v>41</v>
      </c>
      <c r="B12" s="21" t="s">
        <v>645</v>
      </c>
      <c r="C12" t="str">
        <f t="shared" si="0"/>
        <v>FS</v>
      </c>
      <c r="D12" t="str">
        <f t="shared" si="1"/>
        <v>2</v>
      </c>
      <c r="E12" t="str">
        <f t="shared" si="2"/>
        <v>25</v>
      </c>
    </row>
    <row r="13" spans="1:5" x14ac:dyDescent="0.25">
      <c r="A13" s="20">
        <v>42</v>
      </c>
      <c r="B13" s="21" t="s">
        <v>646</v>
      </c>
      <c r="C13" t="str">
        <f t="shared" si="0"/>
        <v>FS</v>
      </c>
      <c r="D13" t="str">
        <f t="shared" si="1"/>
        <v>4</v>
      </c>
      <c r="E13" t="str">
        <f t="shared" si="2"/>
        <v>25</v>
      </c>
    </row>
    <row r="14" spans="1:5" x14ac:dyDescent="0.25">
      <c r="A14" s="20">
        <v>73</v>
      </c>
      <c r="B14" s="21" t="s">
        <v>647</v>
      </c>
      <c r="C14" t="str">
        <f t="shared" si="0"/>
        <v>AA</v>
      </c>
      <c r="D14" t="str">
        <f t="shared" si="1"/>
        <v>1</v>
      </c>
      <c r="E14" t="str">
        <f t="shared" si="2"/>
        <v>25</v>
      </c>
    </row>
    <row r="15" spans="1:5" x14ac:dyDescent="0.25">
      <c r="A15" s="20">
        <v>74</v>
      </c>
      <c r="B15" s="21" t="s">
        <v>648</v>
      </c>
      <c r="C15" t="str">
        <f t="shared" si="0"/>
        <v>AA</v>
      </c>
      <c r="D15" t="str">
        <f t="shared" si="1"/>
        <v>2</v>
      </c>
      <c r="E15" t="str">
        <f t="shared" si="2"/>
        <v>25</v>
      </c>
    </row>
    <row r="16" spans="1:5" x14ac:dyDescent="0.25">
      <c r="A16" s="20">
        <v>75</v>
      </c>
      <c r="B16" s="21" t="s">
        <v>649</v>
      </c>
      <c r="C16" t="str">
        <f t="shared" si="0"/>
        <v>AA</v>
      </c>
      <c r="D16" t="str">
        <f t="shared" si="1"/>
        <v>4</v>
      </c>
      <c r="E16" t="str">
        <f t="shared" si="2"/>
        <v>25</v>
      </c>
    </row>
    <row r="17" spans="1:5" x14ac:dyDescent="0.25">
      <c r="A17" s="20">
        <v>76</v>
      </c>
      <c r="B17" s="21" t="s">
        <v>650</v>
      </c>
      <c r="C17" t="str">
        <f t="shared" si="0"/>
        <v>FS</v>
      </c>
      <c r="D17" t="str">
        <f t="shared" si="1"/>
        <v>1</v>
      </c>
      <c r="E17" t="str">
        <f t="shared" si="2"/>
        <v>25</v>
      </c>
    </row>
    <row r="18" spans="1:5" x14ac:dyDescent="0.25">
      <c r="A18" s="20">
        <v>77</v>
      </c>
      <c r="B18" s="21" t="s">
        <v>651</v>
      </c>
      <c r="C18" t="str">
        <f t="shared" si="0"/>
        <v>FS</v>
      </c>
      <c r="D18" t="str">
        <f t="shared" si="1"/>
        <v>2</v>
      </c>
      <c r="E18" t="str">
        <f t="shared" si="2"/>
        <v>25</v>
      </c>
    </row>
    <row r="19" spans="1:5" x14ac:dyDescent="0.25">
      <c r="A19" s="20">
        <v>78</v>
      </c>
      <c r="B19" s="21" t="s">
        <v>652</v>
      </c>
      <c r="C19" t="str">
        <f t="shared" si="0"/>
        <v>FS</v>
      </c>
      <c r="D19" t="str">
        <f t="shared" si="1"/>
        <v>4</v>
      </c>
      <c r="E19" t="str">
        <f t="shared" si="2"/>
        <v>25</v>
      </c>
    </row>
    <row r="20" spans="1:5" x14ac:dyDescent="0.25">
      <c r="A20" s="20">
        <v>109</v>
      </c>
      <c r="B20" s="21" t="s">
        <v>653</v>
      </c>
      <c r="C20" t="str">
        <f t="shared" si="0"/>
        <v>AA</v>
      </c>
      <c r="D20" t="str">
        <f t="shared" si="1"/>
        <v>1</v>
      </c>
      <c r="E20" t="str">
        <f t="shared" si="2"/>
        <v>25</v>
      </c>
    </row>
    <row r="21" spans="1:5" x14ac:dyDescent="0.25">
      <c r="A21" s="20">
        <v>110</v>
      </c>
      <c r="B21" s="21" t="s">
        <v>654</v>
      </c>
      <c r="C21" t="str">
        <f t="shared" si="0"/>
        <v>AA</v>
      </c>
      <c r="D21" t="str">
        <f t="shared" si="1"/>
        <v>2</v>
      </c>
      <c r="E21" t="str">
        <f t="shared" si="2"/>
        <v>25</v>
      </c>
    </row>
    <row r="22" spans="1:5" x14ac:dyDescent="0.25">
      <c r="A22" s="20">
        <v>111</v>
      </c>
      <c r="B22" s="21" t="s">
        <v>655</v>
      </c>
      <c r="C22" t="str">
        <f t="shared" si="0"/>
        <v>AA</v>
      </c>
      <c r="D22" t="str">
        <f t="shared" si="1"/>
        <v>4</v>
      </c>
      <c r="E22" t="str">
        <f t="shared" si="2"/>
        <v>25</v>
      </c>
    </row>
    <row r="23" spans="1:5" x14ac:dyDescent="0.25">
      <c r="A23" s="20">
        <v>112</v>
      </c>
      <c r="B23" s="21" t="s">
        <v>656</v>
      </c>
      <c r="C23" t="str">
        <f t="shared" si="0"/>
        <v>FS</v>
      </c>
      <c r="D23" t="str">
        <f t="shared" si="1"/>
        <v>1</v>
      </c>
      <c r="E23" t="str">
        <f t="shared" si="2"/>
        <v>25</v>
      </c>
    </row>
    <row r="24" spans="1:5" x14ac:dyDescent="0.25">
      <c r="A24" s="20">
        <v>113</v>
      </c>
      <c r="B24" s="21" t="s">
        <v>657</v>
      </c>
      <c r="C24" t="str">
        <f t="shared" si="0"/>
        <v>FS</v>
      </c>
      <c r="D24" t="str">
        <f t="shared" si="1"/>
        <v>2</v>
      </c>
      <c r="E24" t="str">
        <f t="shared" si="2"/>
        <v>25</v>
      </c>
    </row>
    <row r="25" spans="1:5" x14ac:dyDescent="0.25">
      <c r="A25" s="20">
        <v>114</v>
      </c>
      <c r="B25" s="21" t="s">
        <v>658</v>
      </c>
      <c r="C25" t="str">
        <f t="shared" si="0"/>
        <v>FS</v>
      </c>
      <c r="D25" t="str">
        <f t="shared" si="1"/>
        <v>4</v>
      </c>
      <c r="E25" t="str">
        <f t="shared" si="2"/>
        <v>25</v>
      </c>
    </row>
    <row r="26" spans="1:5" x14ac:dyDescent="0.25">
      <c r="A26" s="20">
        <v>121</v>
      </c>
      <c r="B26" s="21" t="s">
        <v>659</v>
      </c>
      <c r="C26" t="str">
        <f t="shared" si="0"/>
        <v>AA</v>
      </c>
      <c r="D26" t="str">
        <f t="shared" si="1"/>
        <v>1</v>
      </c>
      <c r="E26" t="str">
        <f t="shared" si="2"/>
        <v>25</v>
      </c>
    </row>
    <row r="27" spans="1:5" x14ac:dyDescent="0.25">
      <c r="A27" s="20">
        <v>122</v>
      </c>
      <c r="B27" s="21" t="s">
        <v>660</v>
      </c>
      <c r="C27" t="str">
        <f t="shared" si="0"/>
        <v>AA</v>
      </c>
      <c r="D27" t="str">
        <f t="shared" si="1"/>
        <v>2</v>
      </c>
      <c r="E27" t="str">
        <f t="shared" si="2"/>
        <v>25</v>
      </c>
    </row>
    <row r="28" spans="1:5" x14ac:dyDescent="0.25">
      <c r="A28" s="20">
        <v>123</v>
      </c>
      <c r="B28" s="21" t="s">
        <v>661</v>
      </c>
      <c r="C28" t="str">
        <f t="shared" si="0"/>
        <v>AA</v>
      </c>
      <c r="D28" t="str">
        <f t="shared" si="1"/>
        <v>4</v>
      </c>
      <c r="E28" t="str">
        <f t="shared" si="2"/>
        <v>25</v>
      </c>
    </row>
    <row r="29" spans="1:5" x14ac:dyDescent="0.25">
      <c r="A29" s="20">
        <v>124</v>
      </c>
      <c r="B29" s="21" t="s">
        <v>662</v>
      </c>
      <c r="C29" t="str">
        <f t="shared" si="0"/>
        <v>FS</v>
      </c>
      <c r="D29" t="str">
        <f t="shared" si="1"/>
        <v>1</v>
      </c>
      <c r="E29" t="str">
        <f t="shared" si="2"/>
        <v>25</v>
      </c>
    </row>
    <row r="30" spans="1:5" x14ac:dyDescent="0.25">
      <c r="A30" s="20">
        <v>125</v>
      </c>
      <c r="B30" s="21" t="s">
        <v>663</v>
      </c>
      <c r="C30" t="str">
        <f t="shared" si="0"/>
        <v>FS</v>
      </c>
      <c r="D30" t="str">
        <f t="shared" si="1"/>
        <v>2</v>
      </c>
      <c r="E30" t="str">
        <f t="shared" si="2"/>
        <v>25</v>
      </c>
    </row>
    <row r="31" spans="1:5" x14ac:dyDescent="0.25">
      <c r="A31" s="20">
        <v>126</v>
      </c>
      <c r="B31" s="21" t="s">
        <v>664</v>
      </c>
      <c r="C31" t="str">
        <f t="shared" si="0"/>
        <v>FS</v>
      </c>
      <c r="D31" t="str">
        <f t="shared" si="1"/>
        <v>4</v>
      </c>
      <c r="E31" t="str">
        <f t="shared" si="2"/>
        <v>25</v>
      </c>
    </row>
    <row r="32" spans="1:5" x14ac:dyDescent="0.25">
      <c r="A32" s="20">
        <v>134</v>
      </c>
      <c r="B32" s="21" t="s">
        <v>665</v>
      </c>
      <c r="C32" t="str">
        <f t="shared" si="0"/>
        <v>AA</v>
      </c>
      <c r="D32" t="str">
        <f t="shared" si="1"/>
        <v>1</v>
      </c>
      <c r="E32" t="str">
        <f t="shared" si="2"/>
        <v>25</v>
      </c>
    </row>
    <row r="33" spans="1:5" x14ac:dyDescent="0.25">
      <c r="A33" s="20">
        <v>135</v>
      </c>
      <c r="B33" s="21" t="s">
        <v>666</v>
      </c>
      <c r="C33" t="str">
        <f t="shared" si="0"/>
        <v>AA</v>
      </c>
      <c r="D33" t="str">
        <f t="shared" si="1"/>
        <v>2</v>
      </c>
      <c r="E33" t="str">
        <f t="shared" si="2"/>
        <v>25</v>
      </c>
    </row>
    <row r="34" spans="1:5" x14ac:dyDescent="0.25">
      <c r="A34" s="20">
        <v>136</v>
      </c>
      <c r="B34" s="21" t="s">
        <v>667</v>
      </c>
      <c r="C34" t="str">
        <f t="shared" si="0"/>
        <v>AA</v>
      </c>
      <c r="D34" t="str">
        <f t="shared" si="1"/>
        <v>4</v>
      </c>
      <c r="E34" t="str">
        <f t="shared" si="2"/>
        <v>25</v>
      </c>
    </row>
    <row r="35" spans="1:5" x14ac:dyDescent="0.25">
      <c r="A35" s="20">
        <v>137</v>
      </c>
      <c r="B35" s="21" t="s">
        <v>668</v>
      </c>
      <c r="C35" t="str">
        <f t="shared" si="0"/>
        <v>FS</v>
      </c>
      <c r="D35" t="str">
        <f t="shared" si="1"/>
        <v>1</v>
      </c>
      <c r="E35" t="str">
        <f t="shared" si="2"/>
        <v>25</v>
      </c>
    </row>
    <row r="36" spans="1:5" x14ac:dyDescent="0.25">
      <c r="A36" s="20">
        <v>138</v>
      </c>
      <c r="B36" s="21" t="s">
        <v>669</v>
      </c>
      <c r="C36" t="str">
        <f t="shared" si="0"/>
        <v>FS</v>
      </c>
      <c r="D36" t="str">
        <f t="shared" si="1"/>
        <v>2</v>
      </c>
      <c r="E36" t="str">
        <f t="shared" si="2"/>
        <v>25</v>
      </c>
    </row>
    <row r="37" spans="1:5" x14ac:dyDescent="0.25">
      <c r="A37" s="20">
        <v>139</v>
      </c>
      <c r="B37" s="21" t="s">
        <v>670</v>
      </c>
      <c r="C37" t="str">
        <f t="shared" si="0"/>
        <v>FS</v>
      </c>
      <c r="D37" t="str">
        <f t="shared" si="1"/>
        <v>4</v>
      </c>
      <c r="E37" t="str">
        <f t="shared" si="2"/>
        <v>25</v>
      </c>
    </row>
    <row r="38" spans="1:5" x14ac:dyDescent="0.25">
      <c r="A38" s="20">
        <v>146</v>
      </c>
      <c r="B38" s="21" t="s">
        <v>671</v>
      </c>
      <c r="C38" t="str">
        <f t="shared" si="0"/>
        <v>AA</v>
      </c>
      <c r="D38" t="str">
        <f t="shared" si="1"/>
        <v>1</v>
      </c>
      <c r="E38" t="str">
        <f t="shared" si="2"/>
        <v>25</v>
      </c>
    </row>
    <row r="39" spans="1:5" x14ac:dyDescent="0.25">
      <c r="A39" s="20">
        <v>147</v>
      </c>
      <c r="B39" s="21" t="s">
        <v>672</v>
      </c>
      <c r="C39" t="str">
        <f t="shared" si="0"/>
        <v>AA</v>
      </c>
      <c r="D39" t="str">
        <f t="shared" si="1"/>
        <v>2</v>
      </c>
      <c r="E39" t="str">
        <f t="shared" si="2"/>
        <v>25</v>
      </c>
    </row>
    <row r="40" spans="1:5" x14ac:dyDescent="0.25">
      <c r="A40" s="20">
        <v>148</v>
      </c>
      <c r="B40" s="21" t="s">
        <v>673</v>
      </c>
      <c r="C40" t="str">
        <f t="shared" si="0"/>
        <v>AA</v>
      </c>
      <c r="D40" t="str">
        <f t="shared" si="1"/>
        <v>4</v>
      </c>
      <c r="E40" t="str">
        <f t="shared" si="2"/>
        <v>25</v>
      </c>
    </row>
    <row r="41" spans="1:5" x14ac:dyDescent="0.25">
      <c r="A41" s="20">
        <v>149</v>
      </c>
      <c r="B41" s="21" t="s">
        <v>674</v>
      </c>
      <c r="C41" t="str">
        <f t="shared" si="0"/>
        <v>FS</v>
      </c>
      <c r="D41" t="str">
        <f t="shared" si="1"/>
        <v>1</v>
      </c>
      <c r="E41" t="str">
        <f t="shared" si="2"/>
        <v>25</v>
      </c>
    </row>
    <row r="42" spans="1:5" x14ac:dyDescent="0.25">
      <c r="A42" s="20">
        <v>150</v>
      </c>
      <c r="B42" s="21" t="s">
        <v>675</v>
      </c>
      <c r="C42" t="str">
        <f t="shared" si="0"/>
        <v>FS</v>
      </c>
      <c r="D42" t="str">
        <f t="shared" si="1"/>
        <v>2</v>
      </c>
      <c r="E42" t="str">
        <f t="shared" si="2"/>
        <v>25</v>
      </c>
    </row>
    <row r="43" spans="1:5" x14ac:dyDescent="0.25">
      <c r="A43" s="20">
        <v>151</v>
      </c>
      <c r="B43" s="21" t="s">
        <v>676</v>
      </c>
      <c r="C43" t="str">
        <f t="shared" si="0"/>
        <v>FS</v>
      </c>
      <c r="D43" t="str">
        <f t="shared" si="1"/>
        <v>4</v>
      </c>
      <c r="E43" t="str">
        <f t="shared" si="2"/>
        <v>25</v>
      </c>
    </row>
    <row r="44" spans="1:5" x14ac:dyDescent="0.25">
      <c r="A44" s="20">
        <v>158</v>
      </c>
      <c r="B44" s="21" t="s">
        <v>677</v>
      </c>
      <c r="C44" t="str">
        <f t="shared" si="0"/>
        <v>AA</v>
      </c>
      <c r="D44" t="str">
        <f t="shared" si="1"/>
        <v>1</v>
      </c>
      <c r="E44" t="str">
        <f t="shared" si="2"/>
        <v>25</v>
      </c>
    </row>
    <row r="45" spans="1:5" x14ac:dyDescent="0.25">
      <c r="A45" s="20">
        <v>159</v>
      </c>
      <c r="B45" s="21" t="s">
        <v>678</v>
      </c>
      <c r="C45" t="str">
        <f t="shared" si="0"/>
        <v>AA</v>
      </c>
      <c r="D45" t="str">
        <f t="shared" si="1"/>
        <v>2</v>
      </c>
      <c r="E45" t="str">
        <f t="shared" si="2"/>
        <v>25</v>
      </c>
    </row>
    <row r="46" spans="1:5" x14ac:dyDescent="0.25">
      <c r="A46" s="20">
        <v>160</v>
      </c>
      <c r="B46" s="21" t="s">
        <v>679</v>
      </c>
      <c r="C46" t="str">
        <f t="shared" si="0"/>
        <v>AA</v>
      </c>
      <c r="D46" t="str">
        <f t="shared" si="1"/>
        <v>4</v>
      </c>
      <c r="E46" t="str">
        <f t="shared" si="2"/>
        <v>25</v>
      </c>
    </row>
    <row r="47" spans="1:5" x14ac:dyDescent="0.25">
      <c r="A47" s="20">
        <v>161</v>
      </c>
      <c r="B47" s="21" t="s">
        <v>680</v>
      </c>
      <c r="C47" t="str">
        <f t="shared" si="0"/>
        <v>FS</v>
      </c>
      <c r="D47" t="str">
        <f t="shared" si="1"/>
        <v>1</v>
      </c>
      <c r="E47" t="str">
        <f t="shared" si="2"/>
        <v>25</v>
      </c>
    </row>
    <row r="48" spans="1:5" x14ac:dyDescent="0.25">
      <c r="A48" s="20">
        <v>162</v>
      </c>
      <c r="B48" s="21" t="s">
        <v>681</v>
      </c>
      <c r="C48" t="str">
        <f t="shared" si="0"/>
        <v>FS</v>
      </c>
      <c r="D48" t="str">
        <f t="shared" si="1"/>
        <v>2</v>
      </c>
      <c r="E48" t="str">
        <f t="shared" si="2"/>
        <v>25</v>
      </c>
    </row>
    <row r="49" spans="1:5" x14ac:dyDescent="0.25">
      <c r="A49" s="20">
        <v>163</v>
      </c>
      <c r="B49" s="21" t="s">
        <v>682</v>
      </c>
      <c r="C49" t="str">
        <f t="shared" si="0"/>
        <v>FS</v>
      </c>
      <c r="D49" t="str">
        <f t="shared" si="1"/>
        <v>4</v>
      </c>
      <c r="E49" t="str">
        <f t="shared" si="2"/>
        <v>25</v>
      </c>
    </row>
    <row r="50" spans="1:5" x14ac:dyDescent="0.25">
      <c r="A50" s="20">
        <v>170</v>
      </c>
      <c r="B50" s="21" t="s">
        <v>683</v>
      </c>
      <c r="C50" t="str">
        <f t="shared" si="0"/>
        <v>AA</v>
      </c>
      <c r="D50" t="str">
        <f t="shared" si="1"/>
        <v>1</v>
      </c>
      <c r="E50" t="str">
        <f t="shared" si="2"/>
        <v>25</v>
      </c>
    </row>
    <row r="51" spans="1:5" x14ac:dyDescent="0.25">
      <c r="A51" s="20">
        <v>171</v>
      </c>
      <c r="B51" s="21" t="s">
        <v>684</v>
      </c>
      <c r="C51" t="str">
        <f t="shared" si="0"/>
        <v>AA</v>
      </c>
      <c r="D51" t="str">
        <f t="shared" si="1"/>
        <v>2</v>
      </c>
      <c r="E51" t="str">
        <f t="shared" si="2"/>
        <v>25</v>
      </c>
    </row>
    <row r="52" spans="1:5" x14ac:dyDescent="0.25">
      <c r="A52" s="20">
        <v>172</v>
      </c>
      <c r="B52" s="21" t="s">
        <v>685</v>
      </c>
      <c r="C52" t="str">
        <f t="shared" si="0"/>
        <v>AA</v>
      </c>
      <c r="D52" t="str">
        <f t="shared" si="1"/>
        <v>4</v>
      </c>
      <c r="E52" t="str">
        <f t="shared" si="2"/>
        <v>25</v>
      </c>
    </row>
    <row r="53" spans="1:5" x14ac:dyDescent="0.25">
      <c r="A53" s="22">
        <v>173</v>
      </c>
      <c r="B53" s="23" t="s">
        <v>686</v>
      </c>
      <c r="C53" t="str">
        <f t="shared" si="0"/>
        <v>FS</v>
      </c>
      <c r="D53" t="str">
        <f t="shared" si="1"/>
        <v>1</v>
      </c>
      <c r="E53" t="str">
        <f t="shared" si="2"/>
        <v>25</v>
      </c>
    </row>
    <row r="54" spans="1:5" x14ac:dyDescent="0.25">
      <c r="A54" s="22">
        <v>174</v>
      </c>
      <c r="B54" s="23" t="s">
        <v>687</v>
      </c>
      <c r="C54" t="str">
        <f t="shared" si="0"/>
        <v>FS</v>
      </c>
      <c r="D54" t="str">
        <f t="shared" si="1"/>
        <v>2</v>
      </c>
      <c r="E54" t="str">
        <f t="shared" si="2"/>
        <v>25</v>
      </c>
    </row>
    <row r="55" spans="1:5" x14ac:dyDescent="0.25">
      <c r="A55" s="22">
        <v>175</v>
      </c>
      <c r="B55" s="23" t="s">
        <v>688</v>
      </c>
      <c r="C55" t="str">
        <f t="shared" si="0"/>
        <v>FS</v>
      </c>
      <c r="D55" t="str">
        <f t="shared" si="1"/>
        <v>4</v>
      </c>
      <c r="E55" t="str">
        <f t="shared" si="2"/>
        <v>25</v>
      </c>
    </row>
    <row r="56" spans="1:5" x14ac:dyDescent="0.25">
      <c r="A56" s="20">
        <v>182</v>
      </c>
      <c r="B56" s="21" t="s">
        <v>689</v>
      </c>
      <c r="C56" t="str">
        <f t="shared" si="0"/>
        <v>AA</v>
      </c>
      <c r="D56" t="str">
        <f t="shared" si="1"/>
        <v>1</v>
      </c>
      <c r="E56" t="str">
        <f t="shared" si="2"/>
        <v>25</v>
      </c>
    </row>
    <row r="57" spans="1:5" x14ac:dyDescent="0.25">
      <c r="A57" s="20">
        <v>183</v>
      </c>
      <c r="B57" s="21" t="s">
        <v>690</v>
      </c>
      <c r="C57" t="str">
        <f t="shared" si="0"/>
        <v>AA</v>
      </c>
      <c r="D57" t="str">
        <f t="shared" si="1"/>
        <v>2</v>
      </c>
      <c r="E57" t="str">
        <f t="shared" si="2"/>
        <v>25</v>
      </c>
    </row>
    <row r="58" spans="1:5" x14ac:dyDescent="0.25">
      <c r="A58" s="20">
        <v>184</v>
      </c>
      <c r="B58" s="21" t="s">
        <v>691</v>
      </c>
      <c r="C58" t="str">
        <f t="shared" si="0"/>
        <v>AA</v>
      </c>
      <c r="D58" t="str">
        <f t="shared" si="1"/>
        <v>4</v>
      </c>
      <c r="E58" t="str">
        <f t="shared" si="2"/>
        <v>25</v>
      </c>
    </row>
    <row r="59" spans="1:5" x14ac:dyDescent="0.25">
      <c r="A59" s="20">
        <v>185</v>
      </c>
      <c r="B59" s="21" t="s">
        <v>692</v>
      </c>
      <c r="C59" t="str">
        <f t="shared" si="0"/>
        <v>FS</v>
      </c>
      <c r="D59" t="str">
        <f t="shared" si="1"/>
        <v>1</v>
      </c>
      <c r="E59" t="str">
        <f t="shared" si="2"/>
        <v>25</v>
      </c>
    </row>
    <row r="60" spans="1:5" x14ac:dyDescent="0.25">
      <c r="A60" s="20">
        <v>186</v>
      </c>
      <c r="B60" s="21" t="s">
        <v>693</v>
      </c>
      <c r="C60" t="str">
        <f t="shared" si="0"/>
        <v>FS</v>
      </c>
      <c r="D60" t="str">
        <f t="shared" si="1"/>
        <v>2</v>
      </c>
      <c r="E60" t="str">
        <f t="shared" si="2"/>
        <v>25</v>
      </c>
    </row>
    <row r="61" spans="1:5" x14ac:dyDescent="0.25">
      <c r="A61" s="20">
        <v>187</v>
      </c>
      <c r="B61" s="21" t="s">
        <v>694</v>
      </c>
      <c r="C61" t="str">
        <f t="shared" si="0"/>
        <v>FS</v>
      </c>
      <c r="D61" t="str">
        <f t="shared" si="1"/>
        <v>4</v>
      </c>
      <c r="E61" t="str">
        <f t="shared" si="2"/>
        <v>25</v>
      </c>
    </row>
    <row r="62" spans="1:5" x14ac:dyDescent="0.25">
      <c r="A62" s="20">
        <v>324</v>
      </c>
      <c r="B62" s="21" t="s">
        <v>695</v>
      </c>
      <c r="C62" t="str">
        <f t="shared" si="0"/>
        <v>AA</v>
      </c>
      <c r="D62" t="str">
        <f t="shared" si="1"/>
        <v>1</v>
      </c>
      <c r="E62" t="str">
        <f t="shared" si="2"/>
        <v>25</v>
      </c>
    </row>
    <row r="63" spans="1:5" x14ac:dyDescent="0.25">
      <c r="A63" s="20">
        <v>325</v>
      </c>
      <c r="B63" s="21" t="s">
        <v>696</v>
      </c>
      <c r="C63" t="str">
        <f t="shared" si="0"/>
        <v>AA</v>
      </c>
      <c r="D63" t="str">
        <f t="shared" si="1"/>
        <v>2</v>
      </c>
      <c r="E63" t="str">
        <f t="shared" si="2"/>
        <v>25</v>
      </c>
    </row>
    <row r="64" spans="1:5" x14ac:dyDescent="0.25">
      <c r="A64" s="20">
        <v>326</v>
      </c>
      <c r="B64" s="21" t="s">
        <v>697</v>
      </c>
      <c r="C64" t="str">
        <f t="shared" si="0"/>
        <v>AA</v>
      </c>
      <c r="D64" t="str">
        <f t="shared" si="1"/>
        <v>4</v>
      </c>
      <c r="E64" t="str">
        <f t="shared" si="2"/>
        <v>25</v>
      </c>
    </row>
    <row r="65" spans="1:5" x14ac:dyDescent="0.25">
      <c r="A65" s="20">
        <v>327</v>
      </c>
      <c r="B65" s="21" t="s">
        <v>698</v>
      </c>
      <c r="C65" t="str">
        <f t="shared" si="0"/>
        <v>FS</v>
      </c>
      <c r="D65" t="str">
        <f t="shared" si="1"/>
        <v>1</v>
      </c>
      <c r="E65" t="str">
        <f t="shared" si="2"/>
        <v>25</v>
      </c>
    </row>
    <row r="66" spans="1:5" x14ac:dyDescent="0.25">
      <c r="A66" s="20">
        <v>328</v>
      </c>
      <c r="B66" s="21" t="s">
        <v>699</v>
      </c>
      <c r="C66" t="str">
        <f t="shared" si="0"/>
        <v>FS</v>
      </c>
      <c r="D66" t="str">
        <f t="shared" si="1"/>
        <v>2</v>
      </c>
      <c r="E66" t="str">
        <f t="shared" si="2"/>
        <v>25</v>
      </c>
    </row>
    <row r="67" spans="1:5" x14ac:dyDescent="0.25">
      <c r="A67" s="20">
        <v>329</v>
      </c>
      <c r="B67" s="21" t="s">
        <v>700</v>
      </c>
      <c r="C67" t="str">
        <f t="shared" ref="C67:C130" si="3">RIGHT(LEFT(B67,11),2)</f>
        <v>FS</v>
      </c>
      <c r="D67" t="str">
        <f t="shared" ref="D67:D130" si="4">RIGHT(LEFT(B67,9),1)</f>
        <v>4</v>
      </c>
      <c r="E67" t="str">
        <f t="shared" ref="E67:E130" si="5">LEFT(B67,2)</f>
        <v>25</v>
      </c>
    </row>
    <row r="68" spans="1:5" x14ac:dyDescent="0.25">
      <c r="A68" s="20">
        <v>342</v>
      </c>
      <c r="B68" s="21" t="s">
        <v>701</v>
      </c>
      <c r="C68" t="str">
        <f t="shared" si="3"/>
        <v>AA</v>
      </c>
      <c r="D68" t="str">
        <f t="shared" si="4"/>
        <v>1</v>
      </c>
      <c r="E68" t="str">
        <f t="shared" si="5"/>
        <v>25</v>
      </c>
    </row>
    <row r="69" spans="1:5" x14ac:dyDescent="0.25">
      <c r="A69" s="20">
        <v>343</v>
      </c>
      <c r="B69" s="21" t="s">
        <v>702</v>
      </c>
      <c r="C69" t="str">
        <f t="shared" si="3"/>
        <v>AA</v>
      </c>
      <c r="D69" t="str">
        <f t="shared" si="4"/>
        <v>2</v>
      </c>
      <c r="E69" t="str">
        <f t="shared" si="5"/>
        <v>25</v>
      </c>
    </row>
    <row r="70" spans="1:5" x14ac:dyDescent="0.25">
      <c r="A70" s="20">
        <v>344</v>
      </c>
      <c r="B70" s="21" t="s">
        <v>703</v>
      </c>
      <c r="C70" t="str">
        <f t="shared" si="3"/>
        <v>AA</v>
      </c>
      <c r="D70" t="str">
        <f t="shared" si="4"/>
        <v>4</v>
      </c>
      <c r="E70" t="str">
        <f t="shared" si="5"/>
        <v>25</v>
      </c>
    </row>
    <row r="71" spans="1:5" x14ac:dyDescent="0.25">
      <c r="A71" s="20">
        <v>345</v>
      </c>
      <c r="B71" s="21" t="s">
        <v>704</v>
      </c>
      <c r="C71" t="str">
        <f t="shared" si="3"/>
        <v>FS</v>
      </c>
      <c r="D71" t="str">
        <f t="shared" si="4"/>
        <v>1</v>
      </c>
      <c r="E71" t="str">
        <f t="shared" si="5"/>
        <v>25</v>
      </c>
    </row>
    <row r="72" spans="1:5" x14ac:dyDescent="0.25">
      <c r="A72" s="20">
        <v>346</v>
      </c>
      <c r="B72" s="21" t="s">
        <v>705</v>
      </c>
      <c r="C72" t="str">
        <f t="shared" si="3"/>
        <v>FS</v>
      </c>
      <c r="D72" t="str">
        <f t="shared" si="4"/>
        <v>2</v>
      </c>
      <c r="E72" t="str">
        <f t="shared" si="5"/>
        <v>25</v>
      </c>
    </row>
    <row r="73" spans="1:5" x14ac:dyDescent="0.25">
      <c r="A73" s="20">
        <v>347</v>
      </c>
      <c r="B73" s="21" t="s">
        <v>706</v>
      </c>
      <c r="C73" t="str">
        <f t="shared" si="3"/>
        <v>FS</v>
      </c>
      <c r="D73" t="str">
        <f t="shared" si="4"/>
        <v>4</v>
      </c>
      <c r="E73" t="str">
        <f t="shared" si="5"/>
        <v>25</v>
      </c>
    </row>
    <row r="74" spans="1:5" x14ac:dyDescent="0.25">
      <c r="A74" s="20">
        <v>360</v>
      </c>
      <c r="B74" s="21" t="s">
        <v>707</v>
      </c>
      <c r="C74" t="str">
        <f t="shared" si="3"/>
        <v>AA</v>
      </c>
      <c r="D74" t="str">
        <f t="shared" si="4"/>
        <v>1</v>
      </c>
      <c r="E74" t="str">
        <f t="shared" si="5"/>
        <v>25</v>
      </c>
    </row>
    <row r="75" spans="1:5" x14ac:dyDescent="0.25">
      <c r="A75" s="20">
        <v>361</v>
      </c>
      <c r="B75" s="21" t="s">
        <v>708</v>
      </c>
      <c r="C75" t="str">
        <f t="shared" si="3"/>
        <v>AA</v>
      </c>
      <c r="D75" t="str">
        <f t="shared" si="4"/>
        <v>2</v>
      </c>
      <c r="E75" t="str">
        <f t="shared" si="5"/>
        <v>25</v>
      </c>
    </row>
    <row r="76" spans="1:5" x14ac:dyDescent="0.25">
      <c r="A76" s="20">
        <v>362</v>
      </c>
      <c r="B76" s="21" t="s">
        <v>709</v>
      </c>
      <c r="C76" t="str">
        <f t="shared" si="3"/>
        <v>AA</v>
      </c>
      <c r="D76" t="str">
        <f t="shared" si="4"/>
        <v>4</v>
      </c>
      <c r="E76" t="str">
        <f t="shared" si="5"/>
        <v>25</v>
      </c>
    </row>
    <row r="77" spans="1:5" x14ac:dyDescent="0.25">
      <c r="A77" s="20">
        <v>363</v>
      </c>
      <c r="B77" s="21" t="s">
        <v>710</v>
      </c>
      <c r="C77" t="str">
        <f t="shared" si="3"/>
        <v>FS</v>
      </c>
      <c r="D77" t="str">
        <f t="shared" si="4"/>
        <v>1</v>
      </c>
      <c r="E77" t="str">
        <f t="shared" si="5"/>
        <v>25</v>
      </c>
    </row>
    <row r="78" spans="1:5" x14ac:dyDescent="0.25">
      <c r="A78" s="24">
        <v>364</v>
      </c>
      <c r="B78" s="25" t="s">
        <v>711</v>
      </c>
      <c r="C78" t="str">
        <f t="shared" si="3"/>
        <v>FS</v>
      </c>
      <c r="D78" t="str">
        <f t="shared" si="4"/>
        <v>2</v>
      </c>
      <c r="E78" t="str">
        <f t="shared" si="5"/>
        <v>25</v>
      </c>
    </row>
    <row r="79" spans="1:5" x14ac:dyDescent="0.25">
      <c r="A79" s="20">
        <v>365</v>
      </c>
      <c r="B79" s="21" t="s">
        <v>712</v>
      </c>
      <c r="C79" t="str">
        <f t="shared" si="3"/>
        <v>FS</v>
      </c>
      <c r="D79" t="str">
        <f t="shared" si="4"/>
        <v>4</v>
      </c>
      <c r="E79" t="str">
        <f t="shared" si="5"/>
        <v>25</v>
      </c>
    </row>
    <row r="80" spans="1:5" x14ac:dyDescent="0.25">
      <c r="A80" s="20">
        <v>378</v>
      </c>
      <c r="B80" s="21" t="s">
        <v>713</v>
      </c>
      <c r="C80" t="str">
        <f t="shared" si="3"/>
        <v>AA</v>
      </c>
      <c r="D80" t="str">
        <f t="shared" si="4"/>
        <v>1</v>
      </c>
      <c r="E80" t="str">
        <f t="shared" si="5"/>
        <v>25</v>
      </c>
    </row>
    <row r="81" spans="1:5" x14ac:dyDescent="0.25">
      <c r="A81" s="20">
        <v>379</v>
      </c>
      <c r="B81" s="21" t="s">
        <v>714</v>
      </c>
      <c r="C81" t="str">
        <f t="shared" si="3"/>
        <v>AA</v>
      </c>
      <c r="D81" t="str">
        <f t="shared" si="4"/>
        <v>2</v>
      </c>
      <c r="E81" t="str">
        <f t="shared" si="5"/>
        <v>25</v>
      </c>
    </row>
    <row r="82" spans="1:5" x14ac:dyDescent="0.25">
      <c r="A82" s="20">
        <v>380</v>
      </c>
      <c r="B82" s="21" t="s">
        <v>715</v>
      </c>
      <c r="C82" t="str">
        <f t="shared" si="3"/>
        <v>AA</v>
      </c>
      <c r="D82" t="str">
        <f t="shared" si="4"/>
        <v>4</v>
      </c>
      <c r="E82" t="str">
        <f t="shared" si="5"/>
        <v>25</v>
      </c>
    </row>
    <row r="83" spans="1:5" x14ac:dyDescent="0.25">
      <c r="A83" s="20">
        <v>381</v>
      </c>
      <c r="B83" s="21" t="s">
        <v>716</v>
      </c>
      <c r="C83" t="str">
        <f t="shared" si="3"/>
        <v>FS</v>
      </c>
      <c r="D83" t="str">
        <f t="shared" si="4"/>
        <v>1</v>
      </c>
      <c r="E83" t="str">
        <f t="shared" si="5"/>
        <v>25</v>
      </c>
    </row>
    <row r="84" spans="1:5" x14ac:dyDescent="0.25">
      <c r="A84" s="20">
        <v>382</v>
      </c>
      <c r="B84" s="21" t="s">
        <v>717</v>
      </c>
      <c r="C84" t="str">
        <f t="shared" si="3"/>
        <v>FS</v>
      </c>
      <c r="D84" t="str">
        <f t="shared" si="4"/>
        <v>2</v>
      </c>
      <c r="E84" t="str">
        <f t="shared" si="5"/>
        <v>25</v>
      </c>
    </row>
    <row r="85" spans="1:5" x14ac:dyDescent="0.25">
      <c r="A85" s="20">
        <v>383</v>
      </c>
      <c r="B85" s="21" t="s">
        <v>718</v>
      </c>
      <c r="C85" t="str">
        <f t="shared" si="3"/>
        <v>FS</v>
      </c>
      <c r="D85" t="str">
        <f t="shared" si="4"/>
        <v>4</v>
      </c>
      <c r="E85" t="str">
        <f t="shared" si="5"/>
        <v>25</v>
      </c>
    </row>
    <row r="86" spans="1:5" x14ac:dyDescent="0.25">
      <c r="A86" s="20">
        <v>396</v>
      </c>
      <c r="B86" s="21" t="s">
        <v>719</v>
      </c>
      <c r="C86" t="str">
        <f t="shared" si="3"/>
        <v>AA</v>
      </c>
      <c r="D86" t="str">
        <f t="shared" si="4"/>
        <v>1</v>
      </c>
      <c r="E86" t="str">
        <f t="shared" si="5"/>
        <v>25</v>
      </c>
    </row>
    <row r="87" spans="1:5" x14ac:dyDescent="0.25">
      <c r="A87" s="20">
        <v>397</v>
      </c>
      <c r="B87" s="21" t="s">
        <v>720</v>
      </c>
      <c r="C87" t="str">
        <f t="shared" si="3"/>
        <v>AA</v>
      </c>
      <c r="D87" t="str">
        <f t="shared" si="4"/>
        <v>2</v>
      </c>
      <c r="E87" t="str">
        <f t="shared" si="5"/>
        <v>25</v>
      </c>
    </row>
    <row r="88" spans="1:5" x14ac:dyDescent="0.25">
      <c r="A88" s="20">
        <v>398</v>
      </c>
      <c r="B88" s="21" t="s">
        <v>721</v>
      </c>
      <c r="C88" t="str">
        <f t="shared" si="3"/>
        <v>AA</v>
      </c>
      <c r="D88" t="str">
        <f t="shared" si="4"/>
        <v>4</v>
      </c>
      <c r="E88" t="str">
        <f t="shared" si="5"/>
        <v>25</v>
      </c>
    </row>
    <row r="89" spans="1:5" x14ac:dyDescent="0.25">
      <c r="A89" s="20">
        <v>399</v>
      </c>
      <c r="B89" s="21" t="s">
        <v>722</v>
      </c>
      <c r="C89" t="str">
        <f t="shared" si="3"/>
        <v>FS</v>
      </c>
      <c r="D89" t="str">
        <f t="shared" si="4"/>
        <v>1</v>
      </c>
      <c r="E89" t="str">
        <f t="shared" si="5"/>
        <v>25</v>
      </c>
    </row>
    <row r="90" spans="1:5" x14ac:dyDescent="0.25">
      <c r="A90" s="20">
        <v>400</v>
      </c>
      <c r="B90" s="21" t="s">
        <v>723</v>
      </c>
      <c r="C90" t="str">
        <f t="shared" si="3"/>
        <v>FS</v>
      </c>
      <c r="D90" t="str">
        <f t="shared" si="4"/>
        <v>2</v>
      </c>
      <c r="E90" t="str">
        <f t="shared" si="5"/>
        <v>25</v>
      </c>
    </row>
    <row r="91" spans="1:5" x14ac:dyDescent="0.25">
      <c r="A91" s="20">
        <v>401</v>
      </c>
      <c r="B91" s="21" t="s">
        <v>724</v>
      </c>
      <c r="C91" t="str">
        <f t="shared" si="3"/>
        <v>FS</v>
      </c>
      <c r="D91" t="str">
        <f t="shared" si="4"/>
        <v>4</v>
      </c>
      <c r="E91" t="str">
        <f t="shared" si="5"/>
        <v>25</v>
      </c>
    </row>
    <row r="92" spans="1:5" x14ac:dyDescent="0.25">
      <c r="A92" s="20">
        <v>7</v>
      </c>
      <c r="B92" s="21" t="s">
        <v>725</v>
      </c>
      <c r="C92" t="str">
        <f t="shared" si="3"/>
        <v>AA</v>
      </c>
      <c r="D92" t="str">
        <f t="shared" si="4"/>
        <v>1</v>
      </c>
      <c r="E92" t="str">
        <f t="shared" si="5"/>
        <v>10</v>
      </c>
    </row>
    <row r="93" spans="1:5" x14ac:dyDescent="0.25">
      <c r="A93" s="20">
        <v>8</v>
      </c>
      <c r="B93" s="21" t="s">
        <v>726</v>
      </c>
      <c r="C93" t="str">
        <f t="shared" si="3"/>
        <v>AA</v>
      </c>
      <c r="D93" t="str">
        <f t="shared" si="4"/>
        <v>2</v>
      </c>
      <c r="E93" t="str">
        <f t="shared" si="5"/>
        <v>10</v>
      </c>
    </row>
    <row r="94" spans="1:5" x14ac:dyDescent="0.25">
      <c r="A94" s="20">
        <v>9</v>
      </c>
      <c r="B94" s="21" t="s">
        <v>727</v>
      </c>
      <c r="C94" t="str">
        <f t="shared" si="3"/>
        <v>AA</v>
      </c>
      <c r="D94" t="str">
        <f t="shared" si="4"/>
        <v>4</v>
      </c>
      <c r="E94" t="str">
        <f t="shared" si="5"/>
        <v>10</v>
      </c>
    </row>
    <row r="95" spans="1:5" x14ac:dyDescent="0.25">
      <c r="A95" s="20">
        <v>133</v>
      </c>
      <c r="B95" s="21" t="s">
        <v>728</v>
      </c>
      <c r="C95" t="str">
        <f t="shared" si="3"/>
        <v>FS</v>
      </c>
      <c r="D95" t="str">
        <f t="shared" si="4"/>
        <v>1</v>
      </c>
      <c r="E95" t="str">
        <f t="shared" si="5"/>
        <v>10</v>
      </c>
    </row>
    <row r="96" spans="1:5" x14ac:dyDescent="0.25">
      <c r="A96" s="20">
        <v>11</v>
      </c>
      <c r="B96" s="21" t="s">
        <v>729</v>
      </c>
      <c r="C96" t="str">
        <f t="shared" si="3"/>
        <v>FS</v>
      </c>
      <c r="D96" t="str">
        <f t="shared" si="4"/>
        <v>2</v>
      </c>
      <c r="E96" t="str">
        <f t="shared" si="5"/>
        <v>10</v>
      </c>
    </row>
    <row r="97" spans="1:5" x14ac:dyDescent="0.25">
      <c r="A97" s="20">
        <v>12</v>
      </c>
      <c r="B97" s="21" t="s">
        <v>730</v>
      </c>
      <c r="C97" t="str">
        <f t="shared" si="3"/>
        <v>FS</v>
      </c>
      <c r="D97" t="str">
        <f t="shared" si="4"/>
        <v>4</v>
      </c>
      <c r="E97" t="str">
        <f t="shared" si="5"/>
        <v>10</v>
      </c>
    </row>
    <row r="98" spans="1:5" x14ac:dyDescent="0.25">
      <c r="A98" s="20">
        <v>43</v>
      </c>
      <c r="B98" s="21" t="s">
        <v>731</v>
      </c>
      <c r="C98" t="str">
        <f t="shared" si="3"/>
        <v>AA</v>
      </c>
      <c r="D98" t="str">
        <f t="shared" si="4"/>
        <v>1</v>
      </c>
      <c r="E98" t="str">
        <f t="shared" si="5"/>
        <v>10</v>
      </c>
    </row>
    <row r="99" spans="1:5" x14ac:dyDescent="0.25">
      <c r="A99" s="20">
        <v>44</v>
      </c>
      <c r="B99" s="21" t="s">
        <v>732</v>
      </c>
      <c r="C99" t="str">
        <f t="shared" si="3"/>
        <v>AA</v>
      </c>
      <c r="D99" t="str">
        <f t="shared" si="4"/>
        <v>2</v>
      </c>
      <c r="E99" t="str">
        <f t="shared" si="5"/>
        <v>10</v>
      </c>
    </row>
    <row r="100" spans="1:5" x14ac:dyDescent="0.25">
      <c r="A100" s="20">
        <v>45</v>
      </c>
      <c r="B100" s="21" t="s">
        <v>733</v>
      </c>
      <c r="C100" t="str">
        <f t="shared" si="3"/>
        <v>AA</v>
      </c>
      <c r="D100" t="str">
        <f t="shared" si="4"/>
        <v>4</v>
      </c>
      <c r="E100" t="str">
        <f t="shared" si="5"/>
        <v>10</v>
      </c>
    </row>
    <row r="101" spans="1:5" x14ac:dyDescent="0.25">
      <c r="A101" s="20">
        <v>46</v>
      </c>
      <c r="B101" s="21" t="s">
        <v>734</v>
      </c>
      <c r="C101" t="str">
        <f t="shared" si="3"/>
        <v>FS</v>
      </c>
      <c r="D101" t="str">
        <f t="shared" si="4"/>
        <v>1</v>
      </c>
      <c r="E101" t="str">
        <f t="shared" si="5"/>
        <v>10</v>
      </c>
    </row>
    <row r="102" spans="1:5" x14ac:dyDescent="0.25">
      <c r="A102" s="20">
        <v>47</v>
      </c>
      <c r="B102" s="21" t="s">
        <v>735</v>
      </c>
      <c r="C102" t="str">
        <f t="shared" si="3"/>
        <v>FS</v>
      </c>
      <c r="D102" t="str">
        <f t="shared" si="4"/>
        <v>2</v>
      </c>
      <c r="E102" t="str">
        <f t="shared" si="5"/>
        <v>10</v>
      </c>
    </row>
    <row r="103" spans="1:5" x14ac:dyDescent="0.25">
      <c r="A103" s="20">
        <v>48</v>
      </c>
      <c r="B103" s="21" t="s">
        <v>736</v>
      </c>
      <c r="C103" t="str">
        <f t="shared" si="3"/>
        <v>FS</v>
      </c>
      <c r="D103" t="str">
        <f t="shared" si="4"/>
        <v>4</v>
      </c>
      <c r="E103" t="str">
        <f t="shared" si="5"/>
        <v>10</v>
      </c>
    </row>
    <row r="104" spans="1:5" x14ac:dyDescent="0.25">
      <c r="A104" s="20">
        <v>79</v>
      </c>
      <c r="B104" s="21" t="s">
        <v>737</v>
      </c>
      <c r="C104" t="str">
        <f t="shared" si="3"/>
        <v>AA</v>
      </c>
      <c r="D104" t="str">
        <f t="shared" si="4"/>
        <v>1</v>
      </c>
      <c r="E104" t="str">
        <f t="shared" si="5"/>
        <v>10</v>
      </c>
    </row>
    <row r="105" spans="1:5" x14ac:dyDescent="0.25">
      <c r="A105" s="20">
        <v>80</v>
      </c>
      <c r="B105" s="21" t="s">
        <v>738</v>
      </c>
      <c r="C105" t="str">
        <f t="shared" si="3"/>
        <v>AA</v>
      </c>
      <c r="D105" t="str">
        <f t="shared" si="4"/>
        <v>2</v>
      </c>
      <c r="E105" t="str">
        <f t="shared" si="5"/>
        <v>10</v>
      </c>
    </row>
    <row r="106" spans="1:5" x14ac:dyDescent="0.25">
      <c r="A106" s="20">
        <v>81</v>
      </c>
      <c r="B106" s="21" t="s">
        <v>739</v>
      </c>
      <c r="C106" t="str">
        <f t="shared" si="3"/>
        <v>AA</v>
      </c>
      <c r="D106" t="str">
        <f t="shared" si="4"/>
        <v>4</v>
      </c>
      <c r="E106" t="str">
        <f t="shared" si="5"/>
        <v>10</v>
      </c>
    </row>
    <row r="107" spans="1:5" x14ac:dyDescent="0.25">
      <c r="A107" s="20">
        <v>82</v>
      </c>
      <c r="B107" s="21" t="s">
        <v>740</v>
      </c>
      <c r="C107" t="str">
        <f t="shared" si="3"/>
        <v>FS</v>
      </c>
      <c r="D107" t="str">
        <f t="shared" si="4"/>
        <v>1</v>
      </c>
      <c r="E107" t="str">
        <f t="shared" si="5"/>
        <v>10</v>
      </c>
    </row>
    <row r="108" spans="1:5" x14ac:dyDescent="0.25">
      <c r="A108" s="20">
        <v>83</v>
      </c>
      <c r="B108" s="21" t="s">
        <v>741</v>
      </c>
      <c r="C108" t="str">
        <f t="shared" si="3"/>
        <v>FS</v>
      </c>
      <c r="D108" t="str">
        <f t="shared" si="4"/>
        <v>2</v>
      </c>
      <c r="E108" t="str">
        <f t="shared" si="5"/>
        <v>10</v>
      </c>
    </row>
    <row r="109" spans="1:5" x14ac:dyDescent="0.25">
      <c r="A109" s="20">
        <v>84</v>
      </c>
      <c r="B109" s="21" t="s">
        <v>742</v>
      </c>
      <c r="C109" t="str">
        <f t="shared" si="3"/>
        <v>FS</v>
      </c>
      <c r="D109" t="str">
        <f t="shared" si="4"/>
        <v>4</v>
      </c>
      <c r="E109" t="str">
        <f t="shared" si="5"/>
        <v>10</v>
      </c>
    </row>
    <row r="110" spans="1:5" x14ac:dyDescent="0.25">
      <c r="A110" s="20">
        <v>115</v>
      </c>
      <c r="B110" s="21" t="s">
        <v>743</v>
      </c>
      <c r="C110" t="str">
        <f t="shared" si="3"/>
        <v>AA</v>
      </c>
      <c r="D110" t="str">
        <f t="shared" si="4"/>
        <v>1</v>
      </c>
      <c r="E110" t="str">
        <f t="shared" si="5"/>
        <v>10</v>
      </c>
    </row>
    <row r="111" spans="1:5" x14ac:dyDescent="0.25">
      <c r="A111" s="20">
        <v>116</v>
      </c>
      <c r="B111" s="21" t="s">
        <v>744</v>
      </c>
      <c r="C111" t="str">
        <f t="shared" si="3"/>
        <v>AA</v>
      </c>
      <c r="D111" t="str">
        <f t="shared" si="4"/>
        <v>2</v>
      </c>
      <c r="E111" t="str">
        <f t="shared" si="5"/>
        <v>10</v>
      </c>
    </row>
    <row r="112" spans="1:5" x14ac:dyDescent="0.25">
      <c r="A112" s="20">
        <v>117</v>
      </c>
      <c r="B112" s="21" t="s">
        <v>745</v>
      </c>
      <c r="C112" t="str">
        <f t="shared" si="3"/>
        <v>AA</v>
      </c>
      <c r="D112" t="str">
        <f t="shared" si="4"/>
        <v>4</v>
      </c>
      <c r="E112" t="str">
        <f t="shared" si="5"/>
        <v>10</v>
      </c>
    </row>
    <row r="113" spans="1:5" x14ac:dyDescent="0.25">
      <c r="A113" s="20">
        <v>118</v>
      </c>
      <c r="B113" s="21" t="s">
        <v>746</v>
      </c>
      <c r="C113" t="str">
        <f t="shared" si="3"/>
        <v>FS</v>
      </c>
      <c r="D113" t="str">
        <f t="shared" si="4"/>
        <v>1</v>
      </c>
      <c r="E113" t="str">
        <f t="shared" si="5"/>
        <v>10</v>
      </c>
    </row>
    <row r="114" spans="1:5" x14ac:dyDescent="0.25">
      <c r="A114" s="20">
        <v>119</v>
      </c>
      <c r="B114" s="21" t="s">
        <v>747</v>
      </c>
      <c r="C114" t="str">
        <f t="shared" si="3"/>
        <v>FS</v>
      </c>
      <c r="D114" t="str">
        <f t="shared" si="4"/>
        <v>2</v>
      </c>
      <c r="E114" t="str">
        <f t="shared" si="5"/>
        <v>10</v>
      </c>
    </row>
    <row r="115" spans="1:5" x14ac:dyDescent="0.25">
      <c r="A115" s="20">
        <v>120</v>
      </c>
      <c r="B115" s="21" t="s">
        <v>748</v>
      </c>
      <c r="C115" t="str">
        <f t="shared" si="3"/>
        <v>FS</v>
      </c>
      <c r="D115" t="str">
        <f t="shared" si="4"/>
        <v>4</v>
      </c>
      <c r="E115" t="str">
        <f t="shared" si="5"/>
        <v>10</v>
      </c>
    </row>
    <row r="116" spans="1:5" x14ac:dyDescent="0.25">
      <c r="A116" s="20">
        <v>127</v>
      </c>
      <c r="B116" s="21" t="s">
        <v>749</v>
      </c>
      <c r="C116" t="str">
        <f t="shared" si="3"/>
        <v>AA</v>
      </c>
      <c r="D116" t="str">
        <f t="shared" si="4"/>
        <v>1</v>
      </c>
      <c r="E116" t="str">
        <f t="shared" si="5"/>
        <v>10</v>
      </c>
    </row>
    <row r="117" spans="1:5" x14ac:dyDescent="0.25">
      <c r="A117" s="20">
        <v>128</v>
      </c>
      <c r="B117" s="21" t="s">
        <v>750</v>
      </c>
      <c r="C117" t="str">
        <f t="shared" si="3"/>
        <v>AA</v>
      </c>
      <c r="D117" t="str">
        <f t="shared" si="4"/>
        <v>2</v>
      </c>
      <c r="E117" t="str">
        <f t="shared" si="5"/>
        <v>10</v>
      </c>
    </row>
    <row r="118" spans="1:5" x14ac:dyDescent="0.25">
      <c r="A118" s="20">
        <v>129</v>
      </c>
      <c r="B118" s="21" t="s">
        <v>751</v>
      </c>
      <c r="C118" t="str">
        <f t="shared" si="3"/>
        <v>AA</v>
      </c>
      <c r="D118" t="str">
        <f t="shared" si="4"/>
        <v>4</v>
      </c>
      <c r="E118" t="str">
        <f t="shared" si="5"/>
        <v>10</v>
      </c>
    </row>
    <row r="119" spans="1:5" x14ac:dyDescent="0.25">
      <c r="A119" s="20">
        <v>130</v>
      </c>
      <c r="B119" s="21" t="s">
        <v>752</v>
      </c>
      <c r="C119" t="str">
        <f t="shared" si="3"/>
        <v>FS</v>
      </c>
      <c r="D119" t="str">
        <f t="shared" si="4"/>
        <v>1</v>
      </c>
      <c r="E119" t="str">
        <f t="shared" si="5"/>
        <v>10</v>
      </c>
    </row>
    <row r="120" spans="1:5" x14ac:dyDescent="0.25">
      <c r="A120" s="20">
        <v>131</v>
      </c>
      <c r="B120" s="21" t="s">
        <v>753</v>
      </c>
      <c r="C120" t="str">
        <f t="shared" si="3"/>
        <v>FS</v>
      </c>
      <c r="D120" t="str">
        <f t="shared" si="4"/>
        <v>2</v>
      </c>
      <c r="E120" t="str">
        <f t="shared" si="5"/>
        <v>10</v>
      </c>
    </row>
    <row r="121" spans="1:5" x14ac:dyDescent="0.25">
      <c r="A121" s="20">
        <v>132</v>
      </c>
      <c r="B121" s="21" t="s">
        <v>754</v>
      </c>
      <c r="C121" t="str">
        <f t="shared" si="3"/>
        <v>FS</v>
      </c>
      <c r="D121" t="str">
        <f t="shared" si="4"/>
        <v>4</v>
      </c>
      <c r="E121" t="str">
        <f t="shared" si="5"/>
        <v>10</v>
      </c>
    </row>
    <row r="122" spans="1:5" x14ac:dyDescent="0.25">
      <c r="A122" s="20">
        <v>140</v>
      </c>
      <c r="B122" s="21" t="s">
        <v>755</v>
      </c>
      <c r="C122" t="str">
        <f t="shared" si="3"/>
        <v>AA</v>
      </c>
      <c r="D122" t="str">
        <f t="shared" si="4"/>
        <v>1</v>
      </c>
      <c r="E122" t="str">
        <f t="shared" si="5"/>
        <v>10</v>
      </c>
    </row>
    <row r="123" spans="1:5" x14ac:dyDescent="0.25">
      <c r="A123" s="20">
        <v>141</v>
      </c>
      <c r="B123" s="21" t="s">
        <v>756</v>
      </c>
      <c r="C123" t="str">
        <f t="shared" si="3"/>
        <v>AA</v>
      </c>
      <c r="D123" t="str">
        <f t="shared" si="4"/>
        <v>2</v>
      </c>
      <c r="E123" t="str">
        <f t="shared" si="5"/>
        <v>10</v>
      </c>
    </row>
    <row r="124" spans="1:5" x14ac:dyDescent="0.25">
      <c r="A124" s="20">
        <v>142</v>
      </c>
      <c r="B124" s="21" t="s">
        <v>757</v>
      </c>
      <c r="C124" t="str">
        <f t="shared" si="3"/>
        <v>AA</v>
      </c>
      <c r="D124" t="str">
        <f t="shared" si="4"/>
        <v>4</v>
      </c>
      <c r="E124" t="str">
        <f t="shared" si="5"/>
        <v>10</v>
      </c>
    </row>
    <row r="125" spans="1:5" x14ac:dyDescent="0.25">
      <c r="A125" s="20">
        <v>143</v>
      </c>
      <c r="B125" s="21" t="s">
        <v>758</v>
      </c>
      <c r="C125" t="str">
        <f t="shared" si="3"/>
        <v>FS</v>
      </c>
      <c r="D125" t="str">
        <f t="shared" si="4"/>
        <v>1</v>
      </c>
      <c r="E125" t="str">
        <f t="shared" si="5"/>
        <v>10</v>
      </c>
    </row>
    <row r="126" spans="1:5" x14ac:dyDescent="0.25">
      <c r="A126" s="20">
        <v>144</v>
      </c>
      <c r="B126" s="21" t="s">
        <v>759</v>
      </c>
      <c r="C126" t="str">
        <f t="shared" si="3"/>
        <v>FS</v>
      </c>
      <c r="D126" t="str">
        <f t="shared" si="4"/>
        <v>2</v>
      </c>
      <c r="E126" t="str">
        <f t="shared" si="5"/>
        <v>10</v>
      </c>
    </row>
    <row r="127" spans="1:5" x14ac:dyDescent="0.25">
      <c r="A127" s="20">
        <v>145</v>
      </c>
      <c r="B127" s="21" t="s">
        <v>760</v>
      </c>
      <c r="C127" t="str">
        <f t="shared" si="3"/>
        <v>FS</v>
      </c>
      <c r="D127" t="str">
        <f t="shared" si="4"/>
        <v>4</v>
      </c>
      <c r="E127" t="str">
        <f t="shared" si="5"/>
        <v>10</v>
      </c>
    </row>
    <row r="128" spans="1:5" x14ac:dyDescent="0.25">
      <c r="A128" s="20">
        <v>152</v>
      </c>
      <c r="B128" s="21" t="s">
        <v>761</v>
      </c>
      <c r="C128" t="str">
        <f t="shared" si="3"/>
        <v>AA</v>
      </c>
      <c r="D128" t="str">
        <f t="shared" si="4"/>
        <v>1</v>
      </c>
      <c r="E128" t="str">
        <f t="shared" si="5"/>
        <v>10</v>
      </c>
    </row>
    <row r="129" spans="1:5" x14ac:dyDescent="0.25">
      <c r="A129" s="20">
        <v>153</v>
      </c>
      <c r="B129" s="21" t="s">
        <v>762</v>
      </c>
      <c r="C129" t="str">
        <f t="shared" si="3"/>
        <v>AA</v>
      </c>
      <c r="D129" t="str">
        <f t="shared" si="4"/>
        <v>2</v>
      </c>
      <c r="E129" t="str">
        <f t="shared" si="5"/>
        <v>10</v>
      </c>
    </row>
    <row r="130" spans="1:5" x14ac:dyDescent="0.25">
      <c r="A130" s="20">
        <v>154</v>
      </c>
      <c r="B130" s="21" t="s">
        <v>763</v>
      </c>
      <c r="C130" t="str">
        <f t="shared" si="3"/>
        <v>AA</v>
      </c>
      <c r="D130" t="str">
        <f t="shared" si="4"/>
        <v>4</v>
      </c>
      <c r="E130" t="str">
        <f t="shared" si="5"/>
        <v>10</v>
      </c>
    </row>
    <row r="131" spans="1:5" x14ac:dyDescent="0.25">
      <c r="A131" s="20">
        <v>155</v>
      </c>
      <c r="B131" s="21" t="s">
        <v>764</v>
      </c>
      <c r="C131" t="str">
        <f t="shared" ref="C131:C194" si="6">RIGHT(LEFT(B131,11),2)</f>
        <v>FS</v>
      </c>
      <c r="D131" t="str">
        <f t="shared" ref="D131:D194" si="7">RIGHT(LEFT(B131,9),1)</f>
        <v>1</v>
      </c>
      <c r="E131" t="str">
        <f t="shared" ref="E131:E194" si="8">LEFT(B131,2)</f>
        <v>10</v>
      </c>
    </row>
    <row r="132" spans="1:5" x14ac:dyDescent="0.25">
      <c r="A132" s="20">
        <v>156</v>
      </c>
      <c r="B132" s="21" t="s">
        <v>765</v>
      </c>
      <c r="C132" t="str">
        <f t="shared" si="6"/>
        <v>FS</v>
      </c>
      <c r="D132" t="str">
        <f t="shared" si="7"/>
        <v>2</v>
      </c>
      <c r="E132" t="str">
        <f t="shared" si="8"/>
        <v>10</v>
      </c>
    </row>
    <row r="133" spans="1:5" x14ac:dyDescent="0.25">
      <c r="A133" s="20">
        <v>157</v>
      </c>
      <c r="B133" s="21" t="s">
        <v>766</v>
      </c>
      <c r="C133" t="str">
        <f t="shared" si="6"/>
        <v>FS</v>
      </c>
      <c r="D133" t="str">
        <f t="shared" si="7"/>
        <v>4</v>
      </c>
      <c r="E133" t="str">
        <f t="shared" si="8"/>
        <v>10</v>
      </c>
    </row>
    <row r="134" spans="1:5" x14ac:dyDescent="0.25">
      <c r="A134" s="26">
        <v>164</v>
      </c>
      <c r="B134" s="25" t="s">
        <v>767</v>
      </c>
      <c r="C134" t="str">
        <f t="shared" si="6"/>
        <v>AA</v>
      </c>
      <c r="D134" t="str">
        <f t="shared" si="7"/>
        <v>1</v>
      </c>
      <c r="E134" t="str">
        <f t="shared" si="8"/>
        <v>10</v>
      </c>
    </row>
    <row r="135" spans="1:5" x14ac:dyDescent="0.25">
      <c r="A135" s="20">
        <v>165</v>
      </c>
      <c r="B135" s="21" t="s">
        <v>768</v>
      </c>
      <c r="C135" t="str">
        <f t="shared" si="6"/>
        <v>AA</v>
      </c>
      <c r="D135" t="str">
        <f t="shared" si="7"/>
        <v>2</v>
      </c>
      <c r="E135" t="str">
        <f t="shared" si="8"/>
        <v>10</v>
      </c>
    </row>
    <row r="136" spans="1:5" x14ac:dyDescent="0.25">
      <c r="A136" s="20">
        <v>166</v>
      </c>
      <c r="B136" s="21" t="s">
        <v>769</v>
      </c>
      <c r="C136" t="str">
        <f t="shared" si="6"/>
        <v>AA</v>
      </c>
      <c r="D136" t="str">
        <f t="shared" si="7"/>
        <v>4</v>
      </c>
      <c r="E136" t="str">
        <f t="shared" si="8"/>
        <v>10</v>
      </c>
    </row>
    <row r="137" spans="1:5" x14ac:dyDescent="0.25">
      <c r="A137" s="20">
        <v>167</v>
      </c>
      <c r="B137" s="21" t="s">
        <v>770</v>
      </c>
      <c r="C137" t="str">
        <f t="shared" si="6"/>
        <v>FS</v>
      </c>
      <c r="D137" t="str">
        <f t="shared" si="7"/>
        <v>1</v>
      </c>
      <c r="E137" t="str">
        <f t="shared" si="8"/>
        <v>10</v>
      </c>
    </row>
    <row r="138" spans="1:5" x14ac:dyDescent="0.25">
      <c r="A138" s="20">
        <v>168</v>
      </c>
      <c r="B138" s="21" t="s">
        <v>771</v>
      </c>
      <c r="C138" t="str">
        <f t="shared" si="6"/>
        <v>FS</v>
      </c>
      <c r="D138" t="str">
        <f t="shared" si="7"/>
        <v>2</v>
      </c>
      <c r="E138" t="str">
        <f t="shared" si="8"/>
        <v>10</v>
      </c>
    </row>
    <row r="139" spans="1:5" x14ac:dyDescent="0.25">
      <c r="A139" s="20">
        <v>169</v>
      </c>
      <c r="B139" s="21" t="s">
        <v>772</v>
      </c>
      <c r="C139" t="str">
        <f t="shared" si="6"/>
        <v>FS</v>
      </c>
      <c r="D139" t="str">
        <f t="shared" si="7"/>
        <v>4</v>
      </c>
      <c r="E139" t="str">
        <f t="shared" si="8"/>
        <v>10</v>
      </c>
    </row>
    <row r="140" spans="1:5" x14ac:dyDescent="0.25">
      <c r="A140" s="20">
        <v>176</v>
      </c>
      <c r="B140" s="21" t="s">
        <v>773</v>
      </c>
      <c r="C140" t="str">
        <f t="shared" si="6"/>
        <v>AA</v>
      </c>
      <c r="D140" t="str">
        <f t="shared" si="7"/>
        <v>1</v>
      </c>
      <c r="E140" t="str">
        <f t="shared" si="8"/>
        <v>10</v>
      </c>
    </row>
    <row r="141" spans="1:5" x14ac:dyDescent="0.25">
      <c r="A141" s="20">
        <v>177</v>
      </c>
      <c r="B141" s="21" t="s">
        <v>774</v>
      </c>
      <c r="C141" t="str">
        <f t="shared" si="6"/>
        <v>AA</v>
      </c>
      <c r="D141" t="str">
        <f t="shared" si="7"/>
        <v>2</v>
      </c>
      <c r="E141" t="str">
        <f t="shared" si="8"/>
        <v>10</v>
      </c>
    </row>
    <row r="142" spans="1:5" x14ac:dyDescent="0.25">
      <c r="A142" s="20">
        <v>178</v>
      </c>
      <c r="B142" s="21" t="s">
        <v>775</v>
      </c>
      <c r="C142" t="str">
        <f t="shared" si="6"/>
        <v>AA</v>
      </c>
      <c r="D142" t="str">
        <f t="shared" si="7"/>
        <v>4</v>
      </c>
      <c r="E142" t="str">
        <f t="shared" si="8"/>
        <v>10</v>
      </c>
    </row>
    <row r="143" spans="1:5" x14ac:dyDescent="0.25">
      <c r="A143" s="20">
        <v>179</v>
      </c>
      <c r="B143" s="21" t="s">
        <v>776</v>
      </c>
      <c r="C143" t="str">
        <f t="shared" si="6"/>
        <v>FS</v>
      </c>
      <c r="D143" t="str">
        <f t="shared" si="7"/>
        <v>1</v>
      </c>
      <c r="E143" t="str">
        <f t="shared" si="8"/>
        <v>10</v>
      </c>
    </row>
    <row r="144" spans="1:5" x14ac:dyDescent="0.25">
      <c r="A144" s="20">
        <v>180</v>
      </c>
      <c r="B144" s="21" t="s">
        <v>777</v>
      </c>
      <c r="C144" t="str">
        <f t="shared" si="6"/>
        <v>FS</v>
      </c>
      <c r="D144" t="str">
        <f t="shared" si="7"/>
        <v>2</v>
      </c>
      <c r="E144" t="str">
        <f t="shared" si="8"/>
        <v>10</v>
      </c>
    </row>
    <row r="145" spans="1:5" x14ac:dyDescent="0.25">
      <c r="A145" s="20">
        <v>181</v>
      </c>
      <c r="B145" s="21" t="s">
        <v>778</v>
      </c>
      <c r="C145" t="str">
        <f t="shared" si="6"/>
        <v>FS</v>
      </c>
      <c r="D145" t="str">
        <f t="shared" si="7"/>
        <v>4</v>
      </c>
      <c r="E145" t="str">
        <f t="shared" si="8"/>
        <v>10</v>
      </c>
    </row>
    <row r="146" spans="1:5" x14ac:dyDescent="0.25">
      <c r="A146" s="20">
        <v>188</v>
      </c>
      <c r="B146" s="21" t="s">
        <v>779</v>
      </c>
      <c r="C146" t="str">
        <f t="shared" si="6"/>
        <v>AA</v>
      </c>
      <c r="D146" t="str">
        <f t="shared" si="7"/>
        <v>1</v>
      </c>
      <c r="E146" t="str">
        <f t="shared" si="8"/>
        <v>10</v>
      </c>
    </row>
    <row r="147" spans="1:5" x14ac:dyDescent="0.25">
      <c r="A147" s="20">
        <v>189</v>
      </c>
      <c r="B147" s="21" t="s">
        <v>780</v>
      </c>
      <c r="C147" t="str">
        <f t="shared" si="6"/>
        <v>AA</v>
      </c>
      <c r="D147" t="str">
        <f t="shared" si="7"/>
        <v>2</v>
      </c>
      <c r="E147" t="str">
        <f t="shared" si="8"/>
        <v>10</v>
      </c>
    </row>
    <row r="148" spans="1:5" x14ac:dyDescent="0.25">
      <c r="A148" s="20">
        <v>190</v>
      </c>
      <c r="B148" s="21" t="s">
        <v>781</v>
      </c>
      <c r="C148" t="str">
        <f t="shared" si="6"/>
        <v>AA</v>
      </c>
      <c r="D148" t="str">
        <f t="shared" si="7"/>
        <v>4</v>
      </c>
      <c r="E148" t="str">
        <f t="shared" si="8"/>
        <v>10</v>
      </c>
    </row>
    <row r="149" spans="1:5" x14ac:dyDescent="0.25">
      <c r="A149" s="20">
        <v>191</v>
      </c>
      <c r="B149" s="21" t="s">
        <v>782</v>
      </c>
      <c r="C149" t="str">
        <f t="shared" si="6"/>
        <v>FS</v>
      </c>
      <c r="D149" t="str">
        <f t="shared" si="7"/>
        <v>1</v>
      </c>
      <c r="E149" t="str">
        <f t="shared" si="8"/>
        <v>10</v>
      </c>
    </row>
    <row r="150" spans="1:5" x14ac:dyDescent="0.25">
      <c r="A150" s="20">
        <v>192</v>
      </c>
      <c r="B150" s="21" t="s">
        <v>783</v>
      </c>
      <c r="C150" t="str">
        <f t="shared" si="6"/>
        <v>FS</v>
      </c>
      <c r="D150" t="str">
        <f t="shared" si="7"/>
        <v>2</v>
      </c>
      <c r="E150" t="str">
        <f t="shared" si="8"/>
        <v>10</v>
      </c>
    </row>
    <row r="151" spans="1:5" x14ac:dyDescent="0.25">
      <c r="A151" s="20">
        <v>193</v>
      </c>
      <c r="B151" s="21" t="s">
        <v>784</v>
      </c>
      <c r="C151" t="str">
        <f t="shared" si="6"/>
        <v>FS</v>
      </c>
      <c r="D151" t="str">
        <f t="shared" si="7"/>
        <v>4</v>
      </c>
      <c r="E151" t="str">
        <f t="shared" si="8"/>
        <v>10</v>
      </c>
    </row>
    <row r="152" spans="1:5" x14ac:dyDescent="0.25">
      <c r="A152" s="20">
        <v>330</v>
      </c>
      <c r="B152" s="21" t="s">
        <v>785</v>
      </c>
      <c r="C152" t="str">
        <f t="shared" si="6"/>
        <v>AA</v>
      </c>
      <c r="D152" t="str">
        <f t="shared" si="7"/>
        <v>1</v>
      </c>
      <c r="E152" t="str">
        <f t="shared" si="8"/>
        <v>10</v>
      </c>
    </row>
    <row r="153" spans="1:5" x14ac:dyDescent="0.25">
      <c r="A153" s="20">
        <v>332</v>
      </c>
      <c r="B153" s="21" t="s">
        <v>786</v>
      </c>
      <c r="C153" t="str">
        <f t="shared" si="6"/>
        <v>AA</v>
      </c>
      <c r="D153" t="str">
        <f t="shared" si="7"/>
        <v>2</v>
      </c>
      <c r="E153" t="str">
        <f t="shared" si="8"/>
        <v>10</v>
      </c>
    </row>
    <row r="154" spans="1:5" x14ac:dyDescent="0.25">
      <c r="A154" s="20">
        <v>334</v>
      </c>
      <c r="B154" s="21" t="s">
        <v>787</v>
      </c>
      <c r="C154" t="str">
        <f t="shared" si="6"/>
        <v>AA</v>
      </c>
      <c r="D154" t="str">
        <f t="shared" si="7"/>
        <v>4</v>
      </c>
      <c r="E154" t="str">
        <f t="shared" si="8"/>
        <v>10</v>
      </c>
    </row>
    <row r="155" spans="1:5" x14ac:dyDescent="0.25">
      <c r="A155" s="20">
        <v>336</v>
      </c>
      <c r="B155" s="21" t="s">
        <v>788</v>
      </c>
      <c r="C155" t="str">
        <f t="shared" si="6"/>
        <v>FS</v>
      </c>
      <c r="D155" t="str">
        <f t="shared" si="7"/>
        <v>1</v>
      </c>
      <c r="E155" t="str">
        <f t="shared" si="8"/>
        <v>10</v>
      </c>
    </row>
    <row r="156" spans="1:5" x14ac:dyDescent="0.25">
      <c r="A156" s="20">
        <v>338</v>
      </c>
      <c r="B156" s="21" t="s">
        <v>789</v>
      </c>
      <c r="C156" t="str">
        <f t="shared" si="6"/>
        <v>FS</v>
      </c>
      <c r="D156" t="str">
        <f t="shared" si="7"/>
        <v>2</v>
      </c>
      <c r="E156" t="str">
        <f t="shared" si="8"/>
        <v>10</v>
      </c>
    </row>
    <row r="157" spans="1:5" x14ac:dyDescent="0.25">
      <c r="A157" s="20">
        <v>340</v>
      </c>
      <c r="B157" s="21" t="s">
        <v>790</v>
      </c>
      <c r="C157" t="str">
        <f t="shared" si="6"/>
        <v>FS</v>
      </c>
      <c r="D157" t="str">
        <f t="shared" si="7"/>
        <v>4</v>
      </c>
      <c r="E157" t="str">
        <f t="shared" si="8"/>
        <v>10</v>
      </c>
    </row>
    <row r="158" spans="1:5" x14ac:dyDescent="0.25">
      <c r="A158" s="20">
        <v>348</v>
      </c>
      <c r="B158" s="21" t="s">
        <v>791</v>
      </c>
      <c r="C158" t="str">
        <f t="shared" si="6"/>
        <v>AA</v>
      </c>
      <c r="D158" t="str">
        <f t="shared" si="7"/>
        <v>1</v>
      </c>
      <c r="E158" t="str">
        <f t="shared" si="8"/>
        <v>10</v>
      </c>
    </row>
    <row r="159" spans="1:5" x14ac:dyDescent="0.25">
      <c r="A159" s="20">
        <v>350</v>
      </c>
      <c r="B159" s="21" t="s">
        <v>792</v>
      </c>
      <c r="C159" t="str">
        <f t="shared" si="6"/>
        <v>AA</v>
      </c>
      <c r="D159" t="str">
        <f t="shared" si="7"/>
        <v>2</v>
      </c>
      <c r="E159" t="str">
        <f t="shared" si="8"/>
        <v>10</v>
      </c>
    </row>
    <row r="160" spans="1:5" x14ac:dyDescent="0.25">
      <c r="A160" s="20">
        <v>352</v>
      </c>
      <c r="B160" s="21" t="s">
        <v>793</v>
      </c>
      <c r="C160" t="str">
        <f t="shared" si="6"/>
        <v>AA</v>
      </c>
      <c r="D160" t="str">
        <f t="shared" si="7"/>
        <v>4</v>
      </c>
      <c r="E160" t="str">
        <f t="shared" si="8"/>
        <v>10</v>
      </c>
    </row>
    <row r="161" spans="1:5" x14ac:dyDescent="0.25">
      <c r="A161" s="20">
        <v>354</v>
      </c>
      <c r="B161" s="21" t="s">
        <v>794</v>
      </c>
      <c r="C161" t="str">
        <f t="shared" si="6"/>
        <v>FS</v>
      </c>
      <c r="D161" t="str">
        <f t="shared" si="7"/>
        <v>1</v>
      </c>
      <c r="E161" t="str">
        <f t="shared" si="8"/>
        <v>10</v>
      </c>
    </row>
    <row r="162" spans="1:5" x14ac:dyDescent="0.25">
      <c r="A162" s="20">
        <v>356</v>
      </c>
      <c r="B162" s="21" t="s">
        <v>795</v>
      </c>
      <c r="C162" t="str">
        <f t="shared" si="6"/>
        <v>FS</v>
      </c>
      <c r="D162" t="str">
        <f t="shared" si="7"/>
        <v>2</v>
      </c>
      <c r="E162" t="str">
        <f t="shared" si="8"/>
        <v>10</v>
      </c>
    </row>
    <row r="163" spans="1:5" x14ac:dyDescent="0.25">
      <c r="A163" s="20">
        <v>358</v>
      </c>
      <c r="B163" s="21" t="s">
        <v>796</v>
      </c>
      <c r="C163" t="str">
        <f t="shared" si="6"/>
        <v>FS</v>
      </c>
      <c r="D163" t="str">
        <f t="shared" si="7"/>
        <v>4</v>
      </c>
      <c r="E163" t="str">
        <f t="shared" si="8"/>
        <v>10</v>
      </c>
    </row>
    <row r="164" spans="1:5" x14ac:dyDescent="0.25">
      <c r="A164" s="20">
        <v>366</v>
      </c>
      <c r="B164" s="21" t="s">
        <v>797</v>
      </c>
      <c r="C164" t="str">
        <f t="shared" si="6"/>
        <v>AA</v>
      </c>
      <c r="D164" t="str">
        <f t="shared" si="7"/>
        <v>1</v>
      </c>
      <c r="E164" t="str">
        <f t="shared" si="8"/>
        <v>10</v>
      </c>
    </row>
    <row r="165" spans="1:5" x14ac:dyDescent="0.25">
      <c r="A165" s="20">
        <v>368</v>
      </c>
      <c r="B165" s="21" t="s">
        <v>798</v>
      </c>
      <c r="C165" t="str">
        <f t="shared" si="6"/>
        <v>AA</v>
      </c>
      <c r="D165" t="str">
        <f t="shared" si="7"/>
        <v>2</v>
      </c>
      <c r="E165" t="str">
        <f t="shared" si="8"/>
        <v>10</v>
      </c>
    </row>
    <row r="166" spans="1:5" x14ac:dyDescent="0.25">
      <c r="A166" s="20">
        <v>370</v>
      </c>
      <c r="B166" s="21" t="s">
        <v>799</v>
      </c>
      <c r="C166" t="str">
        <f t="shared" si="6"/>
        <v>AA</v>
      </c>
      <c r="D166" t="str">
        <f t="shared" si="7"/>
        <v>4</v>
      </c>
      <c r="E166" t="str">
        <f t="shared" si="8"/>
        <v>10</v>
      </c>
    </row>
    <row r="167" spans="1:5" x14ac:dyDescent="0.25">
      <c r="A167" s="20">
        <v>372</v>
      </c>
      <c r="B167" s="21" t="s">
        <v>800</v>
      </c>
      <c r="C167" t="str">
        <f t="shared" si="6"/>
        <v>FS</v>
      </c>
      <c r="D167" t="str">
        <f t="shared" si="7"/>
        <v>1</v>
      </c>
      <c r="E167" t="str">
        <f t="shared" si="8"/>
        <v>10</v>
      </c>
    </row>
    <row r="168" spans="1:5" x14ac:dyDescent="0.25">
      <c r="A168" s="20">
        <v>374</v>
      </c>
      <c r="B168" s="21" t="s">
        <v>801</v>
      </c>
      <c r="C168" t="str">
        <f t="shared" si="6"/>
        <v>FS</v>
      </c>
      <c r="D168" t="str">
        <f t="shared" si="7"/>
        <v>2</v>
      </c>
      <c r="E168" t="str">
        <f t="shared" si="8"/>
        <v>10</v>
      </c>
    </row>
    <row r="169" spans="1:5" x14ac:dyDescent="0.25">
      <c r="A169" s="20">
        <v>376</v>
      </c>
      <c r="B169" s="21" t="s">
        <v>802</v>
      </c>
      <c r="C169" t="str">
        <f t="shared" si="6"/>
        <v>FS</v>
      </c>
      <c r="D169" t="str">
        <f t="shared" si="7"/>
        <v>4</v>
      </c>
      <c r="E169" t="str">
        <f t="shared" si="8"/>
        <v>10</v>
      </c>
    </row>
    <row r="170" spans="1:5" x14ac:dyDescent="0.25">
      <c r="A170" s="20">
        <v>384</v>
      </c>
      <c r="B170" s="21" t="s">
        <v>803</v>
      </c>
      <c r="C170" t="str">
        <f t="shared" si="6"/>
        <v>AA</v>
      </c>
      <c r="D170" t="str">
        <f t="shared" si="7"/>
        <v>1</v>
      </c>
      <c r="E170" t="str">
        <f t="shared" si="8"/>
        <v>10</v>
      </c>
    </row>
    <row r="171" spans="1:5" x14ac:dyDescent="0.25">
      <c r="A171" s="20">
        <v>386</v>
      </c>
      <c r="B171" s="21" t="s">
        <v>804</v>
      </c>
      <c r="C171" t="str">
        <f t="shared" si="6"/>
        <v>AA</v>
      </c>
      <c r="D171" t="str">
        <f t="shared" si="7"/>
        <v>2</v>
      </c>
      <c r="E171" t="str">
        <f t="shared" si="8"/>
        <v>10</v>
      </c>
    </row>
    <row r="172" spans="1:5" x14ac:dyDescent="0.25">
      <c r="A172" s="20">
        <v>388</v>
      </c>
      <c r="B172" s="21" t="s">
        <v>805</v>
      </c>
      <c r="C172" t="str">
        <f t="shared" si="6"/>
        <v>AA</v>
      </c>
      <c r="D172" t="str">
        <f t="shared" si="7"/>
        <v>4</v>
      </c>
      <c r="E172" t="str">
        <f t="shared" si="8"/>
        <v>10</v>
      </c>
    </row>
    <row r="173" spans="1:5" x14ac:dyDescent="0.25">
      <c r="A173" s="20">
        <v>390</v>
      </c>
      <c r="B173" s="21" t="s">
        <v>806</v>
      </c>
      <c r="C173" t="str">
        <f t="shared" si="6"/>
        <v>FS</v>
      </c>
      <c r="D173" t="str">
        <f t="shared" si="7"/>
        <v>1</v>
      </c>
      <c r="E173" t="str">
        <f t="shared" si="8"/>
        <v>10</v>
      </c>
    </row>
    <row r="174" spans="1:5" x14ac:dyDescent="0.25">
      <c r="A174" s="20">
        <v>392</v>
      </c>
      <c r="B174" s="21" t="s">
        <v>807</v>
      </c>
      <c r="C174" t="str">
        <f t="shared" si="6"/>
        <v>FS</v>
      </c>
      <c r="D174" t="str">
        <f t="shared" si="7"/>
        <v>2</v>
      </c>
      <c r="E174" t="str">
        <f t="shared" si="8"/>
        <v>10</v>
      </c>
    </row>
    <row r="175" spans="1:5" x14ac:dyDescent="0.25">
      <c r="A175" s="20">
        <v>394</v>
      </c>
      <c r="B175" s="21" t="s">
        <v>808</v>
      </c>
      <c r="C175" t="str">
        <f t="shared" si="6"/>
        <v>FS</v>
      </c>
      <c r="D175" t="str">
        <f t="shared" si="7"/>
        <v>4</v>
      </c>
      <c r="E175" t="str">
        <f t="shared" si="8"/>
        <v>10</v>
      </c>
    </row>
    <row r="176" spans="1:5" x14ac:dyDescent="0.25">
      <c r="A176" s="20">
        <v>402</v>
      </c>
      <c r="B176" s="21" t="s">
        <v>809</v>
      </c>
      <c r="C176" t="str">
        <f t="shared" si="6"/>
        <v>AA</v>
      </c>
      <c r="D176" t="str">
        <f t="shared" si="7"/>
        <v>1</v>
      </c>
      <c r="E176" t="str">
        <f t="shared" si="8"/>
        <v>10</v>
      </c>
    </row>
    <row r="177" spans="1:5" x14ac:dyDescent="0.25">
      <c r="A177" s="20">
        <v>404</v>
      </c>
      <c r="B177" s="21" t="s">
        <v>810</v>
      </c>
      <c r="C177" t="str">
        <f t="shared" si="6"/>
        <v>AA</v>
      </c>
      <c r="D177" t="str">
        <f t="shared" si="7"/>
        <v>2</v>
      </c>
      <c r="E177" t="str">
        <f t="shared" si="8"/>
        <v>10</v>
      </c>
    </row>
    <row r="178" spans="1:5" x14ac:dyDescent="0.25">
      <c r="A178" s="20">
        <v>406</v>
      </c>
      <c r="B178" s="21" t="s">
        <v>811</v>
      </c>
      <c r="C178" t="str">
        <f t="shared" si="6"/>
        <v>AA</v>
      </c>
      <c r="D178" t="str">
        <f t="shared" si="7"/>
        <v>4</v>
      </c>
      <c r="E178" t="str">
        <f t="shared" si="8"/>
        <v>10</v>
      </c>
    </row>
    <row r="179" spans="1:5" x14ac:dyDescent="0.25">
      <c r="A179" s="20">
        <v>408</v>
      </c>
      <c r="B179" s="21" t="s">
        <v>812</v>
      </c>
      <c r="C179" t="str">
        <f t="shared" si="6"/>
        <v>FS</v>
      </c>
      <c r="D179" t="str">
        <f t="shared" si="7"/>
        <v>1</v>
      </c>
      <c r="E179" t="str">
        <f t="shared" si="8"/>
        <v>10</v>
      </c>
    </row>
    <row r="180" spans="1:5" x14ac:dyDescent="0.25">
      <c r="A180" s="20">
        <v>410</v>
      </c>
      <c r="B180" s="21" t="s">
        <v>813</v>
      </c>
      <c r="C180" t="str">
        <f t="shared" si="6"/>
        <v>FS</v>
      </c>
      <c r="D180" t="str">
        <f t="shared" si="7"/>
        <v>2</v>
      </c>
      <c r="E180" t="str">
        <f t="shared" si="8"/>
        <v>10</v>
      </c>
    </row>
    <row r="181" spans="1:5" x14ac:dyDescent="0.25">
      <c r="A181" s="20">
        <v>412</v>
      </c>
      <c r="B181" s="21" t="s">
        <v>814</v>
      </c>
      <c r="C181" t="str">
        <f t="shared" si="6"/>
        <v>FS</v>
      </c>
      <c r="D181" t="str">
        <f t="shared" si="7"/>
        <v>4</v>
      </c>
      <c r="E181" t="str">
        <f t="shared" si="8"/>
        <v>10</v>
      </c>
    </row>
    <row r="182" spans="1:5" x14ac:dyDescent="0.25">
      <c r="A182" s="20">
        <v>331</v>
      </c>
      <c r="B182" s="21" t="s">
        <v>815</v>
      </c>
      <c r="C182" t="str">
        <f t="shared" si="6"/>
        <v>AA</v>
      </c>
      <c r="D182" t="str">
        <f t="shared" si="7"/>
        <v>1</v>
      </c>
      <c r="E182" t="str">
        <f t="shared" si="8"/>
        <v>10</v>
      </c>
    </row>
    <row r="183" spans="1:5" x14ac:dyDescent="0.25">
      <c r="A183" s="20">
        <v>333</v>
      </c>
      <c r="B183" s="21" t="s">
        <v>816</v>
      </c>
      <c r="C183" t="str">
        <f t="shared" si="6"/>
        <v>AA</v>
      </c>
      <c r="D183" t="str">
        <f t="shared" si="7"/>
        <v>2</v>
      </c>
      <c r="E183" t="str">
        <f t="shared" si="8"/>
        <v>10</v>
      </c>
    </row>
    <row r="184" spans="1:5" x14ac:dyDescent="0.25">
      <c r="A184" s="20">
        <v>335</v>
      </c>
      <c r="B184" s="21" t="s">
        <v>817</v>
      </c>
      <c r="C184" t="str">
        <f t="shared" si="6"/>
        <v>AA</v>
      </c>
      <c r="D184" t="str">
        <f t="shared" si="7"/>
        <v>4</v>
      </c>
      <c r="E184" t="str">
        <f t="shared" si="8"/>
        <v>10</v>
      </c>
    </row>
    <row r="185" spans="1:5" x14ac:dyDescent="0.25">
      <c r="A185" s="20">
        <v>337</v>
      </c>
      <c r="B185" s="21" t="s">
        <v>818</v>
      </c>
      <c r="C185" t="str">
        <f t="shared" si="6"/>
        <v>FS</v>
      </c>
      <c r="D185" t="str">
        <f t="shared" si="7"/>
        <v>1</v>
      </c>
      <c r="E185" t="str">
        <f t="shared" si="8"/>
        <v>10</v>
      </c>
    </row>
    <row r="186" spans="1:5" x14ac:dyDescent="0.25">
      <c r="A186" s="20">
        <v>339</v>
      </c>
      <c r="B186" s="21" t="s">
        <v>819</v>
      </c>
      <c r="C186" t="str">
        <f t="shared" si="6"/>
        <v>FS</v>
      </c>
      <c r="D186" t="str">
        <f t="shared" si="7"/>
        <v>2</v>
      </c>
      <c r="E186" t="str">
        <f t="shared" si="8"/>
        <v>10</v>
      </c>
    </row>
    <row r="187" spans="1:5" x14ac:dyDescent="0.25">
      <c r="A187" s="20">
        <v>341</v>
      </c>
      <c r="B187" s="21" t="s">
        <v>820</v>
      </c>
      <c r="C187" t="str">
        <f t="shared" si="6"/>
        <v>FS</v>
      </c>
      <c r="D187" t="str">
        <f t="shared" si="7"/>
        <v>4</v>
      </c>
      <c r="E187" t="str">
        <f t="shared" si="8"/>
        <v>10</v>
      </c>
    </row>
    <row r="188" spans="1:5" x14ac:dyDescent="0.25">
      <c r="A188" s="20">
        <v>349</v>
      </c>
      <c r="B188" s="21" t="s">
        <v>821</v>
      </c>
      <c r="C188" t="str">
        <f t="shared" si="6"/>
        <v>AA</v>
      </c>
      <c r="D188" t="str">
        <f t="shared" si="7"/>
        <v>1</v>
      </c>
      <c r="E188" t="str">
        <f t="shared" si="8"/>
        <v>10</v>
      </c>
    </row>
    <row r="189" spans="1:5" x14ac:dyDescent="0.25">
      <c r="A189" s="20">
        <v>351</v>
      </c>
      <c r="B189" s="21" t="s">
        <v>822</v>
      </c>
      <c r="C189" t="str">
        <f t="shared" si="6"/>
        <v>AA</v>
      </c>
      <c r="D189" t="str">
        <f t="shared" si="7"/>
        <v>2</v>
      </c>
      <c r="E189" t="str">
        <f t="shared" si="8"/>
        <v>10</v>
      </c>
    </row>
    <row r="190" spans="1:5" x14ac:dyDescent="0.25">
      <c r="A190" s="20">
        <v>353</v>
      </c>
      <c r="B190" s="21" t="s">
        <v>823</v>
      </c>
      <c r="C190" t="str">
        <f t="shared" si="6"/>
        <v>AA</v>
      </c>
      <c r="D190" t="str">
        <f t="shared" si="7"/>
        <v>4</v>
      </c>
      <c r="E190" t="str">
        <f t="shared" si="8"/>
        <v>10</v>
      </c>
    </row>
    <row r="191" spans="1:5" x14ac:dyDescent="0.25">
      <c r="A191" s="20">
        <v>355</v>
      </c>
      <c r="B191" s="21" t="s">
        <v>824</v>
      </c>
      <c r="C191" t="str">
        <f t="shared" si="6"/>
        <v>FS</v>
      </c>
      <c r="D191" t="str">
        <f t="shared" si="7"/>
        <v>1</v>
      </c>
      <c r="E191" t="str">
        <f t="shared" si="8"/>
        <v>10</v>
      </c>
    </row>
    <row r="192" spans="1:5" x14ac:dyDescent="0.25">
      <c r="A192" s="20">
        <v>357</v>
      </c>
      <c r="B192" s="21" t="s">
        <v>825</v>
      </c>
      <c r="C192" t="str">
        <f t="shared" si="6"/>
        <v>FS</v>
      </c>
      <c r="D192" t="str">
        <f t="shared" si="7"/>
        <v>2</v>
      </c>
      <c r="E192" t="str">
        <f t="shared" si="8"/>
        <v>10</v>
      </c>
    </row>
    <row r="193" spans="1:5" x14ac:dyDescent="0.25">
      <c r="A193" s="27">
        <v>359</v>
      </c>
      <c r="B193" s="28" t="s">
        <v>826</v>
      </c>
      <c r="C193" t="str">
        <f t="shared" si="6"/>
        <v>FS</v>
      </c>
      <c r="D193" t="str">
        <f t="shared" si="7"/>
        <v>4</v>
      </c>
      <c r="E193" t="str">
        <f t="shared" si="8"/>
        <v>10</v>
      </c>
    </row>
    <row r="194" spans="1:5" x14ac:dyDescent="0.25">
      <c r="A194" s="20">
        <v>367</v>
      </c>
      <c r="B194" s="21" t="s">
        <v>827</v>
      </c>
      <c r="C194" t="str">
        <f t="shared" si="6"/>
        <v>AA</v>
      </c>
      <c r="D194" t="str">
        <f t="shared" si="7"/>
        <v>1</v>
      </c>
      <c r="E194" t="str">
        <f t="shared" si="8"/>
        <v>10</v>
      </c>
    </row>
    <row r="195" spans="1:5" x14ac:dyDescent="0.25">
      <c r="A195" s="20">
        <v>369</v>
      </c>
      <c r="B195" s="21" t="s">
        <v>828</v>
      </c>
      <c r="C195" t="str">
        <f t="shared" ref="C195:C258" si="9">RIGHT(LEFT(B195,11),2)</f>
        <v>AA</v>
      </c>
      <c r="D195" t="str">
        <f t="shared" ref="D195:D258" si="10">RIGHT(LEFT(B195,9),1)</f>
        <v>2</v>
      </c>
      <c r="E195" t="str">
        <f t="shared" ref="E195:E258" si="11">LEFT(B195,2)</f>
        <v>10</v>
      </c>
    </row>
    <row r="196" spans="1:5" x14ac:dyDescent="0.25">
      <c r="A196" s="20">
        <v>371</v>
      </c>
      <c r="B196" s="21" t="s">
        <v>829</v>
      </c>
      <c r="C196" t="str">
        <f t="shared" si="9"/>
        <v>AA</v>
      </c>
      <c r="D196" t="str">
        <f t="shared" si="10"/>
        <v>4</v>
      </c>
      <c r="E196" t="str">
        <f t="shared" si="11"/>
        <v>10</v>
      </c>
    </row>
    <row r="197" spans="1:5" x14ac:dyDescent="0.25">
      <c r="A197" s="20">
        <v>373</v>
      </c>
      <c r="B197" s="21" t="s">
        <v>830</v>
      </c>
      <c r="C197" t="str">
        <f t="shared" si="9"/>
        <v>FS</v>
      </c>
      <c r="D197" t="str">
        <f t="shared" si="10"/>
        <v>1</v>
      </c>
      <c r="E197" t="str">
        <f t="shared" si="11"/>
        <v>10</v>
      </c>
    </row>
    <row r="198" spans="1:5" x14ac:dyDescent="0.25">
      <c r="A198" s="20">
        <v>375</v>
      </c>
      <c r="B198" s="21" t="s">
        <v>831</v>
      </c>
      <c r="C198" t="str">
        <f t="shared" si="9"/>
        <v>FS</v>
      </c>
      <c r="D198" t="str">
        <f t="shared" si="10"/>
        <v>2</v>
      </c>
      <c r="E198" t="str">
        <f t="shared" si="11"/>
        <v>10</v>
      </c>
    </row>
    <row r="199" spans="1:5" x14ac:dyDescent="0.25">
      <c r="A199" s="20">
        <v>377</v>
      </c>
      <c r="B199" s="21" t="s">
        <v>832</v>
      </c>
      <c r="C199" t="str">
        <f t="shared" si="9"/>
        <v>FS</v>
      </c>
      <c r="D199" t="str">
        <f t="shared" si="10"/>
        <v>4</v>
      </c>
      <c r="E199" t="str">
        <f t="shared" si="11"/>
        <v>10</v>
      </c>
    </row>
    <row r="200" spans="1:5" x14ac:dyDescent="0.25">
      <c r="A200" s="20">
        <v>385</v>
      </c>
      <c r="B200" s="21" t="s">
        <v>833</v>
      </c>
      <c r="C200" t="str">
        <f t="shared" si="9"/>
        <v>AA</v>
      </c>
      <c r="D200" t="str">
        <f t="shared" si="10"/>
        <v>1</v>
      </c>
      <c r="E200" t="str">
        <f t="shared" si="11"/>
        <v>10</v>
      </c>
    </row>
    <row r="201" spans="1:5" x14ac:dyDescent="0.25">
      <c r="A201" s="20">
        <v>387</v>
      </c>
      <c r="B201" s="21" t="s">
        <v>834</v>
      </c>
      <c r="C201" t="str">
        <f t="shared" si="9"/>
        <v>AA</v>
      </c>
      <c r="D201" t="str">
        <f t="shared" si="10"/>
        <v>2</v>
      </c>
      <c r="E201" t="str">
        <f t="shared" si="11"/>
        <v>10</v>
      </c>
    </row>
    <row r="202" spans="1:5" x14ac:dyDescent="0.25">
      <c r="A202" s="20">
        <v>389</v>
      </c>
      <c r="B202" s="21" t="s">
        <v>835</v>
      </c>
      <c r="C202" t="str">
        <f t="shared" si="9"/>
        <v>AA</v>
      </c>
      <c r="D202" t="str">
        <f t="shared" si="10"/>
        <v>4</v>
      </c>
      <c r="E202" t="str">
        <f t="shared" si="11"/>
        <v>10</v>
      </c>
    </row>
    <row r="203" spans="1:5" x14ac:dyDescent="0.25">
      <c r="A203" s="20">
        <v>391</v>
      </c>
      <c r="B203" s="21" t="s">
        <v>836</v>
      </c>
      <c r="C203" t="str">
        <f t="shared" si="9"/>
        <v>FS</v>
      </c>
      <c r="D203" t="str">
        <f t="shared" si="10"/>
        <v>1</v>
      </c>
      <c r="E203" t="str">
        <f t="shared" si="11"/>
        <v>10</v>
      </c>
    </row>
    <row r="204" spans="1:5" x14ac:dyDescent="0.25">
      <c r="A204" s="20">
        <v>393</v>
      </c>
      <c r="B204" s="21" t="s">
        <v>837</v>
      </c>
      <c r="C204" t="str">
        <f t="shared" si="9"/>
        <v>FS</v>
      </c>
      <c r="D204" t="str">
        <f t="shared" si="10"/>
        <v>2</v>
      </c>
      <c r="E204" t="str">
        <f t="shared" si="11"/>
        <v>10</v>
      </c>
    </row>
    <row r="205" spans="1:5" x14ac:dyDescent="0.25">
      <c r="A205" s="20">
        <v>395</v>
      </c>
      <c r="B205" s="21" t="s">
        <v>838</v>
      </c>
      <c r="C205" t="str">
        <f t="shared" si="9"/>
        <v>FS</v>
      </c>
      <c r="D205" t="str">
        <f t="shared" si="10"/>
        <v>4</v>
      </c>
      <c r="E205" t="str">
        <f t="shared" si="11"/>
        <v>10</v>
      </c>
    </row>
    <row r="206" spans="1:5" x14ac:dyDescent="0.25">
      <c r="A206" s="20">
        <v>403</v>
      </c>
      <c r="B206" s="21" t="s">
        <v>839</v>
      </c>
      <c r="C206" t="str">
        <f t="shared" si="9"/>
        <v>AA</v>
      </c>
      <c r="D206" t="str">
        <f t="shared" si="10"/>
        <v>1</v>
      </c>
      <c r="E206" t="str">
        <f t="shared" si="11"/>
        <v>10</v>
      </c>
    </row>
    <row r="207" spans="1:5" x14ac:dyDescent="0.25">
      <c r="A207" s="20">
        <v>405</v>
      </c>
      <c r="B207" s="21" t="s">
        <v>840</v>
      </c>
      <c r="C207" t="str">
        <f t="shared" si="9"/>
        <v>AA</v>
      </c>
      <c r="D207" t="str">
        <f t="shared" si="10"/>
        <v>2</v>
      </c>
      <c r="E207" t="str">
        <f t="shared" si="11"/>
        <v>10</v>
      </c>
    </row>
    <row r="208" spans="1:5" x14ac:dyDescent="0.25">
      <c r="A208" s="20">
        <v>407</v>
      </c>
      <c r="B208" s="21" t="s">
        <v>841</v>
      </c>
      <c r="C208" t="str">
        <f t="shared" si="9"/>
        <v>AA</v>
      </c>
      <c r="D208" t="str">
        <f t="shared" si="10"/>
        <v>4</v>
      </c>
      <c r="E208" t="str">
        <f t="shared" si="11"/>
        <v>10</v>
      </c>
    </row>
    <row r="209" spans="1:5" x14ac:dyDescent="0.25">
      <c r="A209" s="20">
        <v>409</v>
      </c>
      <c r="B209" s="21" t="s">
        <v>842</v>
      </c>
      <c r="C209" t="str">
        <f t="shared" si="9"/>
        <v>FS</v>
      </c>
      <c r="D209" t="str">
        <f t="shared" si="10"/>
        <v>1</v>
      </c>
      <c r="E209" t="str">
        <f t="shared" si="11"/>
        <v>10</v>
      </c>
    </row>
    <row r="210" spans="1:5" x14ac:dyDescent="0.25">
      <c r="A210" s="20">
        <v>411</v>
      </c>
      <c r="B210" s="21" t="s">
        <v>843</v>
      </c>
      <c r="C210" t="str">
        <f t="shared" si="9"/>
        <v>FS</v>
      </c>
      <c r="D210" t="str">
        <f t="shared" si="10"/>
        <v>2</v>
      </c>
      <c r="E210" t="str">
        <f t="shared" si="11"/>
        <v>10</v>
      </c>
    </row>
    <row r="211" spans="1:5" x14ac:dyDescent="0.25">
      <c r="A211" s="20">
        <v>413</v>
      </c>
      <c r="B211" s="21" t="s">
        <v>844</v>
      </c>
      <c r="C211" t="str">
        <f t="shared" si="9"/>
        <v>FS</v>
      </c>
      <c r="D211" t="str">
        <f t="shared" si="10"/>
        <v>4</v>
      </c>
      <c r="E211" t="str">
        <f t="shared" si="11"/>
        <v>10</v>
      </c>
    </row>
    <row r="212" spans="1:5" x14ac:dyDescent="0.25">
      <c r="A212" s="20">
        <v>13</v>
      </c>
      <c r="B212" s="21" t="s">
        <v>936</v>
      </c>
      <c r="C212" t="str">
        <f t="shared" si="9"/>
        <v>AA</v>
      </c>
      <c r="D212" t="str">
        <f t="shared" si="10"/>
        <v>1</v>
      </c>
      <c r="E212" t="str">
        <f t="shared" si="11"/>
        <v>01</v>
      </c>
    </row>
    <row r="213" spans="1:5" x14ac:dyDescent="0.25">
      <c r="A213" s="20">
        <v>17</v>
      </c>
      <c r="B213" s="21" t="s">
        <v>937</v>
      </c>
      <c r="C213" t="str">
        <f t="shared" si="9"/>
        <v>AA</v>
      </c>
      <c r="D213" t="str">
        <f t="shared" si="10"/>
        <v>2</v>
      </c>
      <c r="E213" t="str">
        <f t="shared" si="11"/>
        <v>01</v>
      </c>
    </row>
    <row r="214" spans="1:5" x14ac:dyDescent="0.25">
      <c r="A214" s="20">
        <v>33</v>
      </c>
      <c r="B214" s="21" t="s">
        <v>938</v>
      </c>
      <c r="C214" t="str">
        <f t="shared" si="9"/>
        <v>AA</v>
      </c>
      <c r="D214" t="str">
        <f t="shared" si="10"/>
        <v>4</v>
      </c>
      <c r="E214" t="str">
        <f t="shared" si="11"/>
        <v>01</v>
      </c>
    </row>
    <row r="215" spans="1:5" x14ac:dyDescent="0.25">
      <c r="A215" s="20">
        <v>21</v>
      </c>
      <c r="B215" s="21" t="s">
        <v>939</v>
      </c>
      <c r="C215" t="str">
        <f t="shared" si="9"/>
        <v>FS</v>
      </c>
      <c r="D215" t="str">
        <f t="shared" si="10"/>
        <v>1</v>
      </c>
      <c r="E215" t="str">
        <f t="shared" si="11"/>
        <v>01</v>
      </c>
    </row>
    <row r="216" spans="1:5" x14ac:dyDescent="0.25">
      <c r="A216" s="20">
        <v>25</v>
      </c>
      <c r="B216" s="21" t="s">
        <v>940</v>
      </c>
      <c r="C216" t="str">
        <f t="shared" si="9"/>
        <v>FS</v>
      </c>
      <c r="D216" t="str">
        <f t="shared" si="10"/>
        <v>2</v>
      </c>
      <c r="E216" t="str">
        <f t="shared" si="11"/>
        <v>01</v>
      </c>
    </row>
    <row r="217" spans="1:5" x14ac:dyDescent="0.25">
      <c r="A217" s="20">
        <v>29</v>
      </c>
      <c r="B217" s="21" t="s">
        <v>941</v>
      </c>
      <c r="C217" t="str">
        <f t="shared" si="9"/>
        <v>FS</v>
      </c>
      <c r="D217" t="str">
        <f t="shared" si="10"/>
        <v>4</v>
      </c>
      <c r="E217" t="str">
        <f t="shared" si="11"/>
        <v>01</v>
      </c>
    </row>
    <row r="218" spans="1:5" x14ac:dyDescent="0.25">
      <c r="A218" s="20">
        <v>49</v>
      </c>
      <c r="B218" s="21" t="s">
        <v>942</v>
      </c>
      <c r="C218" t="str">
        <f t="shared" si="9"/>
        <v>AA</v>
      </c>
      <c r="D218" t="str">
        <f t="shared" si="10"/>
        <v>1</v>
      </c>
      <c r="E218" t="str">
        <f t="shared" si="11"/>
        <v>01</v>
      </c>
    </row>
    <row r="219" spans="1:5" x14ac:dyDescent="0.25">
      <c r="A219" s="20">
        <v>53</v>
      </c>
      <c r="B219" s="21" t="s">
        <v>943</v>
      </c>
      <c r="C219" t="str">
        <f t="shared" si="9"/>
        <v>AA</v>
      </c>
      <c r="D219" t="str">
        <f t="shared" si="10"/>
        <v>2</v>
      </c>
      <c r="E219" t="str">
        <f t="shared" si="11"/>
        <v>01</v>
      </c>
    </row>
    <row r="220" spans="1:5" x14ac:dyDescent="0.25">
      <c r="A220" s="20">
        <v>57</v>
      </c>
      <c r="B220" s="21" t="s">
        <v>944</v>
      </c>
      <c r="C220" t="str">
        <f t="shared" si="9"/>
        <v>AA</v>
      </c>
      <c r="D220" t="str">
        <f t="shared" si="10"/>
        <v>4</v>
      </c>
      <c r="E220" t="str">
        <f t="shared" si="11"/>
        <v>01</v>
      </c>
    </row>
    <row r="221" spans="1:5" x14ac:dyDescent="0.25">
      <c r="A221" s="20">
        <v>61</v>
      </c>
      <c r="B221" s="21" t="s">
        <v>945</v>
      </c>
      <c r="C221" t="str">
        <f t="shared" si="9"/>
        <v>FS</v>
      </c>
      <c r="D221" t="str">
        <f t="shared" si="10"/>
        <v>1</v>
      </c>
      <c r="E221" t="str">
        <f t="shared" si="11"/>
        <v>01</v>
      </c>
    </row>
    <row r="222" spans="1:5" x14ac:dyDescent="0.25">
      <c r="A222" s="20">
        <v>65</v>
      </c>
      <c r="B222" s="21" t="s">
        <v>946</v>
      </c>
      <c r="C222" t="str">
        <f t="shared" si="9"/>
        <v>FS</v>
      </c>
      <c r="D222" t="str">
        <f t="shared" si="10"/>
        <v>2</v>
      </c>
      <c r="E222" t="str">
        <f t="shared" si="11"/>
        <v>01</v>
      </c>
    </row>
    <row r="223" spans="1:5" x14ac:dyDescent="0.25">
      <c r="A223" s="20">
        <v>69</v>
      </c>
      <c r="B223" s="21" t="s">
        <v>947</v>
      </c>
      <c r="C223" t="str">
        <f t="shared" si="9"/>
        <v>FS</v>
      </c>
      <c r="D223" t="str">
        <f t="shared" si="10"/>
        <v>4</v>
      </c>
      <c r="E223" t="str">
        <f t="shared" si="11"/>
        <v>01</v>
      </c>
    </row>
    <row r="224" spans="1:5" x14ac:dyDescent="0.25">
      <c r="A224" s="20">
        <v>97</v>
      </c>
      <c r="B224" s="21" t="s">
        <v>948</v>
      </c>
      <c r="C224" t="str">
        <f t="shared" si="9"/>
        <v>AA</v>
      </c>
      <c r="D224" t="str">
        <f t="shared" si="10"/>
        <v>1</v>
      </c>
      <c r="E224" t="str">
        <f t="shared" si="11"/>
        <v>01</v>
      </c>
    </row>
    <row r="225" spans="1:5" x14ac:dyDescent="0.25">
      <c r="A225" s="20">
        <v>101</v>
      </c>
      <c r="B225" s="21" t="s">
        <v>949</v>
      </c>
      <c r="C225" t="str">
        <f t="shared" si="9"/>
        <v>AA</v>
      </c>
      <c r="D225" t="str">
        <f t="shared" si="10"/>
        <v>2</v>
      </c>
      <c r="E225" t="str">
        <f t="shared" si="11"/>
        <v>01</v>
      </c>
    </row>
    <row r="226" spans="1:5" x14ac:dyDescent="0.25">
      <c r="A226" s="20">
        <v>105</v>
      </c>
      <c r="B226" s="21" t="s">
        <v>950</v>
      </c>
      <c r="C226" t="str">
        <f t="shared" si="9"/>
        <v>AA</v>
      </c>
      <c r="D226" t="str">
        <f t="shared" si="10"/>
        <v>4</v>
      </c>
      <c r="E226" t="str">
        <f t="shared" si="11"/>
        <v>01</v>
      </c>
    </row>
    <row r="227" spans="1:5" x14ac:dyDescent="0.25">
      <c r="A227" s="20">
        <v>85</v>
      </c>
      <c r="B227" s="21" t="s">
        <v>951</v>
      </c>
      <c r="C227" t="str">
        <f t="shared" si="9"/>
        <v>FS</v>
      </c>
      <c r="D227" t="str">
        <f t="shared" si="10"/>
        <v>1</v>
      </c>
      <c r="E227" t="str">
        <f t="shared" si="11"/>
        <v>01</v>
      </c>
    </row>
    <row r="228" spans="1:5" x14ac:dyDescent="0.25">
      <c r="A228" s="20">
        <v>89</v>
      </c>
      <c r="B228" s="21" t="s">
        <v>952</v>
      </c>
      <c r="C228" t="str">
        <f t="shared" si="9"/>
        <v>FS</v>
      </c>
      <c r="D228" t="str">
        <f t="shared" si="10"/>
        <v>2</v>
      </c>
      <c r="E228" t="str">
        <f t="shared" si="11"/>
        <v>01</v>
      </c>
    </row>
    <row r="229" spans="1:5" x14ac:dyDescent="0.25">
      <c r="A229" s="20">
        <v>93</v>
      </c>
      <c r="B229" s="21" t="s">
        <v>953</v>
      </c>
      <c r="C229" t="str">
        <f t="shared" si="9"/>
        <v>FS</v>
      </c>
      <c r="D229" t="str">
        <f t="shared" si="10"/>
        <v>4</v>
      </c>
      <c r="E229" t="str">
        <f t="shared" si="11"/>
        <v>01</v>
      </c>
    </row>
    <row r="230" spans="1:5" x14ac:dyDescent="0.25">
      <c r="A230" s="20">
        <v>200</v>
      </c>
      <c r="B230" s="21" t="s">
        <v>954</v>
      </c>
      <c r="C230" t="str">
        <f t="shared" si="9"/>
        <v>AA</v>
      </c>
      <c r="D230" t="str">
        <f t="shared" si="10"/>
        <v>1</v>
      </c>
      <c r="E230" t="str">
        <f t="shared" si="11"/>
        <v>01</v>
      </c>
    </row>
    <row r="231" spans="1:5" x14ac:dyDescent="0.25">
      <c r="A231" s="20">
        <v>209</v>
      </c>
      <c r="B231" s="21" t="s">
        <v>955</v>
      </c>
      <c r="C231" t="str">
        <f t="shared" si="9"/>
        <v>AA</v>
      </c>
      <c r="D231" t="str">
        <f t="shared" si="10"/>
        <v>2</v>
      </c>
      <c r="E231" t="str">
        <f t="shared" si="11"/>
        <v>01</v>
      </c>
    </row>
    <row r="232" spans="1:5" x14ac:dyDescent="0.25">
      <c r="A232" s="20">
        <v>567</v>
      </c>
      <c r="B232" s="21" t="s">
        <v>956</v>
      </c>
      <c r="C232" t="str">
        <f t="shared" si="9"/>
        <v>AA</v>
      </c>
      <c r="D232" t="str">
        <f t="shared" si="10"/>
        <v>4</v>
      </c>
      <c r="E232" t="str">
        <f t="shared" si="11"/>
        <v>01</v>
      </c>
    </row>
    <row r="233" spans="1:5" x14ac:dyDescent="0.25">
      <c r="A233" s="20">
        <v>210</v>
      </c>
      <c r="B233" s="21" t="s">
        <v>957</v>
      </c>
      <c r="C233" t="str">
        <f t="shared" si="9"/>
        <v>FS</v>
      </c>
      <c r="D233" t="str">
        <f t="shared" si="10"/>
        <v>1</v>
      </c>
      <c r="E233" t="str">
        <f t="shared" si="11"/>
        <v>01</v>
      </c>
    </row>
    <row r="234" spans="1:5" x14ac:dyDescent="0.25">
      <c r="A234" s="20">
        <v>574</v>
      </c>
      <c r="B234" s="21" t="s">
        <v>958</v>
      </c>
      <c r="C234" t="str">
        <f t="shared" si="9"/>
        <v>FS</v>
      </c>
      <c r="D234" t="str">
        <f t="shared" si="10"/>
        <v>2</v>
      </c>
      <c r="E234" t="str">
        <f t="shared" si="11"/>
        <v>01</v>
      </c>
    </row>
    <row r="235" spans="1:5" x14ac:dyDescent="0.25">
      <c r="A235" s="20">
        <v>580</v>
      </c>
      <c r="B235" s="21" t="s">
        <v>959</v>
      </c>
      <c r="C235" t="str">
        <f t="shared" si="9"/>
        <v>FS</v>
      </c>
      <c r="D235" t="str">
        <f t="shared" si="10"/>
        <v>4</v>
      </c>
      <c r="E235" t="str">
        <f t="shared" si="11"/>
        <v>01</v>
      </c>
    </row>
    <row r="236" spans="1:5" x14ac:dyDescent="0.25">
      <c r="A236" s="20">
        <v>204</v>
      </c>
      <c r="B236" s="21" t="s">
        <v>960</v>
      </c>
      <c r="C236" t="str">
        <f t="shared" si="9"/>
        <v>AA</v>
      </c>
      <c r="D236" t="str">
        <f t="shared" si="10"/>
        <v>1</v>
      </c>
      <c r="E236" t="str">
        <f t="shared" si="11"/>
        <v>01</v>
      </c>
    </row>
    <row r="237" spans="1:5" x14ac:dyDescent="0.25">
      <c r="A237" s="20">
        <v>564</v>
      </c>
      <c r="B237" s="21" t="s">
        <v>961</v>
      </c>
      <c r="C237" t="str">
        <f t="shared" si="9"/>
        <v>AA</v>
      </c>
      <c r="D237" t="str">
        <f t="shared" si="10"/>
        <v>2</v>
      </c>
      <c r="E237" t="str">
        <f t="shared" si="11"/>
        <v>01</v>
      </c>
    </row>
    <row r="238" spans="1:5" x14ac:dyDescent="0.25">
      <c r="A238" s="24">
        <v>583</v>
      </c>
      <c r="B238" s="25" t="s">
        <v>962</v>
      </c>
      <c r="C238" t="str">
        <f t="shared" si="9"/>
        <v>AA</v>
      </c>
      <c r="D238" t="str">
        <f t="shared" si="10"/>
        <v>4</v>
      </c>
      <c r="E238" t="str">
        <f t="shared" si="11"/>
        <v>01</v>
      </c>
    </row>
    <row r="239" spans="1:5" x14ac:dyDescent="0.25">
      <c r="A239" s="24">
        <v>584</v>
      </c>
      <c r="B239" s="25" t="s">
        <v>963</v>
      </c>
      <c r="C239" t="str">
        <f t="shared" si="9"/>
        <v>FS</v>
      </c>
      <c r="D239" t="str">
        <f t="shared" si="10"/>
        <v>1</v>
      </c>
      <c r="E239" t="str">
        <f t="shared" si="11"/>
        <v>01</v>
      </c>
    </row>
    <row r="240" spans="1:5" x14ac:dyDescent="0.25">
      <c r="A240" s="24">
        <v>586</v>
      </c>
      <c r="B240" s="25" t="s">
        <v>964</v>
      </c>
      <c r="C240" t="str">
        <f t="shared" si="9"/>
        <v>FS</v>
      </c>
      <c r="D240" t="str">
        <f t="shared" si="10"/>
        <v>2</v>
      </c>
      <c r="E240" t="str">
        <f t="shared" si="11"/>
        <v>01</v>
      </c>
    </row>
    <row r="241" spans="1:5" x14ac:dyDescent="0.25">
      <c r="A241" s="24">
        <v>585</v>
      </c>
      <c r="B241" s="25" t="s">
        <v>965</v>
      </c>
      <c r="C241" t="str">
        <f t="shared" si="9"/>
        <v>FS</v>
      </c>
      <c r="D241" t="str">
        <f t="shared" si="10"/>
        <v>4</v>
      </c>
      <c r="E241" t="str">
        <f t="shared" si="11"/>
        <v>01</v>
      </c>
    </row>
    <row r="242" spans="1:5" x14ac:dyDescent="0.25">
      <c r="A242" s="20">
        <v>208</v>
      </c>
      <c r="B242" s="21" t="s">
        <v>966</v>
      </c>
      <c r="C242" t="str">
        <f t="shared" si="9"/>
        <v>AA</v>
      </c>
      <c r="D242" t="str">
        <f t="shared" si="10"/>
        <v>1</v>
      </c>
      <c r="E242" t="str">
        <f t="shared" si="11"/>
        <v>01</v>
      </c>
    </row>
    <row r="243" spans="1:5" x14ac:dyDescent="0.25">
      <c r="A243" s="20">
        <v>232</v>
      </c>
      <c r="B243" s="21" t="s">
        <v>967</v>
      </c>
      <c r="C243" t="str">
        <f t="shared" si="9"/>
        <v>AA</v>
      </c>
      <c r="D243" t="str">
        <f t="shared" si="10"/>
        <v>2</v>
      </c>
      <c r="E243" t="str">
        <f t="shared" si="11"/>
        <v>01</v>
      </c>
    </row>
    <row r="244" spans="1:5" x14ac:dyDescent="0.25">
      <c r="A244" s="20">
        <v>236</v>
      </c>
      <c r="B244" s="21" t="s">
        <v>968</v>
      </c>
      <c r="C244" t="str">
        <f t="shared" si="9"/>
        <v>AA</v>
      </c>
      <c r="D244" t="str">
        <f t="shared" si="10"/>
        <v>4</v>
      </c>
      <c r="E244" t="str">
        <f t="shared" si="11"/>
        <v>01</v>
      </c>
    </row>
    <row r="245" spans="1:5" x14ac:dyDescent="0.25">
      <c r="A245" s="20">
        <v>240</v>
      </c>
      <c r="B245" s="21" t="s">
        <v>969</v>
      </c>
      <c r="C245" t="str">
        <f t="shared" si="9"/>
        <v>FS</v>
      </c>
      <c r="D245" t="str">
        <f t="shared" si="10"/>
        <v>1</v>
      </c>
      <c r="E245" t="str">
        <f t="shared" si="11"/>
        <v>01</v>
      </c>
    </row>
    <row r="246" spans="1:5" x14ac:dyDescent="0.25">
      <c r="A246" s="20">
        <v>244</v>
      </c>
      <c r="B246" s="21" t="s">
        <v>970</v>
      </c>
      <c r="C246" t="str">
        <f t="shared" si="9"/>
        <v>FS</v>
      </c>
      <c r="D246" t="str">
        <f t="shared" si="10"/>
        <v>2</v>
      </c>
      <c r="E246" t="str">
        <f t="shared" si="11"/>
        <v>01</v>
      </c>
    </row>
    <row r="247" spans="1:5" x14ac:dyDescent="0.25">
      <c r="A247" s="20">
        <v>248</v>
      </c>
      <c r="B247" s="21" t="s">
        <v>971</v>
      </c>
      <c r="C247" t="str">
        <f t="shared" si="9"/>
        <v>FS</v>
      </c>
      <c r="D247" t="str">
        <f t="shared" si="10"/>
        <v>4</v>
      </c>
      <c r="E247" t="str">
        <f t="shared" si="11"/>
        <v>01</v>
      </c>
    </row>
    <row r="248" spans="1:5" x14ac:dyDescent="0.25">
      <c r="A248" s="20">
        <v>194</v>
      </c>
      <c r="B248" s="21" t="s">
        <v>972</v>
      </c>
      <c r="C248" t="str">
        <f t="shared" si="9"/>
        <v>AA</v>
      </c>
      <c r="D248" t="str">
        <f t="shared" si="10"/>
        <v>1</v>
      </c>
      <c r="E248" t="str">
        <f t="shared" si="11"/>
        <v>01</v>
      </c>
    </row>
    <row r="249" spans="1:5" x14ac:dyDescent="0.25">
      <c r="A249" s="20">
        <v>198</v>
      </c>
      <c r="B249" s="21" t="s">
        <v>973</v>
      </c>
      <c r="C249" t="str">
        <f t="shared" si="9"/>
        <v>AA</v>
      </c>
      <c r="D249" t="str">
        <f t="shared" si="10"/>
        <v>2</v>
      </c>
      <c r="E249" t="str">
        <f t="shared" si="11"/>
        <v>01</v>
      </c>
    </row>
    <row r="250" spans="1:5" x14ac:dyDescent="0.25">
      <c r="A250" s="20">
        <v>213</v>
      </c>
      <c r="B250" s="21" t="s">
        <v>974</v>
      </c>
      <c r="C250" t="str">
        <f t="shared" si="9"/>
        <v>AA</v>
      </c>
      <c r="D250" t="str">
        <f t="shared" si="10"/>
        <v>4</v>
      </c>
      <c r="E250" t="str">
        <f t="shared" si="11"/>
        <v>01</v>
      </c>
    </row>
    <row r="251" spans="1:5" x14ac:dyDescent="0.25">
      <c r="A251" s="20">
        <v>217</v>
      </c>
      <c r="B251" s="21" t="s">
        <v>975</v>
      </c>
      <c r="C251" t="str">
        <f t="shared" si="9"/>
        <v>FS</v>
      </c>
      <c r="D251" t="str">
        <f t="shared" si="10"/>
        <v>1</v>
      </c>
      <c r="E251" t="str">
        <f t="shared" si="11"/>
        <v>01</v>
      </c>
    </row>
    <row r="252" spans="1:5" x14ac:dyDescent="0.25">
      <c r="A252" s="20">
        <v>221</v>
      </c>
      <c r="B252" s="21" t="s">
        <v>976</v>
      </c>
      <c r="C252" t="str">
        <f t="shared" si="9"/>
        <v>FS</v>
      </c>
      <c r="D252" t="str">
        <f t="shared" si="10"/>
        <v>2</v>
      </c>
      <c r="E252" t="str">
        <f t="shared" si="11"/>
        <v>01</v>
      </c>
    </row>
    <row r="253" spans="1:5" x14ac:dyDescent="0.25">
      <c r="A253" s="20">
        <v>226</v>
      </c>
      <c r="B253" s="21" t="s">
        <v>977</v>
      </c>
      <c r="C253" t="str">
        <f t="shared" si="9"/>
        <v>FS</v>
      </c>
      <c r="D253" t="str">
        <f t="shared" si="10"/>
        <v>4</v>
      </c>
      <c r="E253" t="str">
        <f t="shared" si="11"/>
        <v>01</v>
      </c>
    </row>
    <row r="254" spans="1:5" x14ac:dyDescent="0.25">
      <c r="A254" s="20">
        <v>252</v>
      </c>
      <c r="B254" s="21" t="s">
        <v>978</v>
      </c>
      <c r="C254" t="str">
        <f t="shared" si="9"/>
        <v>AA</v>
      </c>
      <c r="D254" t="str">
        <f t="shared" si="10"/>
        <v>1</v>
      </c>
      <c r="E254" t="str">
        <f t="shared" si="11"/>
        <v>01</v>
      </c>
    </row>
    <row r="255" spans="1:5" x14ac:dyDescent="0.25">
      <c r="A255" s="20">
        <v>256</v>
      </c>
      <c r="B255" s="21" t="s">
        <v>979</v>
      </c>
      <c r="C255" t="str">
        <f t="shared" si="9"/>
        <v>AA</v>
      </c>
      <c r="D255" t="str">
        <f t="shared" si="10"/>
        <v>2</v>
      </c>
      <c r="E255" t="str">
        <f t="shared" si="11"/>
        <v>01</v>
      </c>
    </row>
    <row r="256" spans="1:5" x14ac:dyDescent="0.25">
      <c r="A256" s="20">
        <v>260</v>
      </c>
      <c r="B256" s="21" t="s">
        <v>980</v>
      </c>
      <c r="C256" t="str">
        <f t="shared" si="9"/>
        <v>AA</v>
      </c>
      <c r="D256" t="str">
        <f t="shared" si="10"/>
        <v>4</v>
      </c>
      <c r="E256" t="str">
        <f t="shared" si="11"/>
        <v>01</v>
      </c>
    </row>
    <row r="257" spans="1:5" x14ac:dyDescent="0.25">
      <c r="A257" s="20">
        <v>264</v>
      </c>
      <c r="B257" s="21" t="s">
        <v>981</v>
      </c>
      <c r="C257" t="str">
        <f t="shared" si="9"/>
        <v>FS</v>
      </c>
      <c r="D257" t="str">
        <f t="shared" si="10"/>
        <v>1</v>
      </c>
      <c r="E257" t="str">
        <f t="shared" si="11"/>
        <v>01</v>
      </c>
    </row>
    <row r="258" spans="1:5" x14ac:dyDescent="0.25">
      <c r="A258" s="20">
        <v>268</v>
      </c>
      <c r="B258" s="21" t="s">
        <v>982</v>
      </c>
      <c r="C258" t="str">
        <f t="shared" si="9"/>
        <v>FS</v>
      </c>
      <c r="D258" t="str">
        <f t="shared" si="10"/>
        <v>2</v>
      </c>
      <c r="E258" t="str">
        <f t="shared" si="11"/>
        <v>01</v>
      </c>
    </row>
    <row r="259" spans="1:5" x14ac:dyDescent="0.25">
      <c r="A259" s="20">
        <v>272</v>
      </c>
      <c r="B259" s="21" t="s">
        <v>983</v>
      </c>
      <c r="C259" t="str">
        <f t="shared" ref="C259:C322" si="12">RIGHT(LEFT(B259,11),2)</f>
        <v>FS</v>
      </c>
      <c r="D259" t="str">
        <f t="shared" ref="D259:D322" si="13">RIGHT(LEFT(B259,9),1)</f>
        <v>4</v>
      </c>
      <c r="E259" t="str">
        <f t="shared" ref="E259:E322" si="14">LEFT(B259,2)</f>
        <v>01</v>
      </c>
    </row>
    <row r="260" spans="1:5" x14ac:dyDescent="0.25">
      <c r="A260" s="20">
        <v>276</v>
      </c>
      <c r="B260" s="21" t="s">
        <v>984</v>
      </c>
      <c r="C260" t="str">
        <f t="shared" si="12"/>
        <v>AA</v>
      </c>
      <c r="D260" t="str">
        <f t="shared" si="13"/>
        <v>1</v>
      </c>
      <c r="E260" t="str">
        <f t="shared" si="14"/>
        <v>01</v>
      </c>
    </row>
    <row r="261" spans="1:5" x14ac:dyDescent="0.25">
      <c r="A261" s="20">
        <v>280</v>
      </c>
      <c r="B261" s="21" t="s">
        <v>985</v>
      </c>
      <c r="C261" t="str">
        <f t="shared" si="12"/>
        <v>AA</v>
      </c>
      <c r="D261" t="str">
        <f t="shared" si="13"/>
        <v>2</v>
      </c>
      <c r="E261" t="str">
        <f t="shared" si="14"/>
        <v>01</v>
      </c>
    </row>
    <row r="262" spans="1:5" x14ac:dyDescent="0.25">
      <c r="A262" s="20">
        <v>284</v>
      </c>
      <c r="B262" s="21" t="s">
        <v>986</v>
      </c>
      <c r="C262" t="str">
        <f t="shared" si="12"/>
        <v>AA</v>
      </c>
      <c r="D262" t="str">
        <f t="shared" si="13"/>
        <v>4</v>
      </c>
      <c r="E262" t="str">
        <f t="shared" si="14"/>
        <v>01</v>
      </c>
    </row>
    <row r="263" spans="1:5" x14ac:dyDescent="0.25">
      <c r="A263" s="20">
        <v>288</v>
      </c>
      <c r="B263" s="21" t="s">
        <v>987</v>
      </c>
      <c r="C263" t="str">
        <f t="shared" si="12"/>
        <v>FS</v>
      </c>
      <c r="D263" t="str">
        <f t="shared" si="13"/>
        <v>1</v>
      </c>
      <c r="E263" t="str">
        <f t="shared" si="14"/>
        <v>01</v>
      </c>
    </row>
    <row r="264" spans="1:5" x14ac:dyDescent="0.25">
      <c r="A264" s="20">
        <v>292</v>
      </c>
      <c r="B264" s="21" t="s">
        <v>988</v>
      </c>
      <c r="C264" t="str">
        <f t="shared" si="12"/>
        <v>FS</v>
      </c>
      <c r="D264" t="str">
        <f t="shared" si="13"/>
        <v>2</v>
      </c>
      <c r="E264" t="str">
        <f t="shared" si="14"/>
        <v>01</v>
      </c>
    </row>
    <row r="265" spans="1:5" x14ac:dyDescent="0.25">
      <c r="A265" s="20">
        <v>296</v>
      </c>
      <c r="B265" s="21" t="s">
        <v>989</v>
      </c>
      <c r="C265" t="str">
        <f t="shared" si="12"/>
        <v>FS</v>
      </c>
      <c r="D265" t="str">
        <f t="shared" si="13"/>
        <v>4</v>
      </c>
      <c r="E265" t="str">
        <f t="shared" si="14"/>
        <v>01</v>
      </c>
    </row>
    <row r="266" spans="1:5" x14ac:dyDescent="0.25">
      <c r="A266" s="20">
        <v>300</v>
      </c>
      <c r="B266" s="21" t="s">
        <v>990</v>
      </c>
      <c r="C266" t="str">
        <f t="shared" si="12"/>
        <v>AA</v>
      </c>
      <c r="D266" t="str">
        <f t="shared" si="13"/>
        <v>1</v>
      </c>
      <c r="E266" t="str">
        <f t="shared" si="14"/>
        <v>01</v>
      </c>
    </row>
    <row r="267" spans="1:5" x14ac:dyDescent="0.25">
      <c r="A267" s="20">
        <v>304</v>
      </c>
      <c r="B267" s="21" t="s">
        <v>991</v>
      </c>
      <c r="C267" t="str">
        <f t="shared" si="12"/>
        <v>AA</v>
      </c>
      <c r="D267" t="str">
        <f t="shared" si="13"/>
        <v>2</v>
      </c>
      <c r="E267" t="str">
        <f t="shared" si="14"/>
        <v>01</v>
      </c>
    </row>
    <row r="268" spans="1:5" x14ac:dyDescent="0.25">
      <c r="A268" s="20">
        <v>308</v>
      </c>
      <c r="B268" s="21" t="s">
        <v>992</v>
      </c>
      <c r="C268" t="str">
        <f t="shared" si="12"/>
        <v>AA</v>
      </c>
      <c r="D268" t="str">
        <f t="shared" si="13"/>
        <v>4</v>
      </c>
      <c r="E268" t="str">
        <f t="shared" si="14"/>
        <v>01</v>
      </c>
    </row>
    <row r="269" spans="1:5" x14ac:dyDescent="0.25">
      <c r="A269" s="20">
        <v>312</v>
      </c>
      <c r="B269" s="21" t="s">
        <v>993</v>
      </c>
      <c r="C269" t="str">
        <f t="shared" si="12"/>
        <v>FS</v>
      </c>
      <c r="D269" t="str">
        <f t="shared" si="13"/>
        <v>1</v>
      </c>
      <c r="E269" t="str">
        <f t="shared" si="14"/>
        <v>01</v>
      </c>
    </row>
    <row r="270" spans="1:5" x14ac:dyDescent="0.25">
      <c r="A270" s="20">
        <v>316</v>
      </c>
      <c r="B270" s="21" t="s">
        <v>994</v>
      </c>
      <c r="C270" t="str">
        <f t="shared" si="12"/>
        <v>FS</v>
      </c>
      <c r="D270" t="str">
        <f t="shared" si="13"/>
        <v>2</v>
      </c>
      <c r="E270" t="str">
        <f t="shared" si="14"/>
        <v>01</v>
      </c>
    </row>
    <row r="271" spans="1:5" x14ac:dyDescent="0.25">
      <c r="A271" s="20">
        <v>320</v>
      </c>
      <c r="B271" s="21" t="s">
        <v>995</v>
      </c>
      <c r="C271" t="str">
        <f t="shared" si="12"/>
        <v>FS</v>
      </c>
      <c r="D271" t="str">
        <f t="shared" si="13"/>
        <v>4</v>
      </c>
      <c r="E271" t="str">
        <f t="shared" si="14"/>
        <v>01</v>
      </c>
    </row>
    <row r="272" spans="1:5" x14ac:dyDescent="0.25">
      <c r="A272" s="20">
        <v>444</v>
      </c>
      <c r="B272" s="21" t="s">
        <v>996</v>
      </c>
      <c r="C272" t="str">
        <f t="shared" si="12"/>
        <v>AA</v>
      </c>
      <c r="D272" t="str">
        <f t="shared" si="13"/>
        <v>1</v>
      </c>
      <c r="E272" t="str">
        <f t="shared" si="14"/>
        <v>01</v>
      </c>
    </row>
    <row r="273" spans="1:5" x14ac:dyDescent="0.25">
      <c r="A273" s="20">
        <v>448</v>
      </c>
      <c r="B273" s="21" t="s">
        <v>997</v>
      </c>
      <c r="C273" t="str">
        <f t="shared" si="12"/>
        <v>AA</v>
      </c>
      <c r="D273" t="str">
        <f t="shared" si="13"/>
        <v>2</v>
      </c>
      <c r="E273" t="str">
        <f t="shared" si="14"/>
        <v>01</v>
      </c>
    </row>
    <row r="274" spans="1:5" x14ac:dyDescent="0.25">
      <c r="A274" s="20">
        <v>452</v>
      </c>
      <c r="B274" s="21" t="s">
        <v>998</v>
      </c>
      <c r="C274" t="str">
        <f t="shared" si="12"/>
        <v>AA</v>
      </c>
      <c r="D274" t="str">
        <f t="shared" si="13"/>
        <v>4</v>
      </c>
      <c r="E274" t="str">
        <f t="shared" si="14"/>
        <v>01</v>
      </c>
    </row>
    <row r="275" spans="1:5" x14ac:dyDescent="0.25">
      <c r="A275" s="20">
        <v>478</v>
      </c>
      <c r="B275" s="21" t="s">
        <v>999</v>
      </c>
      <c r="C275" t="str">
        <f t="shared" si="12"/>
        <v>FS</v>
      </c>
      <c r="D275" t="str">
        <f t="shared" si="13"/>
        <v>1</v>
      </c>
      <c r="E275" t="str">
        <f t="shared" si="14"/>
        <v>01</v>
      </c>
    </row>
    <row r="276" spans="1:5" x14ac:dyDescent="0.25">
      <c r="A276" s="20">
        <v>456</v>
      </c>
      <c r="B276" s="21" t="s">
        <v>1000</v>
      </c>
      <c r="C276" t="str">
        <f t="shared" si="12"/>
        <v>FS</v>
      </c>
      <c r="D276" t="str">
        <f t="shared" si="13"/>
        <v>2</v>
      </c>
      <c r="E276" t="str">
        <f t="shared" si="14"/>
        <v>01</v>
      </c>
    </row>
    <row r="277" spans="1:5" x14ac:dyDescent="0.25">
      <c r="A277" s="20">
        <v>460</v>
      </c>
      <c r="B277" s="21" t="s">
        <v>1001</v>
      </c>
      <c r="C277" t="str">
        <f t="shared" si="12"/>
        <v>FS</v>
      </c>
      <c r="D277" t="str">
        <f t="shared" si="13"/>
        <v>4</v>
      </c>
      <c r="E277" t="str">
        <f t="shared" si="14"/>
        <v>01</v>
      </c>
    </row>
    <row r="278" spans="1:5" x14ac:dyDescent="0.25">
      <c r="A278" s="20">
        <v>464</v>
      </c>
      <c r="B278" s="21" t="s">
        <v>1002</v>
      </c>
      <c r="C278" t="str">
        <f t="shared" si="12"/>
        <v>AA</v>
      </c>
      <c r="D278" t="str">
        <f t="shared" si="13"/>
        <v>1</v>
      </c>
      <c r="E278" t="str">
        <f t="shared" si="14"/>
        <v>01</v>
      </c>
    </row>
    <row r="279" spans="1:5" x14ac:dyDescent="0.25">
      <c r="A279" s="20">
        <v>468</v>
      </c>
      <c r="B279" s="21" t="s">
        <v>1003</v>
      </c>
      <c r="C279" t="str">
        <f t="shared" si="12"/>
        <v>AA</v>
      </c>
      <c r="D279" t="str">
        <f t="shared" si="13"/>
        <v>2</v>
      </c>
      <c r="E279" t="str">
        <f t="shared" si="14"/>
        <v>01</v>
      </c>
    </row>
    <row r="280" spans="1:5" x14ac:dyDescent="0.25">
      <c r="A280" s="20">
        <v>472</v>
      </c>
      <c r="B280" s="21" t="s">
        <v>1004</v>
      </c>
      <c r="C280" t="str">
        <f t="shared" si="12"/>
        <v>AA</v>
      </c>
      <c r="D280" t="str">
        <f t="shared" si="13"/>
        <v>4</v>
      </c>
      <c r="E280" t="str">
        <f t="shared" si="14"/>
        <v>01</v>
      </c>
    </row>
    <row r="281" spans="1:5" x14ac:dyDescent="0.25">
      <c r="A281" s="20">
        <v>476</v>
      </c>
      <c r="B281" s="21" t="s">
        <v>1005</v>
      </c>
      <c r="C281" t="str">
        <f t="shared" si="12"/>
        <v>FS</v>
      </c>
      <c r="D281" t="str">
        <f t="shared" si="13"/>
        <v>1</v>
      </c>
      <c r="E281" t="str">
        <f t="shared" si="14"/>
        <v>01</v>
      </c>
    </row>
    <row r="282" spans="1:5" x14ac:dyDescent="0.25">
      <c r="A282" s="20">
        <v>484</v>
      </c>
      <c r="B282" s="21" t="s">
        <v>1006</v>
      </c>
      <c r="C282" t="str">
        <f t="shared" si="12"/>
        <v>FS</v>
      </c>
      <c r="D282" t="str">
        <f t="shared" si="13"/>
        <v>2</v>
      </c>
      <c r="E282" t="str">
        <f t="shared" si="14"/>
        <v>01</v>
      </c>
    </row>
    <row r="283" spans="1:5" x14ac:dyDescent="0.25">
      <c r="A283" s="20">
        <v>488</v>
      </c>
      <c r="B283" s="21" t="s">
        <v>1007</v>
      </c>
      <c r="C283" t="str">
        <f t="shared" si="12"/>
        <v>FS</v>
      </c>
      <c r="D283" t="str">
        <f t="shared" si="13"/>
        <v>4</v>
      </c>
      <c r="E283" t="str">
        <f t="shared" si="14"/>
        <v>01</v>
      </c>
    </row>
    <row r="284" spans="1:5" x14ac:dyDescent="0.25">
      <c r="A284" s="20">
        <v>492</v>
      </c>
      <c r="B284" s="21" t="s">
        <v>1008</v>
      </c>
      <c r="C284" t="str">
        <f t="shared" si="12"/>
        <v>AA</v>
      </c>
      <c r="D284" t="str">
        <f t="shared" si="13"/>
        <v>1</v>
      </c>
      <c r="E284" t="str">
        <f t="shared" si="14"/>
        <v>01</v>
      </c>
    </row>
    <row r="285" spans="1:5" x14ac:dyDescent="0.25">
      <c r="A285" s="20">
        <v>496</v>
      </c>
      <c r="B285" s="21" t="s">
        <v>1009</v>
      </c>
      <c r="C285" t="str">
        <f t="shared" si="12"/>
        <v>AA</v>
      </c>
      <c r="D285" t="str">
        <f t="shared" si="13"/>
        <v>2</v>
      </c>
      <c r="E285" t="str">
        <f t="shared" si="14"/>
        <v>01</v>
      </c>
    </row>
    <row r="286" spans="1:5" x14ac:dyDescent="0.25">
      <c r="A286" s="20">
        <v>500</v>
      </c>
      <c r="B286" s="21" t="s">
        <v>1010</v>
      </c>
      <c r="C286" t="str">
        <f t="shared" si="12"/>
        <v>AA</v>
      </c>
      <c r="D286" t="str">
        <f t="shared" si="13"/>
        <v>4</v>
      </c>
      <c r="E286" t="str">
        <f t="shared" si="14"/>
        <v>01</v>
      </c>
    </row>
    <row r="287" spans="1:5" x14ac:dyDescent="0.25">
      <c r="A287" s="20">
        <v>504</v>
      </c>
      <c r="B287" s="21" t="s">
        <v>1011</v>
      </c>
      <c r="C287" t="str">
        <f t="shared" si="12"/>
        <v>FS</v>
      </c>
      <c r="D287" t="str">
        <f t="shared" si="13"/>
        <v>1</v>
      </c>
      <c r="E287" t="str">
        <f t="shared" si="14"/>
        <v>01</v>
      </c>
    </row>
    <row r="288" spans="1:5" x14ac:dyDescent="0.25">
      <c r="A288" s="20">
        <v>508</v>
      </c>
      <c r="B288" s="21" t="s">
        <v>1012</v>
      </c>
      <c r="C288" t="str">
        <f t="shared" si="12"/>
        <v>FS</v>
      </c>
      <c r="D288" t="str">
        <f t="shared" si="13"/>
        <v>2</v>
      </c>
      <c r="E288" t="str">
        <f t="shared" si="14"/>
        <v>01</v>
      </c>
    </row>
    <row r="289" spans="1:5" x14ac:dyDescent="0.25">
      <c r="A289" s="20">
        <v>512</v>
      </c>
      <c r="B289" s="21" t="s">
        <v>1013</v>
      </c>
      <c r="C289" t="str">
        <f t="shared" si="12"/>
        <v>FS</v>
      </c>
      <c r="D289" t="str">
        <f t="shared" si="13"/>
        <v>4</v>
      </c>
      <c r="E289" t="str">
        <f t="shared" si="14"/>
        <v>01</v>
      </c>
    </row>
    <row r="290" spans="1:5" x14ac:dyDescent="0.25">
      <c r="A290" s="20">
        <v>516</v>
      </c>
      <c r="B290" s="21" t="s">
        <v>1014</v>
      </c>
      <c r="C290" t="str">
        <f t="shared" si="12"/>
        <v>AA</v>
      </c>
      <c r="D290" t="str">
        <f t="shared" si="13"/>
        <v>1</v>
      </c>
      <c r="E290" t="str">
        <f t="shared" si="14"/>
        <v>01</v>
      </c>
    </row>
    <row r="291" spans="1:5" x14ac:dyDescent="0.25">
      <c r="A291" s="20">
        <v>520</v>
      </c>
      <c r="B291" s="21" t="s">
        <v>1015</v>
      </c>
      <c r="C291" t="str">
        <f t="shared" si="12"/>
        <v>AA</v>
      </c>
      <c r="D291" t="str">
        <f t="shared" si="13"/>
        <v>2</v>
      </c>
      <c r="E291" t="str">
        <f t="shared" si="14"/>
        <v>01</v>
      </c>
    </row>
    <row r="292" spans="1:5" x14ac:dyDescent="0.25">
      <c r="A292" s="20">
        <v>524</v>
      </c>
      <c r="B292" s="21" t="s">
        <v>1016</v>
      </c>
      <c r="C292" t="str">
        <f t="shared" si="12"/>
        <v>AA</v>
      </c>
      <c r="D292" t="str">
        <f t="shared" si="13"/>
        <v>4</v>
      </c>
      <c r="E292" t="str">
        <f t="shared" si="14"/>
        <v>01</v>
      </c>
    </row>
    <row r="293" spans="1:5" x14ac:dyDescent="0.25">
      <c r="A293" s="20">
        <v>528</v>
      </c>
      <c r="B293" s="21" t="s">
        <v>1017</v>
      </c>
      <c r="C293" t="str">
        <f t="shared" si="12"/>
        <v>FS</v>
      </c>
      <c r="D293" t="str">
        <f t="shared" si="13"/>
        <v>1</v>
      </c>
      <c r="E293" t="str">
        <f t="shared" si="14"/>
        <v>01</v>
      </c>
    </row>
    <row r="294" spans="1:5" x14ac:dyDescent="0.25">
      <c r="A294" s="20">
        <v>536</v>
      </c>
      <c r="B294" s="21" t="s">
        <v>1018</v>
      </c>
      <c r="C294" t="str">
        <f t="shared" si="12"/>
        <v>FS</v>
      </c>
      <c r="D294" t="str">
        <f t="shared" si="13"/>
        <v>2</v>
      </c>
      <c r="E294" t="str">
        <f t="shared" si="14"/>
        <v>01</v>
      </c>
    </row>
    <row r="295" spans="1:5" x14ac:dyDescent="0.25">
      <c r="A295" s="20">
        <v>532</v>
      </c>
      <c r="B295" s="21" t="s">
        <v>1019</v>
      </c>
      <c r="C295" t="str">
        <f t="shared" si="12"/>
        <v>FS</v>
      </c>
      <c r="D295" t="str">
        <f t="shared" si="13"/>
        <v>4</v>
      </c>
      <c r="E295" t="str">
        <f t="shared" si="14"/>
        <v>01</v>
      </c>
    </row>
    <row r="296" spans="1:5" x14ac:dyDescent="0.25">
      <c r="A296" s="20">
        <v>540</v>
      </c>
      <c r="B296" s="21" t="s">
        <v>1020</v>
      </c>
      <c r="C296" t="str">
        <f t="shared" si="12"/>
        <v>AA</v>
      </c>
      <c r="D296" t="str">
        <f t="shared" si="13"/>
        <v>1</v>
      </c>
      <c r="E296" t="str">
        <f t="shared" si="14"/>
        <v>01</v>
      </c>
    </row>
    <row r="297" spans="1:5" x14ac:dyDescent="0.25">
      <c r="A297" s="20">
        <v>544</v>
      </c>
      <c r="B297" s="21" t="s">
        <v>1021</v>
      </c>
      <c r="C297" t="str">
        <f t="shared" si="12"/>
        <v>AA</v>
      </c>
      <c r="D297" t="str">
        <f t="shared" si="13"/>
        <v>2</v>
      </c>
      <c r="E297" t="str">
        <f t="shared" si="14"/>
        <v>01</v>
      </c>
    </row>
    <row r="298" spans="1:5" x14ac:dyDescent="0.25">
      <c r="A298" s="20">
        <v>548</v>
      </c>
      <c r="B298" s="21" t="s">
        <v>1022</v>
      </c>
      <c r="C298" t="str">
        <f t="shared" si="12"/>
        <v>AA</v>
      </c>
      <c r="D298" t="str">
        <f t="shared" si="13"/>
        <v>4</v>
      </c>
      <c r="E298" t="str">
        <f t="shared" si="14"/>
        <v>01</v>
      </c>
    </row>
    <row r="299" spans="1:5" x14ac:dyDescent="0.25">
      <c r="A299" s="20">
        <v>552</v>
      </c>
      <c r="B299" s="21" t="s">
        <v>1023</v>
      </c>
      <c r="C299" t="str">
        <f t="shared" si="12"/>
        <v>FS</v>
      </c>
      <c r="D299" t="str">
        <f t="shared" si="13"/>
        <v>1</v>
      </c>
      <c r="E299" t="str">
        <f t="shared" si="14"/>
        <v>01</v>
      </c>
    </row>
    <row r="300" spans="1:5" x14ac:dyDescent="0.25">
      <c r="A300" s="20">
        <v>556</v>
      </c>
      <c r="B300" s="21" t="s">
        <v>1024</v>
      </c>
      <c r="C300" t="str">
        <f t="shared" si="12"/>
        <v>FS</v>
      </c>
      <c r="D300" t="str">
        <f t="shared" si="13"/>
        <v>2</v>
      </c>
      <c r="E300" t="str">
        <f t="shared" si="14"/>
        <v>01</v>
      </c>
    </row>
    <row r="301" spans="1:5" x14ac:dyDescent="0.25">
      <c r="A301" s="20">
        <v>560</v>
      </c>
      <c r="B301" s="21" t="s">
        <v>1025</v>
      </c>
      <c r="C301" t="str">
        <f t="shared" si="12"/>
        <v>FS</v>
      </c>
      <c r="D301" t="str">
        <f t="shared" si="13"/>
        <v>4</v>
      </c>
      <c r="E301" t="str">
        <f t="shared" si="14"/>
        <v>01</v>
      </c>
    </row>
    <row r="302" spans="1:5" x14ac:dyDescent="0.25">
      <c r="A302" s="20">
        <v>14</v>
      </c>
      <c r="B302" s="21" t="s">
        <v>1026</v>
      </c>
      <c r="C302" t="str">
        <f t="shared" si="12"/>
        <v>AA</v>
      </c>
      <c r="D302" t="str">
        <f t="shared" si="13"/>
        <v>1</v>
      </c>
      <c r="E302" t="str">
        <f t="shared" si="14"/>
        <v>01</v>
      </c>
    </row>
    <row r="303" spans="1:5" x14ac:dyDescent="0.25">
      <c r="A303" s="20">
        <v>18</v>
      </c>
      <c r="B303" s="21" t="s">
        <v>1027</v>
      </c>
      <c r="C303" t="str">
        <f t="shared" si="12"/>
        <v>AA</v>
      </c>
      <c r="D303" t="str">
        <f t="shared" si="13"/>
        <v>2</v>
      </c>
      <c r="E303" t="str">
        <f t="shared" si="14"/>
        <v>01</v>
      </c>
    </row>
    <row r="304" spans="1:5" x14ac:dyDescent="0.25">
      <c r="A304" s="20">
        <v>34</v>
      </c>
      <c r="B304" s="21" t="s">
        <v>1028</v>
      </c>
      <c r="C304" t="str">
        <f t="shared" si="12"/>
        <v>AA</v>
      </c>
      <c r="D304" t="str">
        <f t="shared" si="13"/>
        <v>4</v>
      </c>
      <c r="E304" t="str">
        <f t="shared" si="14"/>
        <v>01</v>
      </c>
    </row>
    <row r="305" spans="1:5" x14ac:dyDescent="0.25">
      <c r="A305" s="20">
        <v>22</v>
      </c>
      <c r="B305" s="21" t="s">
        <v>1029</v>
      </c>
      <c r="C305" t="str">
        <f t="shared" si="12"/>
        <v>FS</v>
      </c>
      <c r="D305" t="str">
        <f t="shared" si="13"/>
        <v>1</v>
      </c>
      <c r="E305" t="str">
        <f t="shared" si="14"/>
        <v>01</v>
      </c>
    </row>
    <row r="306" spans="1:5" x14ac:dyDescent="0.25">
      <c r="A306" s="20">
        <v>26</v>
      </c>
      <c r="B306" s="21" t="s">
        <v>1030</v>
      </c>
      <c r="C306" t="str">
        <f t="shared" si="12"/>
        <v>FS</v>
      </c>
      <c r="D306" t="str">
        <f t="shared" si="13"/>
        <v>2</v>
      </c>
      <c r="E306" t="str">
        <f t="shared" si="14"/>
        <v>01</v>
      </c>
    </row>
    <row r="307" spans="1:5" x14ac:dyDescent="0.25">
      <c r="A307" s="20">
        <v>30</v>
      </c>
      <c r="B307" s="21" t="s">
        <v>1031</v>
      </c>
      <c r="C307" t="str">
        <f t="shared" si="12"/>
        <v>FS</v>
      </c>
      <c r="D307" t="str">
        <f t="shared" si="13"/>
        <v>4</v>
      </c>
      <c r="E307" t="str">
        <f t="shared" si="14"/>
        <v>01</v>
      </c>
    </row>
    <row r="308" spans="1:5" x14ac:dyDescent="0.25">
      <c r="A308" s="20">
        <v>50</v>
      </c>
      <c r="B308" s="21" t="s">
        <v>1032</v>
      </c>
      <c r="C308" t="str">
        <f t="shared" si="12"/>
        <v>AA</v>
      </c>
      <c r="D308" t="str">
        <f t="shared" si="13"/>
        <v>1</v>
      </c>
      <c r="E308" t="str">
        <f t="shared" si="14"/>
        <v>01</v>
      </c>
    </row>
    <row r="309" spans="1:5" x14ac:dyDescent="0.25">
      <c r="A309" s="20">
        <v>54</v>
      </c>
      <c r="B309" s="21" t="s">
        <v>1033</v>
      </c>
      <c r="C309" t="str">
        <f t="shared" si="12"/>
        <v>AA</v>
      </c>
      <c r="D309" t="str">
        <f t="shared" si="13"/>
        <v>2</v>
      </c>
      <c r="E309" t="str">
        <f t="shared" si="14"/>
        <v>01</v>
      </c>
    </row>
    <row r="310" spans="1:5" x14ac:dyDescent="0.25">
      <c r="A310" s="20">
        <v>58</v>
      </c>
      <c r="B310" s="21" t="s">
        <v>1034</v>
      </c>
      <c r="C310" t="str">
        <f t="shared" si="12"/>
        <v>AA</v>
      </c>
      <c r="D310" t="str">
        <f t="shared" si="13"/>
        <v>4</v>
      </c>
      <c r="E310" t="str">
        <f t="shared" si="14"/>
        <v>01</v>
      </c>
    </row>
    <row r="311" spans="1:5" x14ac:dyDescent="0.25">
      <c r="A311" s="20">
        <v>62</v>
      </c>
      <c r="B311" s="21" t="s">
        <v>1035</v>
      </c>
      <c r="C311" t="str">
        <f t="shared" si="12"/>
        <v>FS</v>
      </c>
      <c r="D311" t="str">
        <f t="shared" si="13"/>
        <v>1</v>
      </c>
      <c r="E311" t="str">
        <f t="shared" si="14"/>
        <v>01</v>
      </c>
    </row>
    <row r="312" spans="1:5" x14ac:dyDescent="0.25">
      <c r="A312" s="20">
        <v>66</v>
      </c>
      <c r="B312" s="21" t="s">
        <v>1036</v>
      </c>
      <c r="C312" t="str">
        <f t="shared" si="12"/>
        <v>FS</v>
      </c>
      <c r="D312" t="str">
        <f t="shared" si="13"/>
        <v>2</v>
      </c>
      <c r="E312" t="str">
        <f t="shared" si="14"/>
        <v>01</v>
      </c>
    </row>
    <row r="313" spans="1:5" x14ac:dyDescent="0.25">
      <c r="A313" s="20">
        <v>70</v>
      </c>
      <c r="B313" s="21" t="s">
        <v>1037</v>
      </c>
      <c r="C313" t="str">
        <f t="shared" si="12"/>
        <v>FS</v>
      </c>
      <c r="D313" t="str">
        <f t="shared" si="13"/>
        <v>4</v>
      </c>
      <c r="E313" t="str">
        <f t="shared" si="14"/>
        <v>01</v>
      </c>
    </row>
    <row r="314" spans="1:5" x14ac:dyDescent="0.25">
      <c r="A314" s="20">
        <v>98</v>
      </c>
      <c r="B314" s="21" t="s">
        <v>1038</v>
      </c>
      <c r="C314" t="str">
        <f t="shared" si="12"/>
        <v>AA</v>
      </c>
      <c r="D314" t="str">
        <f t="shared" si="13"/>
        <v>1</v>
      </c>
      <c r="E314" t="str">
        <f t="shared" si="14"/>
        <v>01</v>
      </c>
    </row>
    <row r="315" spans="1:5" x14ac:dyDescent="0.25">
      <c r="A315" s="20">
        <v>102</v>
      </c>
      <c r="B315" s="21" t="s">
        <v>1039</v>
      </c>
      <c r="C315" t="str">
        <f t="shared" si="12"/>
        <v>AA</v>
      </c>
      <c r="D315" t="str">
        <f t="shared" si="13"/>
        <v>2</v>
      </c>
      <c r="E315" t="str">
        <f t="shared" si="14"/>
        <v>01</v>
      </c>
    </row>
    <row r="316" spans="1:5" x14ac:dyDescent="0.25">
      <c r="A316" s="20">
        <v>106</v>
      </c>
      <c r="B316" s="21" t="s">
        <v>1040</v>
      </c>
      <c r="C316" t="str">
        <f t="shared" si="12"/>
        <v>AA</v>
      </c>
      <c r="D316" t="str">
        <f t="shared" si="13"/>
        <v>4</v>
      </c>
      <c r="E316" t="str">
        <f t="shared" si="14"/>
        <v>01</v>
      </c>
    </row>
    <row r="317" spans="1:5" x14ac:dyDescent="0.25">
      <c r="A317" s="20">
        <v>86</v>
      </c>
      <c r="B317" s="21" t="s">
        <v>1041</v>
      </c>
      <c r="C317" t="str">
        <f t="shared" si="12"/>
        <v>FS</v>
      </c>
      <c r="D317" t="str">
        <f t="shared" si="13"/>
        <v>1</v>
      </c>
      <c r="E317" t="str">
        <f t="shared" si="14"/>
        <v>01</v>
      </c>
    </row>
    <row r="318" spans="1:5" x14ac:dyDescent="0.25">
      <c r="A318" s="20">
        <v>90</v>
      </c>
      <c r="B318" s="21" t="s">
        <v>1042</v>
      </c>
      <c r="C318" t="str">
        <f t="shared" si="12"/>
        <v>FS</v>
      </c>
      <c r="D318" t="str">
        <f t="shared" si="13"/>
        <v>2</v>
      </c>
      <c r="E318" t="str">
        <f t="shared" si="14"/>
        <v>01</v>
      </c>
    </row>
    <row r="319" spans="1:5" x14ac:dyDescent="0.25">
      <c r="A319" s="20">
        <v>94</v>
      </c>
      <c r="B319" s="21" t="s">
        <v>1043</v>
      </c>
      <c r="C319" t="str">
        <f t="shared" si="12"/>
        <v>FS</v>
      </c>
      <c r="D319" t="str">
        <f t="shared" si="13"/>
        <v>4</v>
      </c>
      <c r="E319" t="str">
        <f t="shared" si="14"/>
        <v>01</v>
      </c>
    </row>
    <row r="320" spans="1:5" x14ac:dyDescent="0.25">
      <c r="A320" s="20">
        <v>201</v>
      </c>
      <c r="B320" s="21" t="s">
        <v>1044</v>
      </c>
      <c r="C320" t="str">
        <f t="shared" si="12"/>
        <v>AA</v>
      </c>
      <c r="D320" t="str">
        <f t="shared" si="13"/>
        <v>1</v>
      </c>
      <c r="E320" t="str">
        <f t="shared" si="14"/>
        <v>01</v>
      </c>
    </row>
    <row r="321" spans="1:5" x14ac:dyDescent="0.25">
      <c r="A321" s="20">
        <v>565</v>
      </c>
      <c r="B321" s="21" t="s">
        <v>1045</v>
      </c>
      <c r="C321" t="str">
        <f t="shared" si="12"/>
        <v>AA</v>
      </c>
      <c r="D321" t="str">
        <f t="shared" si="13"/>
        <v>2</v>
      </c>
      <c r="E321" t="str">
        <f t="shared" si="14"/>
        <v>01</v>
      </c>
    </row>
    <row r="322" spans="1:5" x14ac:dyDescent="0.25">
      <c r="A322" s="20">
        <v>568</v>
      </c>
      <c r="B322" s="21" t="s">
        <v>1046</v>
      </c>
      <c r="C322" t="str">
        <f t="shared" si="12"/>
        <v>AA</v>
      </c>
      <c r="D322" t="str">
        <f t="shared" si="13"/>
        <v>4</v>
      </c>
      <c r="E322" t="str">
        <f t="shared" si="14"/>
        <v>01</v>
      </c>
    </row>
    <row r="323" spans="1:5" x14ac:dyDescent="0.25">
      <c r="A323" s="20">
        <v>571</v>
      </c>
      <c r="B323" s="21" t="s">
        <v>1047</v>
      </c>
      <c r="C323" t="str">
        <f t="shared" ref="C323:C386" si="15">RIGHT(LEFT(B323,11),2)</f>
        <v>FS</v>
      </c>
      <c r="D323" t="str">
        <f t="shared" ref="D323:D386" si="16">RIGHT(LEFT(B323,9),1)</f>
        <v>1</v>
      </c>
      <c r="E323" t="str">
        <f t="shared" ref="E323:E386" si="17">LEFT(B323,2)</f>
        <v>01</v>
      </c>
    </row>
    <row r="324" spans="1:5" x14ac:dyDescent="0.25">
      <c r="A324" s="20">
        <v>575</v>
      </c>
      <c r="B324" s="21" t="s">
        <v>1048</v>
      </c>
      <c r="C324" t="str">
        <f t="shared" si="15"/>
        <v>FS</v>
      </c>
      <c r="D324" t="str">
        <f t="shared" si="16"/>
        <v>2</v>
      </c>
      <c r="E324" t="str">
        <f t="shared" si="17"/>
        <v>01</v>
      </c>
    </row>
    <row r="325" spans="1:5" x14ac:dyDescent="0.25">
      <c r="A325" s="24">
        <v>579</v>
      </c>
      <c r="B325" s="25" t="s">
        <v>1049</v>
      </c>
      <c r="C325" t="str">
        <f t="shared" si="15"/>
        <v>FS</v>
      </c>
      <c r="D325" t="str">
        <f t="shared" si="16"/>
        <v>4</v>
      </c>
      <c r="E325" t="str">
        <f t="shared" si="17"/>
        <v>01</v>
      </c>
    </row>
    <row r="326" spans="1:5" x14ac:dyDescent="0.25">
      <c r="A326" s="20">
        <v>205</v>
      </c>
      <c r="B326" s="21" t="s">
        <v>1050</v>
      </c>
      <c r="C326" t="str">
        <f t="shared" si="15"/>
        <v>AA</v>
      </c>
      <c r="D326" t="str">
        <f t="shared" si="16"/>
        <v>1</v>
      </c>
      <c r="E326" t="str">
        <f t="shared" si="17"/>
        <v>01</v>
      </c>
    </row>
    <row r="327" spans="1:5" x14ac:dyDescent="0.25">
      <c r="A327" s="24">
        <v>582</v>
      </c>
      <c r="B327" s="25" t="s">
        <v>1051</v>
      </c>
      <c r="C327" t="str">
        <f t="shared" si="15"/>
        <v>AA</v>
      </c>
      <c r="D327" t="str">
        <f t="shared" si="16"/>
        <v>2</v>
      </c>
      <c r="E327" t="str">
        <f t="shared" si="17"/>
        <v>01</v>
      </c>
    </row>
    <row r="328" spans="1:5" x14ac:dyDescent="0.25">
      <c r="A328" s="29">
        <v>589</v>
      </c>
      <c r="B328" s="28" t="s">
        <v>1052</v>
      </c>
      <c r="C328" t="str">
        <f t="shared" si="15"/>
        <v>AA</v>
      </c>
      <c r="D328" t="str">
        <f t="shared" si="16"/>
        <v>4</v>
      </c>
      <c r="E328" t="str">
        <f t="shared" si="17"/>
        <v>01</v>
      </c>
    </row>
    <row r="329" spans="1:5" x14ac:dyDescent="0.25">
      <c r="A329" s="29">
        <v>592</v>
      </c>
      <c r="B329" s="28" t="s">
        <v>1053</v>
      </c>
      <c r="C329" t="str">
        <f t="shared" si="15"/>
        <v>FS</v>
      </c>
      <c r="D329" t="str">
        <f t="shared" si="16"/>
        <v>1</v>
      </c>
      <c r="E329" t="str">
        <f t="shared" si="17"/>
        <v>01</v>
      </c>
    </row>
    <row r="330" spans="1:5" x14ac:dyDescent="0.25">
      <c r="A330" s="29">
        <v>595</v>
      </c>
      <c r="B330" s="28" t="s">
        <v>1054</v>
      </c>
      <c r="C330" t="str">
        <f t="shared" si="15"/>
        <v>FS</v>
      </c>
      <c r="D330" t="str">
        <f t="shared" si="16"/>
        <v>2</v>
      </c>
      <c r="E330" t="str">
        <f t="shared" si="17"/>
        <v>01</v>
      </c>
    </row>
    <row r="331" spans="1:5" x14ac:dyDescent="0.25">
      <c r="A331" s="29">
        <v>598</v>
      </c>
      <c r="B331" s="28" t="s">
        <v>1055</v>
      </c>
      <c r="C331" t="str">
        <f t="shared" si="15"/>
        <v>FS</v>
      </c>
      <c r="D331" t="str">
        <f t="shared" si="16"/>
        <v>4</v>
      </c>
      <c r="E331" t="str">
        <f t="shared" si="17"/>
        <v>01</v>
      </c>
    </row>
    <row r="332" spans="1:5" x14ac:dyDescent="0.25">
      <c r="A332" s="20">
        <v>229</v>
      </c>
      <c r="B332" s="21" t="s">
        <v>1056</v>
      </c>
      <c r="C332" t="str">
        <f t="shared" si="15"/>
        <v>AA</v>
      </c>
      <c r="D332" t="str">
        <f t="shared" si="16"/>
        <v>1</v>
      </c>
      <c r="E332" t="str">
        <f t="shared" si="17"/>
        <v>01</v>
      </c>
    </row>
    <row r="333" spans="1:5" x14ac:dyDescent="0.25">
      <c r="A333" s="20">
        <v>233</v>
      </c>
      <c r="B333" s="21" t="s">
        <v>1057</v>
      </c>
      <c r="C333" t="str">
        <f t="shared" si="15"/>
        <v>AA</v>
      </c>
      <c r="D333" t="str">
        <f t="shared" si="16"/>
        <v>2</v>
      </c>
      <c r="E333" t="str">
        <f t="shared" si="17"/>
        <v>01</v>
      </c>
    </row>
    <row r="334" spans="1:5" x14ac:dyDescent="0.25">
      <c r="A334" s="20">
        <v>237</v>
      </c>
      <c r="B334" s="21" t="s">
        <v>1058</v>
      </c>
      <c r="C334" t="str">
        <f t="shared" si="15"/>
        <v>AA</v>
      </c>
      <c r="D334" t="str">
        <f t="shared" si="16"/>
        <v>4</v>
      </c>
      <c r="E334" t="str">
        <f t="shared" si="17"/>
        <v>01</v>
      </c>
    </row>
    <row r="335" spans="1:5" x14ac:dyDescent="0.25">
      <c r="A335" s="20">
        <v>241</v>
      </c>
      <c r="B335" s="21" t="s">
        <v>1059</v>
      </c>
      <c r="C335" t="str">
        <f t="shared" si="15"/>
        <v>FS</v>
      </c>
      <c r="D335" t="str">
        <f t="shared" si="16"/>
        <v>1</v>
      </c>
      <c r="E335" t="str">
        <f t="shared" si="17"/>
        <v>01</v>
      </c>
    </row>
    <row r="336" spans="1:5" x14ac:dyDescent="0.25">
      <c r="A336" s="20">
        <v>245</v>
      </c>
      <c r="B336" s="21" t="s">
        <v>1060</v>
      </c>
      <c r="C336" t="str">
        <f t="shared" si="15"/>
        <v>FS</v>
      </c>
      <c r="D336" t="str">
        <f t="shared" si="16"/>
        <v>2</v>
      </c>
      <c r="E336" t="str">
        <f t="shared" si="17"/>
        <v>01</v>
      </c>
    </row>
    <row r="337" spans="1:5" x14ac:dyDescent="0.25">
      <c r="A337" s="20">
        <v>249</v>
      </c>
      <c r="B337" s="21" t="s">
        <v>1061</v>
      </c>
      <c r="C337" t="str">
        <f t="shared" si="15"/>
        <v>FS</v>
      </c>
      <c r="D337" t="str">
        <f t="shared" si="16"/>
        <v>4</v>
      </c>
      <c r="E337" t="str">
        <f t="shared" si="17"/>
        <v>01</v>
      </c>
    </row>
    <row r="338" spans="1:5" x14ac:dyDescent="0.25">
      <c r="A338" s="20">
        <v>195</v>
      </c>
      <c r="B338" s="21" t="s">
        <v>1062</v>
      </c>
      <c r="C338" t="str">
        <f t="shared" si="15"/>
        <v>AA</v>
      </c>
      <c r="D338" t="str">
        <f t="shared" si="16"/>
        <v>1</v>
      </c>
      <c r="E338" t="str">
        <f t="shared" si="17"/>
        <v>01</v>
      </c>
    </row>
    <row r="339" spans="1:5" x14ac:dyDescent="0.25">
      <c r="A339" s="20">
        <v>199</v>
      </c>
      <c r="B339" s="21" t="s">
        <v>1063</v>
      </c>
      <c r="C339" t="str">
        <f t="shared" si="15"/>
        <v>AA</v>
      </c>
      <c r="D339" t="str">
        <f t="shared" si="16"/>
        <v>2</v>
      </c>
      <c r="E339" t="str">
        <f t="shared" si="17"/>
        <v>01</v>
      </c>
    </row>
    <row r="340" spans="1:5" x14ac:dyDescent="0.25">
      <c r="A340" s="20">
        <v>214</v>
      </c>
      <c r="B340" s="21" t="s">
        <v>1064</v>
      </c>
      <c r="C340" t="str">
        <f t="shared" si="15"/>
        <v>AA</v>
      </c>
      <c r="D340" t="str">
        <f t="shared" si="16"/>
        <v>4</v>
      </c>
      <c r="E340" t="str">
        <f t="shared" si="17"/>
        <v>01</v>
      </c>
    </row>
    <row r="341" spans="1:5" x14ac:dyDescent="0.25">
      <c r="A341" s="20">
        <v>218</v>
      </c>
      <c r="B341" s="21" t="s">
        <v>1065</v>
      </c>
      <c r="C341" t="str">
        <f t="shared" si="15"/>
        <v>FS</v>
      </c>
      <c r="D341" t="str">
        <f t="shared" si="16"/>
        <v>1</v>
      </c>
      <c r="E341" t="str">
        <f t="shared" si="17"/>
        <v>01</v>
      </c>
    </row>
    <row r="342" spans="1:5" x14ac:dyDescent="0.25">
      <c r="A342" s="20">
        <v>222</v>
      </c>
      <c r="B342" s="21" t="s">
        <v>1066</v>
      </c>
      <c r="C342" t="str">
        <f t="shared" si="15"/>
        <v>FS</v>
      </c>
      <c r="D342" t="str">
        <f t="shared" si="16"/>
        <v>2</v>
      </c>
      <c r="E342" t="str">
        <f t="shared" si="17"/>
        <v>01</v>
      </c>
    </row>
    <row r="343" spans="1:5" x14ac:dyDescent="0.25">
      <c r="A343" s="20">
        <v>225</v>
      </c>
      <c r="B343" s="21" t="s">
        <v>1067</v>
      </c>
      <c r="C343" t="str">
        <f t="shared" si="15"/>
        <v>FS</v>
      </c>
      <c r="D343" t="str">
        <f t="shared" si="16"/>
        <v>4</v>
      </c>
      <c r="E343" t="str">
        <f t="shared" si="17"/>
        <v>01</v>
      </c>
    </row>
    <row r="344" spans="1:5" x14ac:dyDescent="0.25">
      <c r="A344" s="20">
        <v>253</v>
      </c>
      <c r="B344" s="21" t="s">
        <v>1068</v>
      </c>
      <c r="C344" t="str">
        <f t="shared" si="15"/>
        <v>AA</v>
      </c>
      <c r="D344" t="str">
        <f t="shared" si="16"/>
        <v>1</v>
      </c>
      <c r="E344" t="str">
        <f t="shared" si="17"/>
        <v>01</v>
      </c>
    </row>
    <row r="345" spans="1:5" x14ac:dyDescent="0.25">
      <c r="A345" s="20">
        <v>257</v>
      </c>
      <c r="B345" s="21" t="s">
        <v>1069</v>
      </c>
      <c r="C345" t="str">
        <f t="shared" si="15"/>
        <v>AA</v>
      </c>
      <c r="D345" t="str">
        <f t="shared" si="16"/>
        <v>2</v>
      </c>
      <c r="E345" t="str">
        <f t="shared" si="17"/>
        <v>01</v>
      </c>
    </row>
    <row r="346" spans="1:5" x14ac:dyDescent="0.25">
      <c r="A346" s="20">
        <v>261</v>
      </c>
      <c r="B346" s="21" t="s">
        <v>1070</v>
      </c>
      <c r="C346" t="str">
        <f t="shared" si="15"/>
        <v>AA</v>
      </c>
      <c r="D346" t="str">
        <f t="shared" si="16"/>
        <v>4</v>
      </c>
      <c r="E346" t="str">
        <f t="shared" si="17"/>
        <v>01</v>
      </c>
    </row>
    <row r="347" spans="1:5" x14ac:dyDescent="0.25">
      <c r="A347" s="20">
        <v>265</v>
      </c>
      <c r="B347" s="21" t="s">
        <v>1071</v>
      </c>
      <c r="C347" t="str">
        <f t="shared" si="15"/>
        <v>FS</v>
      </c>
      <c r="D347" t="str">
        <f t="shared" si="16"/>
        <v>1</v>
      </c>
      <c r="E347" t="str">
        <f t="shared" si="17"/>
        <v>01</v>
      </c>
    </row>
    <row r="348" spans="1:5" x14ac:dyDescent="0.25">
      <c r="A348" s="20">
        <v>269</v>
      </c>
      <c r="B348" s="21" t="s">
        <v>1072</v>
      </c>
      <c r="C348" t="str">
        <f t="shared" si="15"/>
        <v>FS</v>
      </c>
      <c r="D348" t="str">
        <f t="shared" si="16"/>
        <v>2</v>
      </c>
      <c r="E348" t="str">
        <f t="shared" si="17"/>
        <v>01</v>
      </c>
    </row>
    <row r="349" spans="1:5" x14ac:dyDescent="0.25">
      <c r="A349" s="20">
        <v>273</v>
      </c>
      <c r="B349" s="21" t="s">
        <v>1073</v>
      </c>
      <c r="C349" t="str">
        <f t="shared" si="15"/>
        <v>FS</v>
      </c>
      <c r="D349" t="str">
        <f t="shared" si="16"/>
        <v>4</v>
      </c>
      <c r="E349" t="str">
        <f t="shared" si="17"/>
        <v>01</v>
      </c>
    </row>
    <row r="350" spans="1:5" x14ac:dyDescent="0.25">
      <c r="A350" s="20">
        <v>277</v>
      </c>
      <c r="B350" s="21" t="s">
        <v>1074</v>
      </c>
      <c r="C350" t="str">
        <f t="shared" si="15"/>
        <v>AA</v>
      </c>
      <c r="D350" t="str">
        <f t="shared" si="16"/>
        <v>1</v>
      </c>
      <c r="E350" t="str">
        <f t="shared" si="17"/>
        <v>01</v>
      </c>
    </row>
    <row r="351" spans="1:5" x14ac:dyDescent="0.25">
      <c r="A351" s="20">
        <v>281</v>
      </c>
      <c r="B351" s="21" t="s">
        <v>1075</v>
      </c>
      <c r="C351" t="str">
        <f t="shared" si="15"/>
        <v>AA</v>
      </c>
      <c r="D351" t="str">
        <f t="shared" si="16"/>
        <v>2</v>
      </c>
      <c r="E351" t="str">
        <f t="shared" si="17"/>
        <v>01</v>
      </c>
    </row>
    <row r="352" spans="1:5" x14ac:dyDescent="0.25">
      <c r="A352" s="20">
        <v>285</v>
      </c>
      <c r="B352" s="21" t="s">
        <v>1076</v>
      </c>
      <c r="C352" t="str">
        <f t="shared" si="15"/>
        <v>AA</v>
      </c>
      <c r="D352" t="str">
        <f t="shared" si="16"/>
        <v>4</v>
      </c>
      <c r="E352" t="str">
        <f t="shared" si="17"/>
        <v>01</v>
      </c>
    </row>
    <row r="353" spans="1:5" x14ac:dyDescent="0.25">
      <c r="A353" s="20">
        <v>289</v>
      </c>
      <c r="B353" s="21" t="s">
        <v>1077</v>
      </c>
      <c r="C353" t="str">
        <f t="shared" si="15"/>
        <v>FS</v>
      </c>
      <c r="D353" t="str">
        <f t="shared" si="16"/>
        <v>1</v>
      </c>
      <c r="E353" t="str">
        <f t="shared" si="17"/>
        <v>01</v>
      </c>
    </row>
    <row r="354" spans="1:5" x14ac:dyDescent="0.25">
      <c r="A354" s="20">
        <v>293</v>
      </c>
      <c r="B354" s="21" t="s">
        <v>1078</v>
      </c>
      <c r="C354" t="str">
        <f t="shared" si="15"/>
        <v>FS</v>
      </c>
      <c r="D354" t="str">
        <f t="shared" si="16"/>
        <v>2</v>
      </c>
      <c r="E354" t="str">
        <f t="shared" si="17"/>
        <v>01</v>
      </c>
    </row>
    <row r="355" spans="1:5" x14ac:dyDescent="0.25">
      <c r="A355" s="20">
        <v>297</v>
      </c>
      <c r="B355" s="21" t="s">
        <v>1079</v>
      </c>
      <c r="C355" t="str">
        <f t="shared" si="15"/>
        <v>FS</v>
      </c>
      <c r="D355" t="str">
        <f t="shared" si="16"/>
        <v>4</v>
      </c>
      <c r="E355" t="str">
        <f t="shared" si="17"/>
        <v>01</v>
      </c>
    </row>
    <row r="356" spans="1:5" x14ac:dyDescent="0.25">
      <c r="A356" s="20">
        <v>301</v>
      </c>
      <c r="B356" s="21" t="s">
        <v>1080</v>
      </c>
      <c r="C356" t="str">
        <f t="shared" si="15"/>
        <v>AA</v>
      </c>
      <c r="D356" t="str">
        <f t="shared" si="16"/>
        <v>1</v>
      </c>
      <c r="E356" t="str">
        <f t="shared" si="17"/>
        <v>01</v>
      </c>
    </row>
    <row r="357" spans="1:5" x14ac:dyDescent="0.25">
      <c r="A357" s="20">
        <v>305</v>
      </c>
      <c r="B357" s="21" t="s">
        <v>1081</v>
      </c>
      <c r="C357" t="str">
        <f t="shared" si="15"/>
        <v>AA</v>
      </c>
      <c r="D357" t="str">
        <f t="shared" si="16"/>
        <v>2</v>
      </c>
      <c r="E357" t="str">
        <f t="shared" si="17"/>
        <v>01</v>
      </c>
    </row>
    <row r="358" spans="1:5" x14ac:dyDescent="0.25">
      <c r="A358" s="20">
        <v>309</v>
      </c>
      <c r="B358" s="21" t="s">
        <v>1082</v>
      </c>
      <c r="C358" t="str">
        <f t="shared" si="15"/>
        <v>AA</v>
      </c>
      <c r="D358" t="str">
        <f t="shared" si="16"/>
        <v>4</v>
      </c>
      <c r="E358" t="str">
        <f t="shared" si="17"/>
        <v>01</v>
      </c>
    </row>
    <row r="359" spans="1:5" x14ac:dyDescent="0.25">
      <c r="A359" s="20">
        <v>313</v>
      </c>
      <c r="B359" s="21" t="s">
        <v>1083</v>
      </c>
      <c r="C359" t="str">
        <f t="shared" si="15"/>
        <v>FS</v>
      </c>
      <c r="D359" t="str">
        <f t="shared" si="16"/>
        <v>1</v>
      </c>
      <c r="E359" t="str">
        <f t="shared" si="17"/>
        <v>01</v>
      </c>
    </row>
    <row r="360" spans="1:5" x14ac:dyDescent="0.25">
      <c r="A360" s="20">
        <v>317</v>
      </c>
      <c r="B360" s="21" t="s">
        <v>1084</v>
      </c>
      <c r="C360" t="str">
        <f t="shared" si="15"/>
        <v>FS</v>
      </c>
      <c r="D360" t="str">
        <f t="shared" si="16"/>
        <v>2</v>
      </c>
      <c r="E360" t="str">
        <f t="shared" si="17"/>
        <v>01</v>
      </c>
    </row>
    <row r="361" spans="1:5" x14ac:dyDescent="0.25">
      <c r="A361" s="20">
        <v>321</v>
      </c>
      <c r="B361" s="21" t="s">
        <v>1085</v>
      </c>
      <c r="C361" t="str">
        <f t="shared" si="15"/>
        <v>FS</v>
      </c>
      <c r="D361" t="str">
        <f t="shared" si="16"/>
        <v>4</v>
      </c>
      <c r="E361" t="str">
        <f t="shared" si="17"/>
        <v>01</v>
      </c>
    </row>
    <row r="362" spans="1:5" x14ac:dyDescent="0.25">
      <c r="A362" s="20">
        <v>445</v>
      </c>
      <c r="B362" s="21" t="s">
        <v>1086</v>
      </c>
      <c r="C362" t="str">
        <f t="shared" si="15"/>
        <v>AA</v>
      </c>
      <c r="D362" t="str">
        <f t="shared" si="16"/>
        <v>1</v>
      </c>
      <c r="E362" t="str">
        <f t="shared" si="17"/>
        <v>01</v>
      </c>
    </row>
    <row r="363" spans="1:5" x14ac:dyDescent="0.25">
      <c r="A363" s="20">
        <v>449</v>
      </c>
      <c r="B363" s="21" t="s">
        <v>1087</v>
      </c>
      <c r="C363" t="str">
        <f t="shared" si="15"/>
        <v>AA</v>
      </c>
      <c r="D363" t="str">
        <f t="shared" si="16"/>
        <v>2</v>
      </c>
      <c r="E363" t="str">
        <f t="shared" si="17"/>
        <v>01</v>
      </c>
    </row>
    <row r="364" spans="1:5" x14ac:dyDescent="0.25">
      <c r="A364" s="20">
        <v>453</v>
      </c>
      <c r="B364" s="21" t="s">
        <v>1088</v>
      </c>
      <c r="C364" t="str">
        <f t="shared" si="15"/>
        <v>AA</v>
      </c>
      <c r="D364" t="str">
        <f t="shared" si="16"/>
        <v>4</v>
      </c>
      <c r="E364" t="str">
        <f t="shared" si="17"/>
        <v>01</v>
      </c>
    </row>
    <row r="365" spans="1:5" x14ac:dyDescent="0.25">
      <c r="A365" s="20">
        <v>479</v>
      </c>
      <c r="B365" s="21" t="s">
        <v>1089</v>
      </c>
      <c r="C365" t="str">
        <f t="shared" si="15"/>
        <v>FS</v>
      </c>
      <c r="D365" t="str">
        <f t="shared" si="16"/>
        <v>1</v>
      </c>
      <c r="E365" t="str">
        <f t="shared" si="17"/>
        <v>01</v>
      </c>
    </row>
    <row r="366" spans="1:5" x14ac:dyDescent="0.25">
      <c r="A366" s="20">
        <v>457</v>
      </c>
      <c r="B366" s="21" t="s">
        <v>1090</v>
      </c>
      <c r="C366" t="str">
        <f t="shared" si="15"/>
        <v>FS</v>
      </c>
      <c r="D366" t="str">
        <f t="shared" si="16"/>
        <v>2</v>
      </c>
      <c r="E366" t="str">
        <f t="shared" si="17"/>
        <v>01</v>
      </c>
    </row>
    <row r="367" spans="1:5" x14ac:dyDescent="0.25">
      <c r="A367" s="20">
        <v>461</v>
      </c>
      <c r="B367" s="21" t="s">
        <v>1091</v>
      </c>
      <c r="C367" t="str">
        <f t="shared" si="15"/>
        <v>FS</v>
      </c>
      <c r="D367" t="str">
        <f t="shared" si="16"/>
        <v>4</v>
      </c>
      <c r="E367" t="str">
        <f t="shared" si="17"/>
        <v>01</v>
      </c>
    </row>
    <row r="368" spans="1:5" x14ac:dyDescent="0.25">
      <c r="A368" s="20">
        <v>465</v>
      </c>
      <c r="B368" s="21" t="s">
        <v>1092</v>
      </c>
      <c r="C368" t="str">
        <f t="shared" si="15"/>
        <v>AA</v>
      </c>
      <c r="D368" t="str">
        <f t="shared" si="16"/>
        <v>1</v>
      </c>
      <c r="E368" t="str">
        <f t="shared" si="17"/>
        <v>01</v>
      </c>
    </row>
    <row r="369" spans="1:5" x14ac:dyDescent="0.25">
      <c r="A369" s="20">
        <v>469</v>
      </c>
      <c r="B369" s="21" t="s">
        <v>1093</v>
      </c>
      <c r="C369" t="str">
        <f t="shared" si="15"/>
        <v>AA</v>
      </c>
      <c r="D369" t="str">
        <f t="shared" si="16"/>
        <v>2</v>
      </c>
      <c r="E369" t="str">
        <f t="shared" si="17"/>
        <v>01</v>
      </c>
    </row>
    <row r="370" spans="1:5" x14ac:dyDescent="0.25">
      <c r="A370" s="20">
        <v>473</v>
      </c>
      <c r="B370" s="21" t="s">
        <v>1094</v>
      </c>
      <c r="C370" t="str">
        <f t="shared" si="15"/>
        <v>AA</v>
      </c>
      <c r="D370" t="str">
        <f t="shared" si="16"/>
        <v>4</v>
      </c>
      <c r="E370" t="str">
        <f t="shared" si="17"/>
        <v>01</v>
      </c>
    </row>
    <row r="371" spans="1:5" x14ac:dyDescent="0.25">
      <c r="A371" s="20">
        <v>477</v>
      </c>
      <c r="B371" s="21" t="s">
        <v>1095</v>
      </c>
      <c r="C371" t="str">
        <f t="shared" si="15"/>
        <v>FS</v>
      </c>
      <c r="D371" t="str">
        <f t="shared" si="16"/>
        <v>1</v>
      </c>
      <c r="E371" t="str">
        <f t="shared" si="17"/>
        <v>01</v>
      </c>
    </row>
    <row r="372" spans="1:5" x14ac:dyDescent="0.25">
      <c r="A372" s="20">
        <v>485</v>
      </c>
      <c r="B372" s="21" t="s">
        <v>1096</v>
      </c>
      <c r="C372" t="str">
        <f t="shared" si="15"/>
        <v>FS</v>
      </c>
      <c r="D372" t="str">
        <f t="shared" si="16"/>
        <v>2</v>
      </c>
      <c r="E372" t="str">
        <f t="shared" si="17"/>
        <v>01</v>
      </c>
    </row>
    <row r="373" spans="1:5" x14ac:dyDescent="0.25">
      <c r="A373" s="20">
        <v>489</v>
      </c>
      <c r="B373" s="21" t="s">
        <v>1097</v>
      </c>
      <c r="C373" t="str">
        <f t="shared" si="15"/>
        <v>FS</v>
      </c>
      <c r="D373" t="str">
        <f t="shared" si="16"/>
        <v>4</v>
      </c>
      <c r="E373" t="str">
        <f t="shared" si="17"/>
        <v>01</v>
      </c>
    </row>
    <row r="374" spans="1:5" x14ac:dyDescent="0.25">
      <c r="A374" s="20">
        <v>493</v>
      </c>
      <c r="B374" s="21" t="s">
        <v>1098</v>
      </c>
      <c r="C374" t="str">
        <f t="shared" si="15"/>
        <v>AA</v>
      </c>
      <c r="D374" t="str">
        <f t="shared" si="16"/>
        <v>1</v>
      </c>
      <c r="E374" t="str">
        <f t="shared" si="17"/>
        <v>01</v>
      </c>
    </row>
    <row r="375" spans="1:5" x14ac:dyDescent="0.25">
      <c r="A375" s="20">
        <v>497</v>
      </c>
      <c r="B375" s="21" t="s">
        <v>1099</v>
      </c>
      <c r="C375" t="str">
        <f t="shared" si="15"/>
        <v>AA</v>
      </c>
      <c r="D375" t="str">
        <f t="shared" si="16"/>
        <v>2</v>
      </c>
      <c r="E375" t="str">
        <f t="shared" si="17"/>
        <v>01</v>
      </c>
    </row>
    <row r="376" spans="1:5" x14ac:dyDescent="0.25">
      <c r="A376" s="20">
        <v>501</v>
      </c>
      <c r="B376" s="21" t="s">
        <v>1100</v>
      </c>
      <c r="C376" t="str">
        <f t="shared" si="15"/>
        <v>AA</v>
      </c>
      <c r="D376" t="str">
        <f t="shared" si="16"/>
        <v>4</v>
      </c>
      <c r="E376" t="str">
        <f t="shared" si="17"/>
        <v>01</v>
      </c>
    </row>
    <row r="377" spans="1:5" x14ac:dyDescent="0.25">
      <c r="A377" s="20">
        <v>505</v>
      </c>
      <c r="B377" s="21" t="s">
        <v>1101</v>
      </c>
      <c r="C377" t="str">
        <f t="shared" si="15"/>
        <v>FS</v>
      </c>
      <c r="D377" t="str">
        <f t="shared" si="16"/>
        <v>1</v>
      </c>
      <c r="E377" t="str">
        <f t="shared" si="17"/>
        <v>01</v>
      </c>
    </row>
    <row r="378" spans="1:5" x14ac:dyDescent="0.25">
      <c r="A378" s="20">
        <v>509</v>
      </c>
      <c r="B378" s="21" t="s">
        <v>1102</v>
      </c>
      <c r="C378" t="str">
        <f t="shared" si="15"/>
        <v>FS</v>
      </c>
      <c r="D378" t="str">
        <f t="shared" si="16"/>
        <v>2</v>
      </c>
      <c r="E378" t="str">
        <f t="shared" si="17"/>
        <v>01</v>
      </c>
    </row>
    <row r="379" spans="1:5" x14ac:dyDescent="0.25">
      <c r="A379" s="20">
        <v>513</v>
      </c>
      <c r="B379" s="21" t="s">
        <v>1103</v>
      </c>
      <c r="C379" t="str">
        <f t="shared" si="15"/>
        <v>FS</v>
      </c>
      <c r="D379" t="str">
        <f t="shared" si="16"/>
        <v>4</v>
      </c>
      <c r="E379" t="str">
        <f t="shared" si="17"/>
        <v>01</v>
      </c>
    </row>
    <row r="380" spans="1:5" x14ac:dyDescent="0.25">
      <c r="A380" s="20">
        <v>517</v>
      </c>
      <c r="B380" s="21" t="s">
        <v>1104</v>
      </c>
      <c r="C380" t="str">
        <f t="shared" si="15"/>
        <v>AA</v>
      </c>
      <c r="D380" t="str">
        <f t="shared" si="16"/>
        <v>1</v>
      </c>
      <c r="E380" t="str">
        <f t="shared" si="17"/>
        <v>01</v>
      </c>
    </row>
    <row r="381" spans="1:5" x14ac:dyDescent="0.25">
      <c r="A381" s="20">
        <v>521</v>
      </c>
      <c r="B381" s="21" t="s">
        <v>1105</v>
      </c>
      <c r="C381" t="str">
        <f t="shared" si="15"/>
        <v>AA</v>
      </c>
      <c r="D381" t="str">
        <f t="shared" si="16"/>
        <v>2</v>
      </c>
      <c r="E381" t="str">
        <f t="shared" si="17"/>
        <v>01</v>
      </c>
    </row>
    <row r="382" spans="1:5" x14ac:dyDescent="0.25">
      <c r="A382" s="20">
        <v>525</v>
      </c>
      <c r="B382" s="21" t="s">
        <v>1106</v>
      </c>
      <c r="C382" t="str">
        <f t="shared" si="15"/>
        <v>AA</v>
      </c>
      <c r="D382" t="str">
        <f t="shared" si="16"/>
        <v>4</v>
      </c>
      <c r="E382" t="str">
        <f t="shared" si="17"/>
        <v>01</v>
      </c>
    </row>
    <row r="383" spans="1:5" x14ac:dyDescent="0.25">
      <c r="A383" s="20">
        <v>529</v>
      </c>
      <c r="B383" s="21" t="s">
        <v>1107</v>
      </c>
      <c r="C383" t="str">
        <f t="shared" si="15"/>
        <v>FS</v>
      </c>
      <c r="D383" t="str">
        <f t="shared" si="16"/>
        <v>1</v>
      </c>
      <c r="E383" t="str">
        <f t="shared" si="17"/>
        <v>01</v>
      </c>
    </row>
    <row r="384" spans="1:5" x14ac:dyDescent="0.25">
      <c r="A384" s="20">
        <v>537</v>
      </c>
      <c r="B384" s="21" t="s">
        <v>1108</v>
      </c>
      <c r="C384" t="str">
        <f t="shared" si="15"/>
        <v>FS</v>
      </c>
      <c r="D384" t="str">
        <f t="shared" si="16"/>
        <v>2</v>
      </c>
      <c r="E384" t="str">
        <f t="shared" si="17"/>
        <v>01</v>
      </c>
    </row>
    <row r="385" spans="1:5" x14ac:dyDescent="0.25">
      <c r="A385" s="20">
        <v>533</v>
      </c>
      <c r="B385" s="21" t="s">
        <v>1109</v>
      </c>
      <c r="C385" t="str">
        <f t="shared" si="15"/>
        <v>FS</v>
      </c>
      <c r="D385" t="str">
        <f t="shared" si="16"/>
        <v>4</v>
      </c>
      <c r="E385" t="str">
        <f t="shared" si="17"/>
        <v>01</v>
      </c>
    </row>
    <row r="386" spans="1:5" x14ac:dyDescent="0.25">
      <c r="A386" s="20">
        <v>541</v>
      </c>
      <c r="B386" s="21" t="s">
        <v>1110</v>
      </c>
      <c r="C386" t="str">
        <f t="shared" si="15"/>
        <v>AA</v>
      </c>
      <c r="D386" t="str">
        <f t="shared" si="16"/>
        <v>1</v>
      </c>
      <c r="E386" t="str">
        <f t="shared" si="17"/>
        <v>01</v>
      </c>
    </row>
    <row r="387" spans="1:5" x14ac:dyDescent="0.25">
      <c r="A387" s="20">
        <v>545</v>
      </c>
      <c r="B387" s="21" t="s">
        <v>1111</v>
      </c>
      <c r="C387" t="str">
        <f t="shared" ref="C387:C450" si="18">RIGHT(LEFT(B387,11),2)</f>
        <v>AA</v>
      </c>
      <c r="D387" t="str">
        <f t="shared" ref="D387:D450" si="19">RIGHT(LEFT(B387,9),1)</f>
        <v>2</v>
      </c>
      <c r="E387" t="str">
        <f t="shared" ref="E387:E450" si="20">LEFT(B387,2)</f>
        <v>01</v>
      </c>
    </row>
    <row r="388" spans="1:5" x14ac:dyDescent="0.25">
      <c r="A388" s="20">
        <v>549</v>
      </c>
      <c r="B388" s="21" t="s">
        <v>1112</v>
      </c>
      <c r="C388" t="str">
        <f t="shared" si="18"/>
        <v>AA</v>
      </c>
      <c r="D388" t="str">
        <f t="shared" si="19"/>
        <v>4</v>
      </c>
      <c r="E388" t="str">
        <f t="shared" si="20"/>
        <v>01</v>
      </c>
    </row>
    <row r="389" spans="1:5" x14ac:dyDescent="0.25">
      <c r="A389" s="20">
        <v>553</v>
      </c>
      <c r="B389" s="21" t="s">
        <v>1113</v>
      </c>
      <c r="C389" t="str">
        <f t="shared" si="18"/>
        <v>FS</v>
      </c>
      <c r="D389" t="str">
        <f t="shared" si="19"/>
        <v>1</v>
      </c>
      <c r="E389" t="str">
        <f t="shared" si="20"/>
        <v>01</v>
      </c>
    </row>
    <row r="390" spans="1:5" x14ac:dyDescent="0.25">
      <c r="A390" s="20">
        <v>557</v>
      </c>
      <c r="B390" s="21" t="s">
        <v>1114</v>
      </c>
      <c r="C390" t="str">
        <f t="shared" si="18"/>
        <v>FS</v>
      </c>
      <c r="D390" t="str">
        <f t="shared" si="19"/>
        <v>2</v>
      </c>
      <c r="E390" t="str">
        <f t="shared" si="20"/>
        <v>01</v>
      </c>
    </row>
    <row r="391" spans="1:5" x14ac:dyDescent="0.25">
      <c r="A391" s="20">
        <v>561</v>
      </c>
      <c r="B391" s="21" t="s">
        <v>1115</v>
      </c>
      <c r="C391" t="str">
        <f t="shared" si="18"/>
        <v>FS</v>
      </c>
      <c r="D391" t="str">
        <f t="shared" si="19"/>
        <v>4</v>
      </c>
      <c r="E391" t="str">
        <f t="shared" si="20"/>
        <v>01</v>
      </c>
    </row>
    <row r="392" spans="1:5" x14ac:dyDescent="0.25">
      <c r="A392" s="20">
        <v>15</v>
      </c>
      <c r="B392" s="21" t="s">
        <v>1116</v>
      </c>
      <c r="C392" t="str">
        <f t="shared" si="18"/>
        <v>AA</v>
      </c>
      <c r="D392" t="str">
        <f t="shared" si="19"/>
        <v>1</v>
      </c>
      <c r="E392" t="str">
        <f t="shared" si="20"/>
        <v>01</v>
      </c>
    </row>
    <row r="393" spans="1:5" x14ac:dyDescent="0.25">
      <c r="A393" s="20">
        <v>19</v>
      </c>
      <c r="B393" s="21" t="s">
        <v>1117</v>
      </c>
      <c r="C393" t="str">
        <f t="shared" si="18"/>
        <v>AA</v>
      </c>
      <c r="D393" t="str">
        <f t="shared" si="19"/>
        <v>2</v>
      </c>
      <c r="E393" t="str">
        <f t="shared" si="20"/>
        <v>01</v>
      </c>
    </row>
    <row r="394" spans="1:5" x14ac:dyDescent="0.25">
      <c r="A394" s="20">
        <v>35</v>
      </c>
      <c r="B394" s="21" t="s">
        <v>1118</v>
      </c>
      <c r="C394" t="str">
        <f t="shared" si="18"/>
        <v>AA</v>
      </c>
      <c r="D394" t="str">
        <f t="shared" si="19"/>
        <v>4</v>
      </c>
      <c r="E394" t="str">
        <f t="shared" si="20"/>
        <v>01</v>
      </c>
    </row>
    <row r="395" spans="1:5" x14ac:dyDescent="0.25">
      <c r="A395" s="20">
        <v>23</v>
      </c>
      <c r="B395" s="21" t="s">
        <v>1119</v>
      </c>
      <c r="C395" t="str">
        <f t="shared" si="18"/>
        <v>FS</v>
      </c>
      <c r="D395" t="str">
        <f t="shared" si="19"/>
        <v>1</v>
      </c>
      <c r="E395" t="str">
        <f t="shared" si="20"/>
        <v>01</v>
      </c>
    </row>
    <row r="396" spans="1:5" x14ac:dyDescent="0.25">
      <c r="A396" s="20">
        <v>27</v>
      </c>
      <c r="B396" s="21" t="s">
        <v>1120</v>
      </c>
      <c r="C396" t="str">
        <f t="shared" si="18"/>
        <v>FS</v>
      </c>
      <c r="D396" t="str">
        <f t="shared" si="19"/>
        <v>2</v>
      </c>
      <c r="E396" t="str">
        <f t="shared" si="20"/>
        <v>01</v>
      </c>
    </row>
    <row r="397" spans="1:5" x14ac:dyDescent="0.25">
      <c r="A397" s="20">
        <v>31</v>
      </c>
      <c r="B397" s="21" t="s">
        <v>1121</v>
      </c>
      <c r="C397" t="str">
        <f t="shared" si="18"/>
        <v>FS</v>
      </c>
      <c r="D397" t="str">
        <f t="shared" si="19"/>
        <v>4</v>
      </c>
      <c r="E397" t="str">
        <f t="shared" si="20"/>
        <v>01</v>
      </c>
    </row>
    <row r="398" spans="1:5" x14ac:dyDescent="0.25">
      <c r="A398" s="20">
        <v>51</v>
      </c>
      <c r="B398" s="21" t="s">
        <v>1122</v>
      </c>
      <c r="C398" t="str">
        <f t="shared" si="18"/>
        <v>AA</v>
      </c>
      <c r="D398" t="str">
        <f t="shared" si="19"/>
        <v>1</v>
      </c>
      <c r="E398" t="str">
        <f t="shared" si="20"/>
        <v>01</v>
      </c>
    </row>
    <row r="399" spans="1:5" x14ac:dyDescent="0.25">
      <c r="A399" s="20">
        <v>55</v>
      </c>
      <c r="B399" s="21" t="s">
        <v>1123</v>
      </c>
      <c r="C399" t="str">
        <f t="shared" si="18"/>
        <v>AA</v>
      </c>
      <c r="D399" t="str">
        <f t="shared" si="19"/>
        <v>2</v>
      </c>
      <c r="E399" t="str">
        <f t="shared" si="20"/>
        <v>01</v>
      </c>
    </row>
    <row r="400" spans="1:5" x14ac:dyDescent="0.25">
      <c r="A400" s="20">
        <v>59</v>
      </c>
      <c r="B400" s="21" t="s">
        <v>1124</v>
      </c>
      <c r="C400" t="str">
        <f t="shared" si="18"/>
        <v>AA</v>
      </c>
      <c r="D400" t="str">
        <f t="shared" si="19"/>
        <v>4</v>
      </c>
      <c r="E400" t="str">
        <f t="shared" si="20"/>
        <v>01</v>
      </c>
    </row>
    <row r="401" spans="1:5" x14ac:dyDescent="0.25">
      <c r="A401" s="20">
        <v>63</v>
      </c>
      <c r="B401" s="21" t="s">
        <v>1125</v>
      </c>
      <c r="C401" t="str">
        <f t="shared" si="18"/>
        <v>FS</v>
      </c>
      <c r="D401" t="str">
        <f t="shared" si="19"/>
        <v>1</v>
      </c>
      <c r="E401" t="str">
        <f t="shared" si="20"/>
        <v>01</v>
      </c>
    </row>
    <row r="402" spans="1:5" x14ac:dyDescent="0.25">
      <c r="A402" s="20">
        <v>67</v>
      </c>
      <c r="B402" s="21" t="s">
        <v>1126</v>
      </c>
      <c r="C402" t="str">
        <f t="shared" si="18"/>
        <v>FS</v>
      </c>
      <c r="D402" t="str">
        <f t="shared" si="19"/>
        <v>2</v>
      </c>
      <c r="E402" t="str">
        <f t="shared" si="20"/>
        <v>01</v>
      </c>
    </row>
    <row r="403" spans="1:5" x14ac:dyDescent="0.25">
      <c r="A403" s="20">
        <v>71</v>
      </c>
      <c r="B403" s="21" t="s">
        <v>1127</v>
      </c>
      <c r="C403" t="str">
        <f t="shared" si="18"/>
        <v>FS</v>
      </c>
      <c r="D403" t="str">
        <f t="shared" si="19"/>
        <v>4</v>
      </c>
      <c r="E403" t="str">
        <f t="shared" si="20"/>
        <v>01</v>
      </c>
    </row>
    <row r="404" spans="1:5" x14ac:dyDescent="0.25">
      <c r="A404" s="20">
        <v>99</v>
      </c>
      <c r="B404" s="21" t="s">
        <v>1128</v>
      </c>
      <c r="C404" t="str">
        <f t="shared" si="18"/>
        <v>AA</v>
      </c>
      <c r="D404" t="str">
        <f t="shared" si="19"/>
        <v>1</v>
      </c>
      <c r="E404" t="str">
        <f t="shared" si="20"/>
        <v>01</v>
      </c>
    </row>
    <row r="405" spans="1:5" x14ac:dyDescent="0.25">
      <c r="A405" s="20">
        <v>103</v>
      </c>
      <c r="B405" s="21" t="s">
        <v>1129</v>
      </c>
      <c r="C405" t="str">
        <f t="shared" si="18"/>
        <v>AA</v>
      </c>
      <c r="D405" t="str">
        <f t="shared" si="19"/>
        <v>2</v>
      </c>
      <c r="E405" t="str">
        <f t="shared" si="20"/>
        <v>01</v>
      </c>
    </row>
    <row r="406" spans="1:5" x14ac:dyDescent="0.25">
      <c r="A406" s="20">
        <v>107</v>
      </c>
      <c r="B406" s="21" t="s">
        <v>1130</v>
      </c>
      <c r="C406" t="str">
        <f t="shared" si="18"/>
        <v>AA</v>
      </c>
      <c r="D406" t="str">
        <f t="shared" si="19"/>
        <v>4</v>
      </c>
      <c r="E406" t="str">
        <f t="shared" si="20"/>
        <v>01</v>
      </c>
    </row>
    <row r="407" spans="1:5" x14ac:dyDescent="0.25">
      <c r="A407" s="20">
        <v>87</v>
      </c>
      <c r="B407" s="21" t="s">
        <v>1131</v>
      </c>
      <c r="C407" t="str">
        <f t="shared" si="18"/>
        <v>FS</v>
      </c>
      <c r="D407" t="str">
        <f t="shared" si="19"/>
        <v>1</v>
      </c>
      <c r="E407" t="str">
        <f t="shared" si="20"/>
        <v>01</v>
      </c>
    </row>
    <row r="408" spans="1:5" x14ac:dyDescent="0.25">
      <c r="A408" s="20">
        <v>91</v>
      </c>
      <c r="B408" s="21" t="s">
        <v>1132</v>
      </c>
      <c r="C408" t="str">
        <f t="shared" si="18"/>
        <v>FS</v>
      </c>
      <c r="D408" t="str">
        <f t="shared" si="19"/>
        <v>2</v>
      </c>
      <c r="E408" t="str">
        <f t="shared" si="20"/>
        <v>01</v>
      </c>
    </row>
    <row r="409" spans="1:5" x14ac:dyDescent="0.25">
      <c r="A409" s="20">
        <v>95</v>
      </c>
      <c r="B409" s="21" t="s">
        <v>1133</v>
      </c>
      <c r="C409" t="str">
        <f t="shared" si="18"/>
        <v>FS</v>
      </c>
      <c r="D409" t="str">
        <f t="shared" si="19"/>
        <v>4</v>
      </c>
      <c r="E409" t="str">
        <f t="shared" si="20"/>
        <v>01</v>
      </c>
    </row>
    <row r="410" spans="1:5" x14ac:dyDescent="0.25">
      <c r="A410" s="20">
        <v>202</v>
      </c>
      <c r="B410" s="21" t="s">
        <v>1134</v>
      </c>
      <c r="C410" t="str">
        <f t="shared" si="18"/>
        <v>AA</v>
      </c>
      <c r="D410" t="str">
        <f t="shared" si="19"/>
        <v>1</v>
      </c>
      <c r="E410" t="str">
        <f t="shared" si="20"/>
        <v>01</v>
      </c>
    </row>
    <row r="411" spans="1:5" x14ac:dyDescent="0.25">
      <c r="A411" s="20">
        <v>566</v>
      </c>
      <c r="B411" s="21" t="s">
        <v>1135</v>
      </c>
      <c r="C411" t="str">
        <f t="shared" si="18"/>
        <v>AA</v>
      </c>
      <c r="D411" t="str">
        <f t="shared" si="19"/>
        <v>2</v>
      </c>
      <c r="E411" t="str">
        <f t="shared" si="20"/>
        <v>01</v>
      </c>
    </row>
    <row r="412" spans="1:5" x14ac:dyDescent="0.25">
      <c r="A412" s="20">
        <v>569</v>
      </c>
      <c r="B412" s="21" t="s">
        <v>1136</v>
      </c>
      <c r="C412" t="str">
        <f t="shared" si="18"/>
        <v>AA</v>
      </c>
      <c r="D412" t="str">
        <f t="shared" si="19"/>
        <v>4</v>
      </c>
      <c r="E412" t="str">
        <f t="shared" si="20"/>
        <v>01</v>
      </c>
    </row>
    <row r="413" spans="1:5" x14ac:dyDescent="0.25">
      <c r="A413" s="20">
        <v>572</v>
      </c>
      <c r="B413" s="21" t="s">
        <v>1137</v>
      </c>
      <c r="C413" t="str">
        <f t="shared" si="18"/>
        <v>FS</v>
      </c>
      <c r="D413" t="str">
        <f t="shared" si="19"/>
        <v>1</v>
      </c>
      <c r="E413" t="str">
        <f t="shared" si="20"/>
        <v>01</v>
      </c>
    </row>
    <row r="414" spans="1:5" x14ac:dyDescent="0.25">
      <c r="A414" s="20">
        <v>576</v>
      </c>
      <c r="B414" s="21" t="s">
        <v>1138</v>
      </c>
      <c r="C414" t="str">
        <f t="shared" si="18"/>
        <v>FS</v>
      </c>
      <c r="D414" t="str">
        <f t="shared" si="19"/>
        <v>2</v>
      </c>
      <c r="E414" t="str">
        <f t="shared" si="20"/>
        <v>01</v>
      </c>
    </row>
    <row r="415" spans="1:5" x14ac:dyDescent="0.25">
      <c r="A415" s="24">
        <v>578</v>
      </c>
      <c r="B415" s="25" t="s">
        <v>1139</v>
      </c>
      <c r="C415" t="str">
        <f t="shared" si="18"/>
        <v>FS</v>
      </c>
      <c r="D415" t="str">
        <f t="shared" si="19"/>
        <v>4</v>
      </c>
      <c r="E415" t="str">
        <f t="shared" si="20"/>
        <v>01</v>
      </c>
    </row>
    <row r="416" spans="1:5" x14ac:dyDescent="0.25">
      <c r="A416" s="20">
        <v>206</v>
      </c>
      <c r="B416" s="21" t="s">
        <v>1140</v>
      </c>
      <c r="C416" t="str">
        <f t="shared" si="18"/>
        <v>AA</v>
      </c>
      <c r="D416" t="str">
        <f t="shared" si="19"/>
        <v>1</v>
      </c>
      <c r="E416" t="str">
        <f t="shared" si="20"/>
        <v>01</v>
      </c>
    </row>
    <row r="417" spans="1:5" x14ac:dyDescent="0.25">
      <c r="A417" s="24">
        <v>587</v>
      </c>
      <c r="B417" s="25" t="s">
        <v>1141</v>
      </c>
      <c r="C417" t="str">
        <f t="shared" si="18"/>
        <v>AA</v>
      </c>
      <c r="D417" t="str">
        <f t="shared" si="19"/>
        <v>2</v>
      </c>
      <c r="E417" t="str">
        <f t="shared" si="20"/>
        <v>01</v>
      </c>
    </row>
    <row r="418" spans="1:5" x14ac:dyDescent="0.25">
      <c r="A418" s="24">
        <v>590</v>
      </c>
      <c r="B418" s="25" t="s">
        <v>1142</v>
      </c>
      <c r="C418" t="str">
        <f t="shared" si="18"/>
        <v>AA</v>
      </c>
      <c r="D418" t="str">
        <f t="shared" si="19"/>
        <v>4</v>
      </c>
      <c r="E418" t="str">
        <f t="shared" si="20"/>
        <v>01</v>
      </c>
    </row>
    <row r="419" spans="1:5" x14ac:dyDescent="0.25">
      <c r="A419" s="24">
        <v>593</v>
      </c>
      <c r="B419" s="25" t="s">
        <v>1143</v>
      </c>
      <c r="C419" t="str">
        <f t="shared" si="18"/>
        <v>FS</v>
      </c>
      <c r="D419" t="str">
        <f t="shared" si="19"/>
        <v>1</v>
      </c>
      <c r="E419" t="str">
        <f t="shared" si="20"/>
        <v>01</v>
      </c>
    </row>
    <row r="420" spans="1:5" x14ac:dyDescent="0.25">
      <c r="A420" s="24">
        <v>596</v>
      </c>
      <c r="B420" s="25" t="s">
        <v>1144</v>
      </c>
      <c r="C420" t="str">
        <f t="shared" si="18"/>
        <v>FS</v>
      </c>
      <c r="D420" t="str">
        <f t="shared" si="19"/>
        <v>2</v>
      </c>
      <c r="E420" t="str">
        <f t="shared" si="20"/>
        <v>01</v>
      </c>
    </row>
    <row r="421" spans="1:5" x14ac:dyDescent="0.25">
      <c r="A421" s="24">
        <v>599</v>
      </c>
      <c r="B421" s="25" t="s">
        <v>1145</v>
      </c>
      <c r="C421" t="str">
        <f t="shared" si="18"/>
        <v>FS</v>
      </c>
      <c r="D421" t="str">
        <f t="shared" si="19"/>
        <v>4</v>
      </c>
      <c r="E421" t="str">
        <f t="shared" si="20"/>
        <v>01</v>
      </c>
    </row>
    <row r="422" spans="1:5" x14ac:dyDescent="0.25">
      <c r="A422" s="20">
        <v>530</v>
      </c>
      <c r="B422" s="21" t="s">
        <v>1146</v>
      </c>
      <c r="C422" t="str">
        <f t="shared" si="18"/>
        <v>AA</v>
      </c>
      <c r="D422" t="str">
        <f t="shared" si="19"/>
        <v>1</v>
      </c>
      <c r="E422" t="str">
        <f t="shared" si="20"/>
        <v>01</v>
      </c>
    </row>
    <row r="423" spans="1:5" x14ac:dyDescent="0.25">
      <c r="A423" s="20">
        <v>234</v>
      </c>
      <c r="B423" s="21" t="s">
        <v>1147</v>
      </c>
      <c r="C423" t="str">
        <f t="shared" si="18"/>
        <v>AA</v>
      </c>
      <c r="D423" t="str">
        <f t="shared" si="19"/>
        <v>2</v>
      </c>
      <c r="E423" t="str">
        <f t="shared" si="20"/>
        <v>01</v>
      </c>
    </row>
    <row r="424" spans="1:5" x14ac:dyDescent="0.25">
      <c r="A424" s="20">
        <v>238</v>
      </c>
      <c r="B424" s="21" t="s">
        <v>1148</v>
      </c>
      <c r="C424" t="str">
        <f t="shared" si="18"/>
        <v>AA</v>
      </c>
      <c r="D424" t="str">
        <f t="shared" si="19"/>
        <v>4</v>
      </c>
      <c r="E424" t="str">
        <f t="shared" si="20"/>
        <v>01</v>
      </c>
    </row>
    <row r="425" spans="1:5" x14ac:dyDescent="0.25">
      <c r="A425" s="20">
        <v>242</v>
      </c>
      <c r="B425" s="21" t="s">
        <v>1149</v>
      </c>
      <c r="C425" t="str">
        <f t="shared" si="18"/>
        <v>FS</v>
      </c>
      <c r="D425" t="str">
        <f t="shared" si="19"/>
        <v>1</v>
      </c>
      <c r="E425" t="str">
        <f t="shared" si="20"/>
        <v>01</v>
      </c>
    </row>
    <row r="426" spans="1:5" x14ac:dyDescent="0.25">
      <c r="A426" s="20">
        <v>246</v>
      </c>
      <c r="B426" s="21" t="s">
        <v>1150</v>
      </c>
      <c r="C426" t="str">
        <f t="shared" si="18"/>
        <v>FS</v>
      </c>
      <c r="D426" t="str">
        <f t="shared" si="19"/>
        <v>2</v>
      </c>
      <c r="E426" t="str">
        <f t="shared" si="20"/>
        <v>01</v>
      </c>
    </row>
    <row r="427" spans="1:5" x14ac:dyDescent="0.25">
      <c r="A427" s="20">
        <v>250</v>
      </c>
      <c r="B427" s="21" t="s">
        <v>1151</v>
      </c>
      <c r="C427" t="str">
        <f t="shared" si="18"/>
        <v>FS</v>
      </c>
      <c r="D427" t="str">
        <f t="shared" si="19"/>
        <v>4</v>
      </c>
      <c r="E427" t="str">
        <f t="shared" si="20"/>
        <v>01</v>
      </c>
    </row>
    <row r="428" spans="1:5" x14ac:dyDescent="0.25">
      <c r="A428" s="20">
        <v>196</v>
      </c>
      <c r="B428" s="21" t="s">
        <v>1152</v>
      </c>
      <c r="C428" t="str">
        <f t="shared" si="18"/>
        <v>AA</v>
      </c>
      <c r="D428" t="str">
        <f t="shared" si="19"/>
        <v>1</v>
      </c>
      <c r="E428" t="str">
        <f t="shared" si="20"/>
        <v>01</v>
      </c>
    </row>
    <row r="429" spans="1:5" x14ac:dyDescent="0.25">
      <c r="A429" s="20">
        <v>211</v>
      </c>
      <c r="B429" s="21" t="s">
        <v>1153</v>
      </c>
      <c r="C429" t="str">
        <f t="shared" si="18"/>
        <v>AA</v>
      </c>
      <c r="D429" t="str">
        <f t="shared" si="19"/>
        <v>2</v>
      </c>
      <c r="E429" t="str">
        <f t="shared" si="20"/>
        <v>01</v>
      </c>
    </row>
    <row r="430" spans="1:5" x14ac:dyDescent="0.25">
      <c r="A430" s="20">
        <v>215</v>
      </c>
      <c r="B430" s="21" t="s">
        <v>1154</v>
      </c>
      <c r="C430" t="str">
        <f t="shared" si="18"/>
        <v>AA</v>
      </c>
      <c r="D430" t="str">
        <f t="shared" si="19"/>
        <v>4</v>
      </c>
      <c r="E430" t="str">
        <f t="shared" si="20"/>
        <v>01</v>
      </c>
    </row>
    <row r="431" spans="1:5" x14ac:dyDescent="0.25">
      <c r="A431" s="20">
        <v>219</v>
      </c>
      <c r="B431" s="21" t="s">
        <v>1155</v>
      </c>
      <c r="C431" t="str">
        <f t="shared" si="18"/>
        <v>FS</v>
      </c>
      <c r="D431" t="str">
        <f t="shared" si="19"/>
        <v>1</v>
      </c>
      <c r="E431" t="str">
        <f t="shared" si="20"/>
        <v>01</v>
      </c>
    </row>
    <row r="432" spans="1:5" x14ac:dyDescent="0.25">
      <c r="A432" s="20">
        <v>223</v>
      </c>
      <c r="B432" s="21" t="s">
        <v>1156</v>
      </c>
      <c r="C432" t="str">
        <f t="shared" si="18"/>
        <v>FS</v>
      </c>
      <c r="D432" t="str">
        <f t="shared" si="19"/>
        <v>2</v>
      </c>
      <c r="E432" t="str">
        <f t="shared" si="20"/>
        <v>01</v>
      </c>
    </row>
    <row r="433" spans="1:5" x14ac:dyDescent="0.25">
      <c r="A433" s="20">
        <v>227</v>
      </c>
      <c r="B433" s="21" t="s">
        <v>1157</v>
      </c>
      <c r="C433" t="str">
        <f t="shared" si="18"/>
        <v>FS</v>
      </c>
      <c r="D433" t="str">
        <f t="shared" si="19"/>
        <v>4</v>
      </c>
      <c r="E433" t="str">
        <f t="shared" si="20"/>
        <v>01</v>
      </c>
    </row>
    <row r="434" spans="1:5" x14ac:dyDescent="0.25">
      <c r="A434" s="20">
        <v>254</v>
      </c>
      <c r="B434" s="21" t="s">
        <v>1158</v>
      </c>
      <c r="C434" t="str">
        <f t="shared" si="18"/>
        <v>AA</v>
      </c>
      <c r="D434" t="str">
        <f t="shared" si="19"/>
        <v>1</v>
      </c>
      <c r="E434" t="str">
        <f t="shared" si="20"/>
        <v>01</v>
      </c>
    </row>
    <row r="435" spans="1:5" x14ac:dyDescent="0.25">
      <c r="A435" s="20">
        <v>258</v>
      </c>
      <c r="B435" s="21" t="s">
        <v>1159</v>
      </c>
      <c r="C435" t="str">
        <f t="shared" si="18"/>
        <v>AA</v>
      </c>
      <c r="D435" t="str">
        <f t="shared" si="19"/>
        <v>2</v>
      </c>
      <c r="E435" t="str">
        <f t="shared" si="20"/>
        <v>01</v>
      </c>
    </row>
    <row r="436" spans="1:5" x14ac:dyDescent="0.25">
      <c r="A436" s="20">
        <v>262</v>
      </c>
      <c r="B436" s="21" t="s">
        <v>1160</v>
      </c>
      <c r="C436" t="str">
        <f t="shared" si="18"/>
        <v>AA</v>
      </c>
      <c r="D436" t="str">
        <f t="shared" si="19"/>
        <v>4</v>
      </c>
      <c r="E436" t="str">
        <f t="shared" si="20"/>
        <v>01</v>
      </c>
    </row>
    <row r="437" spans="1:5" x14ac:dyDescent="0.25">
      <c r="A437" s="20">
        <v>266</v>
      </c>
      <c r="B437" s="21" t="s">
        <v>1161</v>
      </c>
      <c r="C437" t="str">
        <f t="shared" si="18"/>
        <v>FS</v>
      </c>
      <c r="D437" t="str">
        <f t="shared" si="19"/>
        <v>1</v>
      </c>
      <c r="E437" t="str">
        <f t="shared" si="20"/>
        <v>01</v>
      </c>
    </row>
    <row r="438" spans="1:5" x14ac:dyDescent="0.25">
      <c r="A438" s="20">
        <v>270</v>
      </c>
      <c r="B438" s="21" t="s">
        <v>1162</v>
      </c>
      <c r="C438" t="str">
        <f t="shared" si="18"/>
        <v>FS</v>
      </c>
      <c r="D438" t="str">
        <f t="shared" si="19"/>
        <v>2</v>
      </c>
      <c r="E438" t="str">
        <f t="shared" si="20"/>
        <v>01</v>
      </c>
    </row>
    <row r="439" spans="1:5" x14ac:dyDescent="0.25">
      <c r="A439" s="20">
        <v>274</v>
      </c>
      <c r="B439" s="21" t="s">
        <v>1163</v>
      </c>
      <c r="C439" t="str">
        <f t="shared" si="18"/>
        <v>FS</v>
      </c>
      <c r="D439" t="str">
        <f t="shared" si="19"/>
        <v>4</v>
      </c>
      <c r="E439" t="str">
        <f t="shared" si="20"/>
        <v>01</v>
      </c>
    </row>
    <row r="440" spans="1:5" x14ac:dyDescent="0.25">
      <c r="A440" s="20">
        <v>278</v>
      </c>
      <c r="B440" s="21" t="s">
        <v>1164</v>
      </c>
      <c r="C440" t="str">
        <f t="shared" si="18"/>
        <v>AA</v>
      </c>
      <c r="D440" t="str">
        <f t="shared" si="19"/>
        <v>1</v>
      </c>
      <c r="E440" t="str">
        <f t="shared" si="20"/>
        <v>01</v>
      </c>
    </row>
    <row r="441" spans="1:5" x14ac:dyDescent="0.25">
      <c r="A441" s="20">
        <v>282</v>
      </c>
      <c r="B441" s="21" t="s">
        <v>1165</v>
      </c>
      <c r="C441" t="str">
        <f t="shared" si="18"/>
        <v>AA</v>
      </c>
      <c r="D441" t="str">
        <f t="shared" si="19"/>
        <v>2</v>
      </c>
      <c r="E441" t="str">
        <f t="shared" si="20"/>
        <v>01</v>
      </c>
    </row>
    <row r="442" spans="1:5" x14ac:dyDescent="0.25">
      <c r="A442" s="20">
        <v>286</v>
      </c>
      <c r="B442" s="21" t="s">
        <v>1166</v>
      </c>
      <c r="C442" t="str">
        <f t="shared" si="18"/>
        <v>AA</v>
      </c>
      <c r="D442" t="str">
        <f t="shared" si="19"/>
        <v>4</v>
      </c>
      <c r="E442" t="str">
        <f t="shared" si="20"/>
        <v>01</v>
      </c>
    </row>
    <row r="443" spans="1:5" x14ac:dyDescent="0.25">
      <c r="A443" s="20">
        <v>290</v>
      </c>
      <c r="B443" s="21" t="s">
        <v>1167</v>
      </c>
      <c r="C443" t="str">
        <f t="shared" si="18"/>
        <v>FS</v>
      </c>
      <c r="D443" t="str">
        <f t="shared" si="19"/>
        <v>1</v>
      </c>
      <c r="E443" t="str">
        <f t="shared" si="20"/>
        <v>01</v>
      </c>
    </row>
    <row r="444" spans="1:5" x14ac:dyDescent="0.25">
      <c r="A444" s="20">
        <v>294</v>
      </c>
      <c r="B444" s="21" t="s">
        <v>1168</v>
      </c>
      <c r="C444" t="str">
        <f t="shared" si="18"/>
        <v>FS</v>
      </c>
      <c r="D444" t="str">
        <f t="shared" si="19"/>
        <v>2</v>
      </c>
      <c r="E444" t="str">
        <f t="shared" si="20"/>
        <v>01</v>
      </c>
    </row>
    <row r="445" spans="1:5" x14ac:dyDescent="0.25">
      <c r="A445" s="20">
        <v>298</v>
      </c>
      <c r="B445" s="21" t="s">
        <v>1169</v>
      </c>
      <c r="C445" t="str">
        <f t="shared" si="18"/>
        <v>FS</v>
      </c>
      <c r="D445" t="str">
        <f t="shared" si="19"/>
        <v>4</v>
      </c>
      <c r="E445" t="str">
        <f t="shared" si="20"/>
        <v>01</v>
      </c>
    </row>
    <row r="446" spans="1:5" x14ac:dyDescent="0.25">
      <c r="A446" s="20">
        <v>302</v>
      </c>
      <c r="B446" s="21" t="s">
        <v>1170</v>
      </c>
      <c r="C446" t="str">
        <f t="shared" si="18"/>
        <v>AA</v>
      </c>
      <c r="D446" t="str">
        <f t="shared" si="19"/>
        <v>1</v>
      </c>
      <c r="E446" t="str">
        <f t="shared" si="20"/>
        <v>01</v>
      </c>
    </row>
    <row r="447" spans="1:5" x14ac:dyDescent="0.25">
      <c r="A447" s="20">
        <v>306</v>
      </c>
      <c r="B447" s="21" t="s">
        <v>1171</v>
      </c>
      <c r="C447" t="str">
        <f t="shared" si="18"/>
        <v>AA</v>
      </c>
      <c r="D447" t="str">
        <f t="shared" si="19"/>
        <v>2</v>
      </c>
      <c r="E447" t="str">
        <f t="shared" si="20"/>
        <v>01</v>
      </c>
    </row>
    <row r="448" spans="1:5" x14ac:dyDescent="0.25">
      <c r="A448" s="20">
        <v>310</v>
      </c>
      <c r="B448" s="21" t="s">
        <v>1172</v>
      </c>
      <c r="C448" t="str">
        <f t="shared" si="18"/>
        <v>AA</v>
      </c>
      <c r="D448" t="str">
        <f t="shared" si="19"/>
        <v>4</v>
      </c>
      <c r="E448" t="str">
        <f t="shared" si="20"/>
        <v>01</v>
      </c>
    </row>
    <row r="449" spans="1:5" x14ac:dyDescent="0.25">
      <c r="A449" s="20">
        <v>314</v>
      </c>
      <c r="B449" s="21" t="s">
        <v>1173</v>
      </c>
      <c r="C449" t="str">
        <f t="shared" si="18"/>
        <v>FS</v>
      </c>
      <c r="D449" t="str">
        <f t="shared" si="19"/>
        <v>1</v>
      </c>
      <c r="E449" t="str">
        <f t="shared" si="20"/>
        <v>01</v>
      </c>
    </row>
    <row r="450" spans="1:5" x14ac:dyDescent="0.25">
      <c r="A450" s="20">
        <v>318</v>
      </c>
      <c r="B450" s="21" t="s">
        <v>1174</v>
      </c>
      <c r="C450" t="str">
        <f t="shared" si="18"/>
        <v>FS</v>
      </c>
      <c r="D450" t="str">
        <f t="shared" si="19"/>
        <v>2</v>
      </c>
      <c r="E450" t="str">
        <f t="shared" si="20"/>
        <v>01</v>
      </c>
    </row>
    <row r="451" spans="1:5" x14ac:dyDescent="0.25">
      <c r="A451" s="20">
        <v>322</v>
      </c>
      <c r="B451" s="21" t="s">
        <v>1175</v>
      </c>
      <c r="C451" t="str">
        <f t="shared" ref="C451:C514" si="21">RIGHT(LEFT(B451,11),2)</f>
        <v>FS</v>
      </c>
      <c r="D451" t="str">
        <f t="shared" ref="D451:D514" si="22">RIGHT(LEFT(B451,9),1)</f>
        <v>4</v>
      </c>
      <c r="E451" t="str">
        <f t="shared" ref="E451:E514" si="23">LEFT(B451,2)</f>
        <v>01</v>
      </c>
    </row>
    <row r="452" spans="1:5" x14ac:dyDescent="0.25">
      <c r="A452" s="20">
        <v>446</v>
      </c>
      <c r="B452" s="21" t="s">
        <v>1176</v>
      </c>
      <c r="C452" t="str">
        <f t="shared" si="21"/>
        <v>AA</v>
      </c>
      <c r="D452" t="str">
        <f t="shared" si="22"/>
        <v>1</v>
      </c>
      <c r="E452" t="str">
        <f t="shared" si="23"/>
        <v>01</v>
      </c>
    </row>
    <row r="453" spans="1:5" x14ac:dyDescent="0.25">
      <c r="A453" s="20">
        <v>450</v>
      </c>
      <c r="B453" s="21" t="s">
        <v>1177</v>
      </c>
      <c r="C453" t="str">
        <f t="shared" si="21"/>
        <v>AA</v>
      </c>
      <c r="D453" t="str">
        <f t="shared" si="22"/>
        <v>2</v>
      </c>
      <c r="E453" t="str">
        <f t="shared" si="23"/>
        <v>01</v>
      </c>
    </row>
    <row r="454" spans="1:5" x14ac:dyDescent="0.25">
      <c r="A454" s="20">
        <v>454</v>
      </c>
      <c r="B454" s="21" t="s">
        <v>1178</v>
      </c>
      <c r="C454" t="str">
        <f t="shared" si="21"/>
        <v>AA</v>
      </c>
      <c r="D454" t="str">
        <f t="shared" si="22"/>
        <v>4</v>
      </c>
      <c r="E454" t="str">
        <f t="shared" si="23"/>
        <v>01</v>
      </c>
    </row>
    <row r="455" spans="1:5" x14ac:dyDescent="0.25">
      <c r="A455" s="20">
        <v>480</v>
      </c>
      <c r="B455" s="21" t="s">
        <v>1179</v>
      </c>
      <c r="C455" t="str">
        <f t="shared" si="21"/>
        <v>FS</v>
      </c>
      <c r="D455" t="str">
        <f t="shared" si="22"/>
        <v>1</v>
      </c>
      <c r="E455" t="str">
        <f t="shared" si="23"/>
        <v>01</v>
      </c>
    </row>
    <row r="456" spans="1:5" x14ac:dyDescent="0.25">
      <c r="A456" s="20">
        <v>458</v>
      </c>
      <c r="B456" s="21" t="s">
        <v>1180</v>
      </c>
      <c r="C456" t="str">
        <f t="shared" si="21"/>
        <v>FS</v>
      </c>
      <c r="D456" t="str">
        <f t="shared" si="22"/>
        <v>2</v>
      </c>
      <c r="E456" t="str">
        <f t="shared" si="23"/>
        <v>01</v>
      </c>
    </row>
    <row r="457" spans="1:5" x14ac:dyDescent="0.25">
      <c r="A457" s="20">
        <v>462</v>
      </c>
      <c r="B457" s="21" t="s">
        <v>1181</v>
      </c>
      <c r="C457" t="str">
        <f t="shared" si="21"/>
        <v>FS</v>
      </c>
      <c r="D457" t="str">
        <f t="shared" si="22"/>
        <v>4</v>
      </c>
      <c r="E457" t="str">
        <f t="shared" si="23"/>
        <v>01</v>
      </c>
    </row>
    <row r="458" spans="1:5" x14ac:dyDescent="0.25">
      <c r="A458" s="20">
        <v>466</v>
      </c>
      <c r="B458" s="21" t="s">
        <v>1182</v>
      </c>
      <c r="C458" t="str">
        <f t="shared" si="21"/>
        <v>AA</v>
      </c>
      <c r="D458" t="str">
        <f t="shared" si="22"/>
        <v>1</v>
      </c>
      <c r="E458" t="str">
        <f t="shared" si="23"/>
        <v>01</v>
      </c>
    </row>
    <row r="459" spans="1:5" x14ac:dyDescent="0.25">
      <c r="A459" s="20">
        <v>470</v>
      </c>
      <c r="B459" s="21" t="s">
        <v>1183</v>
      </c>
      <c r="C459" t="str">
        <f t="shared" si="21"/>
        <v>AA</v>
      </c>
      <c r="D459" t="str">
        <f t="shared" si="22"/>
        <v>2</v>
      </c>
      <c r="E459" t="str">
        <f t="shared" si="23"/>
        <v>01</v>
      </c>
    </row>
    <row r="460" spans="1:5" x14ac:dyDescent="0.25">
      <c r="A460" s="20">
        <v>474</v>
      </c>
      <c r="B460" s="21" t="s">
        <v>1184</v>
      </c>
      <c r="C460" t="str">
        <f t="shared" si="21"/>
        <v>AA</v>
      </c>
      <c r="D460" t="str">
        <f t="shared" si="22"/>
        <v>4</v>
      </c>
      <c r="E460" t="str">
        <f t="shared" si="23"/>
        <v>01</v>
      </c>
    </row>
    <row r="461" spans="1:5" x14ac:dyDescent="0.25">
      <c r="A461" s="20">
        <v>482</v>
      </c>
      <c r="B461" s="21" t="s">
        <v>1185</v>
      </c>
      <c r="C461" t="str">
        <f t="shared" si="21"/>
        <v>FS</v>
      </c>
      <c r="D461" t="str">
        <f t="shared" si="22"/>
        <v>1</v>
      </c>
      <c r="E461" t="str">
        <f t="shared" si="23"/>
        <v>01</v>
      </c>
    </row>
    <row r="462" spans="1:5" x14ac:dyDescent="0.25">
      <c r="A462" s="20">
        <v>486</v>
      </c>
      <c r="B462" s="21" t="s">
        <v>1186</v>
      </c>
      <c r="C462" t="str">
        <f t="shared" si="21"/>
        <v>FS</v>
      </c>
      <c r="D462" t="str">
        <f t="shared" si="22"/>
        <v>2</v>
      </c>
      <c r="E462" t="str">
        <f t="shared" si="23"/>
        <v>01</v>
      </c>
    </row>
    <row r="463" spans="1:5" x14ac:dyDescent="0.25">
      <c r="A463" s="20">
        <v>490</v>
      </c>
      <c r="B463" s="21" t="s">
        <v>1187</v>
      </c>
      <c r="C463" t="str">
        <f t="shared" si="21"/>
        <v>FS</v>
      </c>
      <c r="D463" t="str">
        <f t="shared" si="22"/>
        <v>4</v>
      </c>
      <c r="E463" t="str">
        <f t="shared" si="23"/>
        <v>01</v>
      </c>
    </row>
    <row r="464" spans="1:5" x14ac:dyDescent="0.25">
      <c r="A464" s="20">
        <v>494</v>
      </c>
      <c r="B464" s="21" t="s">
        <v>1188</v>
      </c>
      <c r="C464" t="str">
        <f t="shared" si="21"/>
        <v>AA</v>
      </c>
      <c r="D464" t="str">
        <f t="shared" si="22"/>
        <v>1</v>
      </c>
      <c r="E464" t="str">
        <f t="shared" si="23"/>
        <v>01</v>
      </c>
    </row>
    <row r="465" spans="1:5" x14ac:dyDescent="0.25">
      <c r="A465" s="20">
        <v>498</v>
      </c>
      <c r="B465" s="21" t="s">
        <v>1189</v>
      </c>
      <c r="C465" t="str">
        <f t="shared" si="21"/>
        <v>AA</v>
      </c>
      <c r="D465" t="str">
        <f t="shared" si="22"/>
        <v>2</v>
      </c>
      <c r="E465" t="str">
        <f t="shared" si="23"/>
        <v>01</v>
      </c>
    </row>
    <row r="466" spans="1:5" x14ac:dyDescent="0.25">
      <c r="A466" s="20">
        <v>502</v>
      </c>
      <c r="B466" s="21" t="s">
        <v>1190</v>
      </c>
      <c r="C466" t="str">
        <f t="shared" si="21"/>
        <v>AA</v>
      </c>
      <c r="D466" t="str">
        <f t="shared" si="22"/>
        <v>4</v>
      </c>
      <c r="E466" t="str">
        <f t="shared" si="23"/>
        <v>01</v>
      </c>
    </row>
    <row r="467" spans="1:5" x14ac:dyDescent="0.25">
      <c r="A467" s="20">
        <v>506</v>
      </c>
      <c r="B467" s="21" t="s">
        <v>1191</v>
      </c>
      <c r="C467" t="str">
        <f t="shared" si="21"/>
        <v>FS</v>
      </c>
      <c r="D467" t="str">
        <f t="shared" si="22"/>
        <v>1</v>
      </c>
      <c r="E467" t="str">
        <f t="shared" si="23"/>
        <v>01</v>
      </c>
    </row>
    <row r="468" spans="1:5" x14ac:dyDescent="0.25">
      <c r="A468" s="20">
        <v>510</v>
      </c>
      <c r="B468" s="21" t="s">
        <v>1192</v>
      </c>
      <c r="C468" t="str">
        <f t="shared" si="21"/>
        <v>FS</v>
      </c>
      <c r="D468" t="str">
        <f t="shared" si="22"/>
        <v>2</v>
      </c>
      <c r="E468" t="str">
        <f t="shared" si="23"/>
        <v>01</v>
      </c>
    </row>
    <row r="469" spans="1:5" x14ac:dyDescent="0.25">
      <c r="A469" s="20">
        <v>514</v>
      </c>
      <c r="B469" s="21" t="s">
        <v>1193</v>
      </c>
      <c r="C469" t="str">
        <f t="shared" si="21"/>
        <v>FS</v>
      </c>
      <c r="D469" t="str">
        <f t="shared" si="22"/>
        <v>4</v>
      </c>
      <c r="E469" t="str">
        <f t="shared" si="23"/>
        <v>01</v>
      </c>
    </row>
    <row r="470" spans="1:5" x14ac:dyDescent="0.25">
      <c r="A470" s="20">
        <v>518</v>
      </c>
      <c r="B470" s="21" t="s">
        <v>1194</v>
      </c>
      <c r="C470" t="str">
        <f t="shared" si="21"/>
        <v>AA</v>
      </c>
      <c r="D470" t="str">
        <f t="shared" si="22"/>
        <v>1</v>
      </c>
      <c r="E470" t="str">
        <f t="shared" si="23"/>
        <v>01</v>
      </c>
    </row>
    <row r="471" spans="1:5" x14ac:dyDescent="0.25">
      <c r="A471" s="20">
        <v>522</v>
      </c>
      <c r="B471" s="21" t="s">
        <v>1195</v>
      </c>
      <c r="C471" t="str">
        <f t="shared" si="21"/>
        <v>AA</v>
      </c>
      <c r="D471" t="str">
        <f t="shared" si="22"/>
        <v>2</v>
      </c>
      <c r="E471" t="str">
        <f t="shared" si="23"/>
        <v>01</v>
      </c>
    </row>
    <row r="472" spans="1:5" x14ac:dyDescent="0.25">
      <c r="A472" s="20">
        <v>526</v>
      </c>
      <c r="B472" s="21" t="s">
        <v>1196</v>
      </c>
      <c r="C472" t="str">
        <f t="shared" si="21"/>
        <v>AA</v>
      </c>
      <c r="D472" t="str">
        <f t="shared" si="22"/>
        <v>4</v>
      </c>
      <c r="E472" t="str">
        <f t="shared" si="23"/>
        <v>01</v>
      </c>
    </row>
    <row r="473" spans="1:5" x14ac:dyDescent="0.25">
      <c r="A473" s="20">
        <v>530</v>
      </c>
      <c r="B473" s="21" t="s">
        <v>1197</v>
      </c>
      <c r="C473" t="str">
        <f t="shared" si="21"/>
        <v>FS</v>
      </c>
      <c r="D473" t="str">
        <f t="shared" si="22"/>
        <v>1</v>
      </c>
      <c r="E473" t="str">
        <f t="shared" si="23"/>
        <v>01</v>
      </c>
    </row>
    <row r="474" spans="1:5" x14ac:dyDescent="0.25">
      <c r="A474" s="20">
        <v>538</v>
      </c>
      <c r="B474" s="21" t="s">
        <v>1198</v>
      </c>
      <c r="C474" t="str">
        <f t="shared" si="21"/>
        <v>FS</v>
      </c>
      <c r="D474" t="str">
        <f t="shared" si="22"/>
        <v>2</v>
      </c>
      <c r="E474" t="str">
        <f t="shared" si="23"/>
        <v>01</v>
      </c>
    </row>
    <row r="475" spans="1:5" x14ac:dyDescent="0.25">
      <c r="A475" s="20">
        <v>534</v>
      </c>
      <c r="B475" s="21" t="s">
        <v>1199</v>
      </c>
      <c r="C475" t="str">
        <f t="shared" si="21"/>
        <v>FS</v>
      </c>
      <c r="D475" t="str">
        <f t="shared" si="22"/>
        <v>4</v>
      </c>
      <c r="E475" t="str">
        <f t="shared" si="23"/>
        <v>01</v>
      </c>
    </row>
    <row r="476" spans="1:5" x14ac:dyDescent="0.25">
      <c r="A476" s="20">
        <v>542</v>
      </c>
      <c r="B476" s="21" t="s">
        <v>1200</v>
      </c>
      <c r="C476" t="str">
        <f t="shared" si="21"/>
        <v>AA</v>
      </c>
      <c r="D476" t="str">
        <f t="shared" si="22"/>
        <v>1</v>
      </c>
      <c r="E476" t="str">
        <f t="shared" si="23"/>
        <v>01</v>
      </c>
    </row>
    <row r="477" spans="1:5" x14ac:dyDescent="0.25">
      <c r="A477" s="20">
        <v>546</v>
      </c>
      <c r="B477" s="21" t="s">
        <v>1201</v>
      </c>
      <c r="C477" t="str">
        <f t="shared" si="21"/>
        <v>AA</v>
      </c>
      <c r="D477" t="str">
        <f t="shared" si="22"/>
        <v>2</v>
      </c>
      <c r="E477" t="str">
        <f t="shared" si="23"/>
        <v>01</v>
      </c>
    </row>
    <row r="478" spans="1:5" x14ac:dyDescent="0.25">
      <c r="A478" s="20">
        <v>550</v>
      </c>
      <c r="B478" s="21" t="s">
        <v>1202</v>
      </c>
      <c r="C478" t="str">
        <f t="shared" si="21"/>
        <v>AA</v>
      </c>
      <c r="D478" t="str">
        <f t="shared" si="22"/>
        <v>4</v>
      </c>
      <c r="E478" t="str">
        <f t="shared" si="23"/>
        <v>01</v>
      </c>
    </row>
    <row r="479" spans="1:5" x14ac:dyDescent="0.25">
      <c r="A479" s="20">
        <v>554</v>
      </c>
      <c r="B479" s="21" t="s">
        <v>1203</v>
      </c>
      <c r="C479" t="str">
        <f t="shared" si="21"/>
        <v>FS</v>
      </c>
      <c r="D479" t="str">
        <f t="shared" si="22"/>
        <v>1</v>
      </c>
      <c r="E479" t="str">
        <f t="shared" si="23"/>
        <v>01</v>
      </c>
    </row>
    <row r="480" spans="1:5" x14ac:dyDescent="0.25">
      <c r="A480" s="20">
        <v>558</v>
      </c>
      <c r="B480" s="21" t="s">
        <v>1204</v>
      </c>
      <c r="C480" t="str">
        <f t="shared" si="21"/>
        <v>FS</v>
      </c>
      <c r="D480" t="str">
        <f t="shared" si="22"/>
        <v>2</v>
      </c>
      <c r="E480" t="str">
        <f t="shared" si="23"/>
        <v>01</v>
      </c>
    </row>
    <row r="481" spans="1:5" x14ac:dyDescent="0.25">
      <c r="A481" s="20">
        <v>562</v>
      </c>
      <c r="B481" s="21" t="s">
        <v>1205</v>
      </c>
      <c r="C481" t="str">
        <f t="shared" si="21"/>
        <v>FS</v>
      </c>
      <c r="D481" t="str">
        <f t="shared" si="22"/>
        <v>4</v>
      </c>
      <c r="E481" t="str">
        <f t="shared" si="23"/>
        <v>01</v>
      </c>
    </row>
    <row r="482" spans="1:5" x14ac:dyDescent="0.25">
      <c r="A482" s="20">
        <v>16</v>
      </c>
      <c r="B482" s="21" t="s">
        <v>1206</v>
      </c>
      <c r="C482" t="str">
        <f t="shared" si="21"/>
        <v>AA</v>
      </c>
      <c r="D482" t="str">
        <f t="shared" si="22"/>
        <v>1</v>
      </c>
      <c r="E482" t="str">
        <f t="shared" si="23"/>
        <v>01</v>
      </c>
    </row>
    <row r="483" spans="1:5" x14ac:dyDescent="0.25">
      <c r="A483" s="20">
        <v>20</v>
      </c>
      <c r="B483" s="21" t="s">
        <v>1207</v>
      </c>
      <c r="C483" t="str">
        <f t="shared" si="21"/>
        <v>AA</v>
      </c>
      <c r="D483" t="str">
        <f t="shared" si="22"/>
        <v>2</v>
      </c>
      <c r="E483" t="str">
        <f t="shared" si="23"/>
        <v>01</v>
      </c>
    </row>
    <row r="484" spans="1:5" x14ac:dyDescent="0.25">
      <c r="A484" s="20">
        <v>36</v>
      </c>
      <c r="B484" s="21" t="s">
        <v>1208</v>
      </c>
      <c r="C484" t="str">
        <f t="shared" si="21"/>
        <v>AA</v>
      </c>
      <c r="D484" t="str">
        <f t="shared" si="22"/>
        <v>4</v>
      </c>
      <c r="E484" t="str">
        <f t="shared" si="23"/>
        <v>01</v>
      </c>
    </row>
    <row r="485" spans="1:5" x14ac:dyDescent="0.25">
      <c r="A485" s="20">
        <v>24</v>
      </c>
      <c r="B485" s="21" t="s">
        <v>1209</v>
      </c>
      <c r="C485" t="str">
        <f t="shared" si="21"/>
        <v>FS</v>
      </c>
      <c r="D485" t="str">
        <f t="shared" si="22"/>
        <v>1</v>
      </c>
      <c r="E485" t="str">
        <f t="shared" si="23"/>
        <v>01</v>
      </c>
    </row>
    <row r="486" spans="1:5" x14ac:dyDescent="0.25">
      <c r="A486" s="20">
        <v>28</v>
      </c>
      <c r="B486" s="21" t="s">
        <v>1210</v>
      </c>
      <c r="C486" t="str">
        <f t="shared" si="21"/>
        <v>FS</v>
      </c>
      <c r="D486" t="str">
        <f t="shared" si="22"/>
        <v>2</v>
      </c>
      <c r="E486" t="str">
        <f t="shared" si="23"/>
        <v>01</v>
      </c>
    </row>
    <row r="487" spans="1:5" x14ac:dyDescent="0.25">
      <c r="A487" s="20">
        <v>32</v>
      </c>
      <c r="B487" s="21" t="s">
        <v>1211</v>
      </c>
      <c r="C487" t="str">
        <f t="shared" si="21"/>
        <v>FS</v>
      </c>
      <c r="D487" t="str">
        <f t="shared" si="22"/>
        <v>4</v>
      </c>
      <c r="E487" t="str">
        <f t="shared" si="23"/>
        <v>01</v>
      </c>
    </row>
    <row r="488" spans="1:5" x14ac:dyDescent="0.25">
      <c r="A488" s="20">
        <v>52</v>
      </c>
      <c r="B488" s="21" t="s">
        <v>1212</v>
      </c>
      <c r="C488" t="str">
        <f t="shared" si="21"/>
        <v>AA</v>
      </c>
      <c r="D488" t="str">
        <f t="shared" si="22"/>
        <v>1</v>
      </c>
      <c r="E488" t="str">
        <f t="shared" si="23"/>
        <v>01</v>
      </c>
    </row>
    <row r="489" spans="1:5" x14ac:dyDescent="0.25">
      <c r="A489" s="20">
        <v>56</v>
      </c>
      <c r="B489" s="21" t="s">
        <v>1213</v>
      </c>
      <c r="C489" t="str">
        <f t="shared" si="21"/>
        <v>AA</v>
      </c>
      <c r="D489" t="str">
        <f t="shared" si="22"/>
        <v>2</v>
      </c>
      <c r="E489" t="str">
        <f t="shared" si="23"/>
        <v>01</v>
      </c>
    </row>
    <row r="490" spans="1:5" x14ac:dyDescent="0.25">
      <c r="A490" s="20">
        <v>60</v>
      </c>
      <c r="B490" s="21" t="s">
        <v>1214</v>
      </c>
      <c r="C490" t="str">
        <f t="shared" si="21"/>
        <v>AA</v>
      </c>
      <c r="D490" t="str">
        <f t="shared" si="22"/>
        <v>4</v>
      </c>
      <c r="E490" t="str">
        <f t="shared" si="23"/>
        <v>01</v>
      </c>
    </row>
    <row r="491" spans="1:5" x14ac:dyDescent="0.25">
      <c r="A491" s="20">
        <v>64</v>
      </c>
      <c r="B491" s="21" t="s">
        <v>1215</v>
      </c>
      <c r="C491" t="str">
        <f t="shared" si="21"/>
        <v>FS</v>
      </c>
      <c r="D491" t="str">
        <f t="shared" si="22"/>
        <v>1</v>
      </c>
      <c r="E491" t="str">
        <f t="shared" si="23"/>
        <v>01</v>
      </c>
    </row>
    <row r="492" spans="1:5" x14ac:dyDescent="0.25">
      <c r="A492" s="20">
        <v>68</v>
      </c>
      <c r="B492" s="21" t="s">
        <v>1216</v>
      </c>
      <c r="C492" t="str">
        <f t="shared" si="21"/>
        <v>FS</v>
      </c>
      <c r="D492" t="str">
        <f t="shared" si="22"/>
        <v>2</v>
      </c>
      <c r="E492" t="str">
        <f t="shared" si="23"/>
        <v>01</v>
      </c>
    </row>
    <row r="493" spans="1:5" x14ac:dyDescent="0.25">
      <c r="A493" s="20">
        <v>72</v>
      </c>
      <c r="B493" s="21" t="s">
        <v>1217</v>
      </c>
      <c r="C493" t="str">
        <f t="shared" si="21"/>
        <v>FS</v>
      </c>
      <c r="D493" t="str">
        <f t="shared" si="22"/>
        <v>4</v>
      </c>
      <c r="E493" t="str">
        <f t="shared" si="23"/>
        <v>01</v>
      </c>
    </row>
    <row r="494" spans="1:5" x14ac:dyDescent="0.25">
      <c r="A494" s="20">
        <v>100</v>
      </c>
      <c r="B494" s="21" t="s">
        <v>1218</v>
      </c>
      <c r="C494" t="str">
        <f t="shared" si="21"/>
        <v>AA</v>
      </c>
      <c r="D494" t="str">
        <f t="shared" si="22"/>
        <v>1</v>
      </c>
      <c r="E494" t="str">
        <f t="shared" si="23"/>
        <v>01</v>
      </c>
    </row>
    <row r="495" spans="1:5" x14ac:dyDescent="0.25">
      <c r="A495" s="20">
        <v>104</v>
      </c>
      <c r="B495" s="21" t="s">
        <v>1219</v>
      </c>
      <c r="C495" t="str">
        <f t="shared" si="21"/>
        <v>AA</v>
      </c>
      <c r="D495" t="str">
        <f t="shared" si="22"/>
        <v>2</v>
      </c>
      <c r="E495" t="str">
        <f t="shared" si="23"/>
        <v>01</v>
      </c>
    </row>
    <row r="496" spans="1:5" x14ac:dyDescent="0.25">
      <c r="A496" s="20">
        <v>108</v>
      </c>
      <c r="B496" s="21" t="s">
        <v>1220</v>
      </c>
      <c r="C496" t="str">
        <f t="shared" si="21"/>
        <v>AA</v>
      </c>
      <c r="D496" t="str">
        <f t="shared" si="22"/>
        <v>4</v>
      </c>
      <c r="E496" t="str">
        <f t="shared" si="23"/>
        <v>01</v>
      </c>
    </row>
    <row r="497" spans="1:5" x14ac:dyDescent="0.25">
      <c r="A497" s="20">
        <v>88</v>
      </c>
      <c r="B497" s="21" t="s">
        <v>1221</v>
      </c>
      <c r="C497" t="str">
        <f t="shared" si="21"/>
        <v>FS</v>
      </c>
      <c r="D497" t="str">
        <f t="shared" si="22"/>
        <v>1</v>
      </c>
      <c r="E497" t="str">
        <f t="shared" si="23"/>
        <v>01</v>
      </c>
    </row>
    <row r="498" spans="1:5" x14ac:dyDescent="0.25">
      <c r="A498" s="20">
        <v>92</v>
      </c>
      <c r="B498" s="21" t="s">
        <v>1222</v>
      </c>
      <c r="C498" t="str">
        <f t="shared" si="21"/>
        <v>FS</v>
      </c>
      <c r="D498" t="str">
        <f t="shared" si="22"/>
        <v>2</v>
      </c>
      <c r="E498" t="str">
        <f t="shared" si="23"/>
        <v>01</v>
      </c>
    </row>
    <row r="499" spans="1:5" x14ac:dyDescent="0.25">
      <c r="A499" s="20">
        <v>96</v>
      </c>
      <c r="B499" s="21" t="s">
        <v>1223</v>
      </c>
      <c r="C499" t="str">
        <f t="shared" si="21"/>
        <v>FS</v>
      </c>
      <c r="D499" t="str">
        <f t="shared" si="22"/>
        <v>4</v>
      </c>
      <c r="E499" t="str">
        <f t="shared" si="23"/>
        <v>01</v>
      </c>
    </row>
    <row r="500" spans="1:5" x14ac:dyDescent="0.25">
      <c r="A500" s="20">
        <v>203</v>
      </c>
      <c r="B500" s="21" t="s">
        <v>1224</v>
      </c>
      <c r="C500" t="str">
        <f t="shared" si="21"/>
        <v>AA</v>
      </c>
      <c r="D500" t="str">
        <f t="shared" si="22"/>
        <v>1</v>
      </c>
      <c r="E500" t="str">
        <f t="shared" si="23"/>
        <v>01</v>
      </c>
    </row>
    <row r="501" spans="1:5" x14ac:dyDescent="0.25">
      <c r="A501" s="30">
        <v>0</v>
      </c>
      <c r="B501" s="28" t="s">
        <v>1225</v>
      </c>
      <c r="C501" t="str">
        <f t="shared" si="21"/>
        <v>AA</v>
      </c>
      <c r="D501" t="str">
        <f t="shared" si="22"/>
        <v>2</v>
      </c>
      <c r="E501" t="str">
        <f t="shared" si="23"/>
        <v>01</v>
      </c>
    </row>
    <row r="502" spans="1:5" x14ac:dyDescent="0.25">
      <c r="A502" s="20">
        <v>570</v>
      </c>
      <c r="B502" s="21" t="s">
        <v>1226</v>
      </c>
      <c r="C502" t="str">
        <f t="shared" si="21"/>
        <v>AA</v>
      </c>
      <c r="D502" t="str">
        <f t="shared" si="22"/>
        <v>4</v>
      </c>
      <c r="E502" t="str">
        <f t="shared" si="23"/>
        <v>01</v>
      </c>
    </row>
    <row r="503" spans="1:5" x14ac:dyDescent="0.25">
      <c r="A503" s="20">
        <v>573</v>
      </c>
      <c r="B503" s="21" t="s">
        <v>1227</v>
      </c>
      <c r="C503" t="str">
        <f t="shared" si="21"/>
        <v>FS</v>
      </c>
      <c r="D503" t="str">
        <f t="shared" si="22"/>
        <v>1</v>
      </c>
      <c r="E503" t="str">
        <f t="shared" si="23"/>
        <v>01</v>
      </c>
    </row>
    <row r="504" spans="1:5" x14ac:dyDescent="0.25">
      <c r="A504" s="20">
        <v>577</v>
      </c>
      <c r="B504" s="21" t="s">
        <v>1228</v>
      </c>
      <c r="C504" t="str">
        <f t="shared" si="21"/>
        <v>FS</v>
      </c>
      <c r="D504" t="str">
        <f t="shared" si="22"/>
        <v>2</v>
      </c>
      <c r="E504" t="str">
        <f t="shared" si="23"/>
        <v>01</v>
      </c>
    </row>
    <row r="505" spans="1:5" x14ac:dyDescent="0.25">
      <c r="A505" s="20">
        <v>581</v>
      </c>
      <c r="B505" s="21" t="s">
        <v>1229</v>
      </c>
      <c r="C505" t="str">
        <f t="shared" si="21"/>
        <v>FS</v>
      </c>
      <c r="D505" t="str">
        <f t="shared" si="22"/>
        <v>4</v>
      </c>
      <c r="E505" t="str">
        <f t="shared" si="23"/>
        <v>01</v>
      </c>
    </row>
    <row r="506" spans="1:5" x14ac:dyDescent="0.25">
      <c r="A506" s="29">
        <v>207</v>
      </c>
      <c r="B506" s="28" t="s">
        <v>1230</v>
      </c>
      <c r="C506" t="str">
        <f t="shared" si="21"/>
        <v>AA</v>
      </c>
      <c r="D506" t="str">
        <f t="shared" si="22"/>
        <v>1</v>
      </c>
      <c r="E506" t="str">
        <f t="shared" si="23"/>
        <v>01</v>
      </c>
    </row>
    <row r="507" spans="1:5" x14ac:dyDescent="0.25">
      <c r="A507" s="29">
        <v>588</v>
      </c>
      <c r="B507" s="28" t="s">
        <v>1231</v>
      </c>
      <c r="C507" t="str">
        <f t="shared" si="21"/>
        <v>AA</v>
      </c>
      <c r="D507" t="str">
        <f t="shared" si="22"/>
        <v>2</v>
      </c>
      <c r="E507" t="str">
        <f t="shared" si="23"/>
        <v>01</v>
      </c>
    </row>
    <row r="508" spans="1:5" x14ac:dyDescent="0.25">
      <c r="A508" s="29">
        <v>591</v>
      </c>
      <c r="B508" s="28" t="s">
        <v>1232</v>
      </c>
      <c r="C508" t="str">
        <f t="shared" si="21"/>
        <v>AA</v>
      </c>
      <c r="D508" t="str">
        <f t="shared" si="22"/>
        <v>4</v>
      </c>
      <c r="E508" t="str">
        <f t="shared" si="23"/>
        <v>01</v>
      </c>
    </row>
    <row r="509" spans="1:5" x14ac:dyDescent="0.25">
      <c r="A509" s="29">
        <v>594</v>
      </c>
      <c r="B509" s="28" t="s">
        <v>1233</v>
      </c>
      <c r="C509" t="str">
        <f t="shared" si="21"/>
        <v>FS</v>
      </c>
      <c r="D509" t="str">
        <f t="shared" si="22"/>
        <v>1</v>
      </c>
      <c r="E509" t="str">
        <f t="shared" si="23"/>
        <v>01</v>
      </c>
    </row>
    <row r="510" spans="1:5" x14ac:dyDescent="0.25">
      <c r="A510" s="29">
        <v>597</v>
      </c>
      <c r="B510" s="28" t="s">
        <v>1234</v>
      </c>
      <c r="C510" t="str">
        <f t="shared" si="21"/>
        <v>FS</v>
      </c>
      <c r="D510" t="str">
        <f t="shared" si="22"/>
        <v>2</v>
      </c>
      <c r="E510" t="str">
        <f t="shared" si="23"/>
        <v>01</v>
      </c>
    </row>
    <row r="511" spans="1:5" x14ac:dyDescent="0.25">
      <c r="A511" s="29">
        <v>800</v>
      </c>
      <c r="B511" s="28" t="s">
        <v>1235</v>
      </c>
      <c r="C511" t="str">
        <f t="shared" si="21"/>
        <v>FS</v>
      </c>
      <c r="D511" t="str">
        <f t="shared" si="22"/>
        <v>4</v>
      </c>
      <c r="E511" t="str">
        <f t="shared" si="23"/>
        <v>01</v>
      </c>
    </row>
    <row r="512" spans="1:5" x14ac:dyDescent="0.25">
      <c r="A512" s="20">
        <v>231</v>
      </c>
      <c r="B512" s="21" t="s">
        <v>1236</v>
      </c>
      <c r="C512" t="str">
        <f t="shared" si="21"/>
        <v>AA</v>
      </c>
      <c r="D512" t="str">
        <f t="shared" si="22"/>
        <v>1</v>
      </c>
      <c r="E512" t="str">
        <f t="shared" si="23"/>
        <v>01</v>
      </c>
    </row>
    <row r="513" spans="1:5" x14ac:dyDescent="0.25">
      <c r="A513" s="20">
        <v>235</v>
      </c>
      <c r="B513" s="21" t="s">
        <v>1237</v>
      </c>
      <c r="C513" t="str">
        <f t="shared" si="21"/>
        <v>AA</v>
      </c>
      <c r="D513" t="str">
        <f t="shared" si="22"/>
        <v>2</v>
      </c>
      <c r="E513" t="str">
        <f t="shared" si="23"/>
        <v>01</v>
      </c>
    </row>
    <row r="514" spans="1:5" x14ac:dyDescent="0.25">
      <c r="A514" s="20">
        <v>239</v>
      </c>
      <c r="B514" s="21" t="s">
        <v>1238</v>
      </c>
      <c r="C514" t="str">
        <f t="shared" si="21"/>
        <v>AA</v>
      </c>
      <c r="D514" t="str">
        <f t="shared" si="22"/>
        <v>4</v>
      </c>
      <c r="E514" t="str">
        <f t="shared" si="23"/>
        <v>01</v>
      </c>
    </row>
    <row r="515" spans="1:5" x14ac:dyDescent="0.25">
      <c r="A515" s="20">
        <v>243</v>
      </c>
      <c r="B515" s="21" t="s">
        <v>1239</v>
      </c>
      <c r="C515" t="str">
        <f t="shared" ref="C515:C571" si="24">RIGHT(LEFT(B515,11),2)</f>
        <v>FS</v>
      </c>
      <c r="D515" t="str">
        <f t="shared" ref="D515:D578" si="25">RIGHT(LEFT(B515,9),1)</f>
        <v>1</v>
      </c>
      <c r="E515" t="str">
        <f t="shared" ref="E515:E578" si="26">LEFT(B515,2)</f>
        <v>01</v>
      </c>
    </row>
    <row r="516" spans="1:5" x14ac:dyDescent="0.25">
      <c r="A516" s="20">
        <v>247</v>
      </c>
      <c r="B516" s="21" t="s">
        <v>1240</v>
      </c>
      <c r="C516" t="str">
        <f t="shared" si="24"/>
        <v>FS</v>
      </c>
      <c r="D516" t="str">
        <f t="shared" si="25"/>
        <v>2</v>
      </c>
      <c r="E516" t="str">
        <f t="shared" si="26"/>
        <v>01</v>
      </c>
    </row>
    <row r="517" spans="1:5" x14ac:dyDescent="0.25">
      <c r="A517" s="20">
        <v>251</v>
      </c>
      <c r="B517" s="21" t="s">
        <v>1241</v>
      </c>
      <c r="C517" t="str">
        <f t="shared" si="24"/>
        <v>FS</v>
      </c>
      <c r="D517" t="str">
        <f t="shared" si="25"/>
        <v>4</v>
      </c>
      <c r="E517" t="str">
        <f t="shared" si="26"/>
        <v>01</v>
      </c>
    </row>
    <row r="518" spans="1:5" x14ac:dyDescent="0.25">
      <c r="A518" s="20">
        <v>197</v>
      </c>
      <c r="B518" s="21" t="s">
        <v>1242</v>
      </c>
      <c r="C518" t="str">
        <f t="shared" si="24"/>
        <v>AA</v>
      </c>
      <c r="D518" t="str">
        <f t="shared" si="25"/>
        <v>1</v>
      </c>
      <c r="E518" t="str">
        <f t="shared" si="26"/>
        <v>01</v>
      </c>
    </row>
    <row r="519" spans="1:5" x14ac:dyDescent="0.25">
      <c r="A519" s="20">
        <v>212</v>
      </c>
      <c r="B519" s="21" t="s">
        <v>1243</v>
      </c>
      <c r="C519" t="str">
        <f t="shared" si="24"/>
        <v>AA</v>
      </c>
      <c r="D519" t="str">
        <f t="shared" si="25"/>
        <v>2</v>
      </c>
      <c r="E519" t="str">
        <f t="shared" si="26"/>
        <v>01</v>
      </c>
    </row>
    <row r="520" spans="1:5" x14ac:dyDescent="0.25">
      <c r="A520" s="20">
        <v>216</v>
      </c>
      <c r="B520" s="21" t="s">
        <v>1244</v>
      </c>
      <c r="C520" t="str">
        <f t="shared" si="24"/>
        <v>AA</v>
      </c>
      <c r="D520" t="str">
        <f t="shared" si="25"/>
        <v>4</v>
      </c>
      <c r="E520" t="str">
        <f t="shared" si="26"/>
        <v>01</v>
      </c>
    </row>
    <row r="521" spans="1:5" x14ac:dyDescent="0.25">
      <c r="A521" s="20">
        <v>220</v>
      </c>
      <c r="B521" s="21" t="s">
        <v>1245</v>
      </c>
      <c r="C521" t="str">
        <f t="shared" si="24"/>
        <v>FS</v>
      </c>
      <c r="D521" t="str">
        <f t="shared" si="25"/>
        <v>1</v>
      </c>
      <c r="E521" t="str">
        <f t="shared" si="26"/>
        <v>01</v>
      </c>
    </row>
    <row r="522" spans="1:5" x14ac:dyDescent="0.25">
      <c r="A522" s="20">
        <v>224</v>
      </c>
      <c r="B522" s="21" t="s">
        <v>1246</v>
      </c>
      <c r="C522" t="str">
        <f t="shared" si="24"/>
        <v>FS</v>
      </c>
      <c r="D522" t="str">
        <f t="shared" si="25"/>
        <v>2</v>
      </c>
      <c r="E522" t="str">
        <f t="shared" si="26"/>
        <v>01</v>
      </c>
    </row>
    <row r="523" spans="1:5" x14ac:dyDescent="0.25">
      <c r="A523" s="20">
        <v>228</v>
      </c>
      <c r="B523" s="21" t="s">
        <v>1247</v>
      </c>
      <c r="C523" t="str">
        <f t="shared" si="24"/>
        <v>FS</v>
      </c>
      <c r="D523" t="str">
        <f t="shared" si="25"/>
        <v>4</v>
      </c>
      <c r="E523" t="str">
        <f t="shared" si="26"/>
        <v>01</v>
      </c>
    </row>
    <row r="524" spans="1:5" x14ac:dyDescent="0.25">
      <c r="A524" s="20">
        <v>255</v>
      </c>
      <c r="B524" s="21" t="s">
        <v>1248</v>
      </c>
      <c r="C524" t="str">
        <f t="shared" si="24"/>
        <v>AA</v>
      </c>
      <c r="D524" t="str">
        <f t="shared" si="25"/>
        <v>1</v>
      </c>
      <c r="E524" t="str">
        <f t="shared" si="26"/>
        <v>01</v>
      </c>
    </row>
    <row r="525" spans="1:5" x14ac:dyDescent="0.25">
      <c r="A525" s="20">
        <v>259</v>
      </c>
      <c r="B525" s="21" t="s">
        <v>1249</v>
      </c>
      <c r="C525" t="str">
        <f t="shared" si="24"/>
        <v>AA</v>
      </c>
      <c r="D525" t="str">
        <f t="shared" si="25"/>
        <v>2</v>
      </c>
      <c r="E525" t="str">
        <f t="shared" si="26"/>
        <v>01</v>
      </c>
    </row>
    <row r="526" spans="1:5" x14ac:dyDescent="0.25">
      <c r="A526" s="20">
        <v>263</v>
      </c>
      <c r="B526" s="21" t="s">
        <v>1250</v>
      </c>
      <c r="C526" t="str">
        <f t="shared" si="24"/>
        <v>AA</v>
      </c>
      <c r="D526" t="str">
        <f t="shared" si="25"/>
        <v>4</v>
      </c>
      <c r="E526" t="str">
        <f t="shared" si="26"/>
        <v>01</v>
      </c>
    </row>
    <row r="527" spans="1:5" x14ac:dyDescent="0.25">
      <c r="A527" s="20">
        <v>267</v>
      </c>
      <c r="B527" s="21" t="s">
        <v>1251</v>
      </c>
      <c r="C527" t="str">
        <f t="shared" si="24"/>
        <v>FS</v>
      </c>
      <c r="D527" t="str">
        <f t="shared" si="25"/>
        <v>1</v>
      </c>
      <c r="E527" t="str">
        <f t="shared" si="26"/>
        <v>01</v>
      </c>
    </row>
    <row r="528" spans="1:5" x14ac:dyDescent="0.25">
      <c r="A528" s="20">
        <v>271</v>
      </c>
      <c r="B528" s="21" t="s">
        <v>1252</v>
      </c>
      <c r="C528" t="str">
        <f t="shared" si="24"/>
        <v>FS</v>
      </c>
      <c r="D528" t="str">
        <f t="shared" si="25"/>
        <v>2</v>
      </c>
      <c r="E528" t="str">
        <f t="shared" si="26"/>
        <v>01</v>
      </c>
    </row>
    <row r="529" spans="1:5" x14ac:dyDescent="0.25">
      <c r="A529" s="20">
        <v>275</v>
      </c>
      <c r="B529" s="21" t="s">
        <v>1253</v>
      </c>
      <c r="C529" t="str">
        <f t="shared" si="24"/>
        <v>FS</v>
      </c>
      <c r="D529" t="str">
        <f t="shared" si="25"/>
        <v>4</v>
      </c>
      <c r="E529" t="str">
        <f t="shared" si="26"/>
        <v>01</v>
      </c>
    </row>
    <row r="530" spans="1:5" x14ac:dyDescent="0.25">
      <c r="A530" s="29">
        <v>279</v>
      </c>
      <c r="B530" s="28" t="s">
        <v>1254</v>
      </c>
      <c r="C530" t="str">
        <f t="shared" si="24"/>
        <v>AA</v>
      </c>
      <c r="D530" t="str">
        <f t="shared" si="25"/>
        <v>1</v>
      </c>
      <c r="E530" t="str">
        <f t="shared" si="26"/>
        <v>01</v>
      </c>
    </row>
    <row r="531" spans="1:5" x14ac:dyDescent="0.25">
      <c r="A531" s="20">
        <v>283</v>
      </c>
      <c r="B531" s="21" t="s">
        <v>1255</v>
      </c>
      <c r="C531" t="str">
        <f t="shared" si="24"/>
        <v>AA</v>
      </c>
      <c r="D531" t="str">
        <f t="shared" si="25"/>
        <v>2</v>
      </c>
      <c r="E531" t="str">
        <f t="shared" si="26"/>
        <v>01</v>
      </c>
    </row>
    <row r="532" spans="1:5" x14ac:dyDescent="0.25">
      <c r="A532" s="20">
        <v>287</v>
      </c>
      <c r="B532" s="21" t="s">
        <v>1256</v>
      </c>
      <c r="C532" t="str">
        <f t="shared" si="24"/>
        <v>AA</v>
      </c>
      <c r="D532" t="str">
        <f t="shared" si="25"/>
        <v>4</v>
      </c>
      <c r="E532" t="str">
        <f t="shared" si="26"/>
        <v>01</v>
      </c>
    </row>
    <row r="533" spans="1:5" x14ac:dyDescent="0.25">
      <c r="A533" s="20">
        <v>291</v>
      </c>
      <c r="B533" s="21" t="s">
        <v>1257</v>
      </c>
      <c r="C533" t="str">
        <f t="shared" si="24"/>
        <v>FS</v>
      </c>
      <c r="D533" t="str">
        <f t="shared" si="25"/>
        <v>1</v>
      </c>
      <c r="E533" t="str">
        <f t="shared" si="26"/>
        <v>01</v>
      </c>
    </row>
    <row r="534" spans="1:5" x14ac:dyDescent="0.25">
      <c r="A534" s="20">
        <v>295</v>
      </c>
      <c r="B534" s="21" t="s">
        <v>1258</v>
      </c>
      <c r="C534" t="str">
        <f t="shared" si="24"/>
        <v>FS</v>
      </c>
      <c r="D534" t="str">
        <f t="shared" si="25"/>
        <v>2</v>
      </c>
      <c r="E534" t="str">
        <f t="shared" si="26"/>
        <v>01</v>
      </c>
    </row>
    <row r="535" spans="1:5" x14ac:dyDescent="0.25">
      <c r="A535" s="20">
        <v>299</v>
      </c>
      <c r="B535" s="21" t="s">
        <v>1259</v>
      </c>
      <c r="C535" t="str">
        <f t="shared" si="24"/>
        <v>FS</v>
      </c>
      <c r="D535" t="str">
        <f t="shared" si="25"/>
        <v>4</v>
      </c>
      <c r="E535" t="str">
        <f t="shared" si="26"/>
        <v>01</v>
      </c>
    </row>
    <row r="536" spans="1:5" x14ac:dyDescent="0.25">
      <c r="A536" s="20">
        <v>303</v>
      </c>
      <c r="B536" s="21" t="s">
        <v>1260</v>
      </c>
      <c r="C536" t="str">
        <f t="shared" si="24"/>
        <v>AA</v>
      </c>
      <c r="D536" t="str">
        <f t="shared" si="25"/>
        <v>1</v>
      </c>
      <c r="E536" t="str">
        <f t="shared" si="26"/>
        <v>01</v>
      </c>
    </row>
    <row r="537" spans="1:5" x14ac:dyDescent="0.25">
      <c r="A537" s="20">
        <v>307</v>
      </c>
      <c r="B537" s="21" t="s">
        <v>1261</v>
      </c>
      <c r="C537" t="str">
        <f t="shared" si="24"/>
        <v>AA</v>
      </c>
      <c r="D537" t="str">
        <f t="shared" si="25"/>
        <v>2</v>
      </c>
      <c r="E537" t="str">
        <f t="shared" si="26"/>
        <v>01</v>
      </c>
    </row>
    <row r="538" spans="1:5" x14ac:dyDescent="0.25">
      <c r="A538" s="20">
        <v>311</v>
      </c>
      <c r="B538" s="21" t="s">
        <v>1262</v>
      </c>
      <c r="C538" t="str">
        <f t="shared" si="24"/>
        <v>AA</v>
      </c>
      <c r="D538" t="str">
        <f t="shared" si="25"/>
        <v>4</v>
      </c>
      <c r="E538" t="str">
        <f t="shared" si="26"/>
        <v>01</v>
      </c>
    </row>
    <row r="539" spans="1:5" x14ac:dyDescent="0.25">
      <c r="A539" s="20">
        <v>315</v>
      </c>
      <c r="B539" s="21" t="s">
        <v>1263</v>
      </c>
      <c r="C539" t="str">
        <f t="shared" si="24"/>
        <v>FS</v>
      </c>
      <c r="D539" t="str">
        <f t="shared" si="25"/>
        <v>1</v>
      </c>
      <c r="E539" t="str">
        <f t="shared" si="26"/>
        <v>01</v>
      </c>
    </row>
    <row r="540" spans="1:5" x14ac:dyDescent="0.25">
      <c r="A540" s="20">
        <v>319</v>
      </c>
      <c r="B540" s="21" t="s">
        <v>1264</v>
      </c>
      <c r="C540" t="str">
        <f t="shared" si="24"/>
        <v>FS</v>
      </c>
      <c r="D540" t="str">
        <f t="shared" si="25"/>
        <v>2</v>
      </c>
      <c r="E540" t="str">
        <f t="shared" si="26"/>
        <v>01</v>
      </c>
    </row>
    <row r="541" spans="1:5" x14ac:dyDescent="0.25">
      <c r="A541" s="20">
        <v>323</v>
      </c>
      <c r="B541" s="21" t="s">
        <v>1265</v>
      </c>
      <c r="C541" t="str">
        <f t="shared" si="24"/>
        <v>FS</v>
      </c>
      <c r="D541" t="str">
        <f t="shared" si="25"/>
        <v>4</v>
      </c>
      <c r="E541" t="str">
        <f t="shared" si="26"/>
        <v>01</v>
      </c>
    </row>
    <row r="542" spans="1:5" x14ac:dyDescent="0.25">
      <c r="A542" s="20">
        <v>447</v>
      </c>
      <c r="B542" s="21" t="s">
        <v>1266</v>
      </c>
      <c r="C542" t="str">
        <f t="shared" si="24"/>
        <v>AA</v>
      </c>
      <c r="D542" t="str">
        <f t="shared" si="25"/>
        <v>1</v>
      </c>
      <c r="E542" t="str">
        <f t="shared" si="26"/>
        <v>01</v>
      </c>
    </row>
    <row r="543" spans="1:5" x14ac:dyDescent="0.25">
      <c r="A543" s="20">
        <v>451</v>
      </c>
      <c r="B543" s="21" t="s">
        <v>1267</v>
      </c>
      <c r="C543" t="str">
        <f t="shared" si="24"/>
        <v>AA</v>
      </c>
      <c r="D543" t="str">
        <f t="shared" si="25"/>
        <v>2</v>
      </c>
      <c r="E543" t="str">
        <f t="shared" si="26"/>
        <v>01</v>
      </c>
    </row>
    <row r="544" spans="1:5" x14ac:dyDescent="0.25">
      <c r="A544" s="20">
        <v>455</v>
      </c>
      <c r="B544" s="21" t="s">
        <v>1268</v>
      </c>
      <c r="C544" t="str">
        <f t="shared" si="24"/>
        <v>AA</v>
      </c>
      <c r="D544" t="str">
        <f t="shared" si="25"/>
        <v>4</v>
      </c>
      <c r="E544" t="str">
        <f t="shared" si="26"/>
        <v>01</v>
      </c>
    </row>
    <row r="545" spans="1:5" x14ac:dyDescent="0.25">
      <c r="A545" s="20">
        <v>481</v>
      </c>
      <c r="B545" s="21" t="s">
        <v>1269</v>
      </c>
      <c r="C545" t="str">
        <f t="shared" si="24"/>
        <v>FS</v>
      </c>
      <c r="D545" t="str">
        <f t="shared" si="25"/>
        <v>1</v>
      </c>
      <c r="E545" t="str">
        <f t="shared" si="26"/>
        <v>01</v>
      </c>
    </row>
    <row r="546" spans="1:5" x14ac:dyDescent="0.25">
      <c r="A546" s="20">
        <v>459</v>
      </c>
      <c r="B546" s="21" t="s">
        <v>1270</v>
      </c>
      <c r="C546" t="str">
        <f t="shared" si="24"/>
        <v>FS</v>
      </c>
      <c r="D546" t="str">
        <f t="shared" si="25"/>
        <v>2</v>
      </c>
      <c r="E546" t="str">
        <f t="shared" si="26"/>
        <v>01</v>
      </c>
    </row>
    <row r="547" spans="1:5" x14ac:dyDescent="0.25">
      <c r="A547" s="20">
        <v>463</v>
      </c>
      <c r="B547" s="21" t="s">
        <v>1271</v>
      </c>
      <c r="C547" t="str">
        <f t="shared" si="24"/>
        <v>FS</v>
      </c>
      <c r="D547" t="str">
        <f t="shared" si="25"/>
        <v>4</v>
      </c>
      <c r="E547" t="str">
        <f t="shared" si="26"/>
        <v>01</v>
      </c>
    </row>
    <row r="548" spans="1:5" x14ac:dyDescent="0.25">
      <c r="A548" s="20">
        <v>467</v>
      </c>
      <c r="B548" s="21" t="s">
        <v>1272</v>
      </c>
      <c r="C548" t="str">
        <f t="shared" si="24"/>
        <v>AA</v>
      </c>
      <c r="D548" t="str">
        <f t="shared" si="25"/>
        <v>1</v>
      </c>
      <c r="E548" t="str">
        <f t="shared" si="26"/>
        <v>01</v>
      </c>
    </row>
    <row r="549" spans="1:5" x14ac:dyDescent="0.25">
      <c r="A549" s="20">
        <v>471</v>
      </c>
      <c r="B549" s="21" t="s">
        <v>1273</v>
      </c>
      <c r="C549" t="str">
        <f t="shared" si="24"/>
        <v>AA</v>
      </c>
      <c r="D549" t="str">
        <f t="shared" si="25"/>
        <v>2</v>
      </c>
      <c r="E549" t="str">
        <f t="shared" si="26"/>
        <v>01</v>
      </c>
    </row>
    <row r="550" spans="1:5" x14ac:dyDescent="0.25">
      <c r="A550" s="20">
        <v>475</v>
      </c>
      <c r="B550" s="21" t="s">
        <v>1274</v>
      </c>
      <c r="C550" t="str">
        <f t="shared" si="24"/>
        <v>AA</v>
      </c>
      <c r="D550" t="str">
        <f t="shared" si="25"/>
        <v>4</v>
      </c>
      <c r="E550" t="str">
        <f t="shared" si="26"/>
        <v>01</v>
      </c>
    </row>
    <row r="551" spans="1:5" x14ac:dyDescent="0.25">
      <c r="A551" s="20">
        <v>483</v>
      </c>
      <c r="B551" s="21" t="s">
        <v>1275</v>
      </c>
      <c r="C551" t="str">
        <f t="shared" si="24"/>
        <v>FS</v>
      </c>
      <c r="D551" t="str">
        <f t="shared" si="25"/>
        <v>1</v>
      </c>
      <c r="E551" t="str">
        <f t="shared" si="26"/>
        <v>01</v>
      </c>
    </row>
    <row r="552" spans="1:5" x14ac:dyDescent="0.25">
      <c r="A552" s="20">
        <v>487</v>
      </c>
      <c r="B552" s="21" t="s">
        <v>1276</v>
      </c>
      <c r="C552" t="str">
        <f t="shared" si="24"/>
        <v>FS</v>
      </c>
      <c r="D552" t="str">
        <f t="shared" si="25"/>
        <v>2</v>
      </c>
      <c r="E552" t="str">
        <f t="shared" si="26"/>
        <v>01</v>
      </c>
    </row>
    <row r="553" spans="1:5" x14ac:dyDescent="0.25">
      <c r="A553" s="20">
        <v>491</v>
      </c>
      <c r="B553" s="21" t="s">
        <v>1277</v>
      </c>
      <c r="C553" t="str">
        <f t="shared" si="24"/>
        <v>FS</v>
      </c>
      <c r="D553" t="str">
        <f t="shared" si="25"/>
        <v>4</v>
      </c>
      <c r="E553" t="str">
        <f t="shared" si="26"/>
        <v>01</v>
      </c>
    </row>
    <row r="554" spans="1:5" x14ac:dyDescent="0.25">
      <c r="A554" s="20">
        <v>495</v>
      </c>
      <c r="B554" s="21" t="s">
        <v>1278</v>
      </c>
      <c r="C554" t="str">
        <f t="shared" si="24"/>
        <v>AA</v>
      </c>
      <c r="D554" t="str">
        <f t="shared" si="25"/>
        <v>1</v>
      </c>
      <c r="E554" t="str">
        <f t="shared" si="26"/>
        <v>01</v>
      </c>
    </row>
    <row r="555" spans="1:5" x14ac:dyDescent="0.25">
      <c r="A555" s="20">
        <v>499</v>
      </c>
      <c r="B555" s="21" t="s">
        <v>1279</v>
      </c>
      <c r="C555" t="str">
        <f t="shared" si="24"/>
        <v>AA</v>
      </c>
      <c r="D555" t="str">
        <f t="shared" si="25"/>
        <v>2</v>
      </c>
      <c r="E555" t="str">
        <f t="shared" si="26"/>
        <v>01</v>
      </c>
    </row>
    <row r="556" spans="1:5" x14ac:dyDescent="0.25">
      <c r="A556" s="20">
        <v>503</v>
      </c>
      <c r="B556" s="21" t="s">
        <v>1280</v>
      </c>
      <c r="C556" t="str">
        <f t="shared" si="24"/>
        <v>AA</v>
      </c>
      <c r="D556" t="str">
        <f t="shared" si="25"/>
        <v>4</v>
      </c>
      <c r="E556" t="str">
        <f t="shared" si="26"/>
        <v>01</v>
      </c>
    </row>
    <row r="557" spans="1:5" x14ac:dyDescent="0.25">
      <c r="A557" s="29">
        <v>507</v>
      </c>
      <c r="B557" s="28" t="s">
        <v>1281</v>
      </c>
      <c r="C557" t="str">
        <f t="shared" si="24"/>
        <v>FS</v>
      </c>
      <c r="D557" t="str">
        <f t="shared" si="25"/>
        <v>1</v>
      </c>
      <c r="E557" t="str">
        <f t="shared" si="26"/>
        <v>01</v>
      </c>
    </row>
    <row r="558" spans="1:5" x14ac:dyDescent="0.25">
      <c r="A558" s="20">
        <v>511</v>
      </c>
      <c r="B558" s="21" t="s">
        <v>1282</v>
      </c>
      <c r="C558" t="str">
        <f t="shared" si="24"/>
        <v>FS</v>
      </c>
      <c r="D558" t="str">
        <f t="shared" si="25"/>
        <v>2</v>
      </c>
      <c r="E558" t="str">
        <f t="shared" si="26"/>
        <v>01</v>
      </c>
    </row>
    <row r="559" spans="1:5" x14ac:dyDescent="0.25">
      <c r="A559" s="20">
        <v>515</v>
      </c>
      <c r="B559" s="21" t="s">
        <v>1283</v>
      </c>
      <c r="C559" t="str">
        <f t="shared" si="24"/>
        <v>FS</v>
      </c>
      <c r="D559" t="str">
        <f t="shared" si="25"/>
        <v>4</v>
      </c>
      <c r="E559" t="str">
        <f t="shared" si="26"/>
        <v>01</v>
      </c>
    </row>
    <row r="560" spans="1:5" x14ac:dyDescent="0.25">
      <c r="A560" s="20">
        <v>519</v>
      </c>
      <c r="B560" s="21" t="s">
        <v>1284</v>
      </c>
      <c r="C560" t="str">
        <f t="shared" si="24"/>
        <v>AA</v>
      </c>
      <c r="D560" t="str">
        <f t="shared" si="25"/>
        <v>1</v>
      </c>
      <c r="E560" t="str">
        <f t="shared" si="26"/>
        <v>01</v>
      </c>
    </row>
    <row r="561" spans="1:5" x14ac:dyDescent="0.25">
      <c r="A561" s="20">
        <v>523</v>
      </c>
      <c r="B561" s="21" t="s">
        <v>1285</v>
      </c>
      <c r="C561" t="str">
        <f t="shared" si="24"/>
        <v>AA</v>
      </c>
      <c r="D561" t="str">
        <f t="shared" si="25"/>
        <v>2</v>
      </c>
      <c r="E561" t="str">
        <f t="shared" si="26"/>
        <v>01</v>
      </c>
    </row>
    <row r="562" spans="1:5" x14ac:dyDescent="0.25">
      <c r="A562" s="20">
        <v>527</v>
      </c>
      <c r="B562" s="21" t="s">
        <v>1286</v>
      </c>
      <c r="C562" t="str">
        <f t="shared" si="24"/>
        <v>AA</v>
      </c>
      <c r="D562" t="str">
        <f t="shared" si="25"/>
        <v>4</v>
      </c>
      <c r="E562" t="str">
        <f t="shared" si="26"/>
        <v>01</v>
      </c>
    </row>
    <row r="563" spans="1:5" x14ac:dyDescent="0.25">
      <c r="A563" s="20">
        <v>531</v>
      </c>
      <c r="B563" s="21" t="s">
        <v>1287</v>
      </c>
      <c r="C563" t="str">
        <f t="shared" si="24"/>
        <v>FS</v>
      </c>
      <c r="D563" t="str">
        <f t="shared" si="25"/>
        <v>1</v>
      </c>
      <c r="E563" t="str">
        <f t="shared" si="26"/>
        <v>01</v>
      </c>
    </row>
    <row r="564" spans="1:5" x14ac:dyDescent="0.25">
      <c r="A564" s="20">
        <v>539</v>
      </c>
      <c r="B564" s="21" t="s">
        <v>1288</v>
      </c>
      <c r="C564" t="str">
        <f t="shared" si="24"/>
        <v>FS</v>
      </c>
      <c r="D564" t="str">
        <f t="shared" si="25"/>
        <v>2</v>
      </c>
      <c r="E564" t="str">
        <f t="shared" si="26"/>
        <v>01</v>
      </c>
    </row>
    <row r="565" spans="1:5" x14ac:dyDescent="0.25">
      <c r="A565" s="20">
        <v>535</v>
      </c>
      <c r="B565" s="21" t="s">
        <v>1289</v>
      </c>
      <c r="C565" t="str">
        <f t="shared" si="24"/>
        <v>FS</v>
      </c>
      <c r="D565" t="str">
        <f t="shared" si="25"/>
        <v>4</v>
      </c>
      <c r="E565" t="str">
        <f t="shared" si="26"/>
        <v>01</v>
      </c>
    </row>
    <row r="566" spans="1:5" x14ac:dyDescent="0.25">
      <c r="A566" s="20">
        <v>543</v>
      </c>
      <c r="B566" s="21" t="s">
        <v>1290</v>
      </c>
      <c r="C566" t="str">
        <f t="shared" si="24"/>
        <v>AA</v>
      </c>
      <c r="D566" t="str">
        <f t="shared" si="25"/>
        <v>1</v>
      </c>
      <c r="E566" t="str">
        <f t="shared" si="26"/>
        <v>01</v>
      </c>
    </row>
    <row r="567" spans="1:5" x14ac:dyDescent="0.25">
      <c r="A567" s="20">
        <v>547</v>
      </c>
      <c r="B567" s="21" t="s">
        <v>1291</v>
      </c>
      <c r="C567" t="str">
        <f t="shared" si="24"/>
        <v>AA</v>
      </c>
      <c r="D567" t="str">
        <f t="shared" si="25"/>
        <v>2</v>
      </c>
      <c r="E567" t="str">
        <f t="shared" si="26"/>
        <v>01</v>
      </c>
    </row>
    <row r="568" spans="1:5" x14ac:dyDescent="0.25">
      <c r="A568" s="20">
        <v>551</v>
      </c>
      <c r="B568" s="21" t="s">
        <v>1292</v>
      </c>
      <c r="C568" t="str">
        <f t="shared" si="24"/>
        <v>AA</v>
      </c>
      <c r="D568" t="str">
        <f t="shared" si="25"/>
        <v>4</v>
      </c>
      <c r="E568" t="str">
        <f t="shared" si="26"/>
        <v>01</v>
      </c>
    </row>
    <row r="569" spans="1:5" x14ac:dyDescent="0.25">
      <c r="A569" s="20">
        <v>555</v>
      </c>
      <c r="B569" s="21" t="s">
        <v>1293</v>
      </c>
      <c r="C569" t="str">
        <f t="shared" si="24"/>
        <v>FS</v>
      </c>
      <c r="D569" t="str">
        <f t="shared" si="25"/>
        <v>1</v>
      </c>
      <c r="E569" t="str">
        <f t="shared" si="26"/>
        <v>01</v>
      </c>
    </row>
    <row r="570" spans="1:5" x14ac:dyDescent="0.25">
      <c r="A570" s="29">
        <v>559</v>
      </c>
      <c r="B570" s="28" t="s">
        <v>1294</v>
      </c>
      <c r="C570" t="str">
        <f t="shared" si="24"/>
        <v>FS</v>
      </c>
      <c r="D570" t="str">
        <f t="shared" si="25"/>
        <v>2</v>
      </c>
      <c r="E570" t="str">
        <f t="shared" si="26"/>
        <v>01</v>
      </c>
    </row>
    <row r="571" spans="1:5" x14ac:dyDescent="0.25">
      <c r="A571" s="20">
        <v>563</v>
      </c>
      <c r="B571" s="21" t="s">
        <v>1295</v>
      </c>
      <c r="C571" t="str">
        <f t="shared" si="24"/>
        <v>FS</v>
      </c>
      <c r="D571" t="str">
        <f t="shared" si="25"/>
        <v>4</v>
      </c>
      <c r="E571" t="str">
        <f t="shared" si="26"/>
        <v>01</v>
      </c>
    </row>
    <row r="572" spans="1:5" x14ac:dyDescent="0.25">
      <c r="A572">
        <v>1001</v>
      </c>
      <c r="B572" t="s">
        <v>845</v>
      </c>
      <c r="C572" t="str">
        <f>RIGHT(LEFT(B572,4),2)</f>
        <v>AA</v>
      </c>
      <c r="D572" t="str">
        <f t="shared" si="25"/>
        <v>1</v>
      </c>
      <c r="E572" s="31" t="s">
        <v>1298</v>
      </c>
    </row>
    <row r="573" spans="1:5" x14ac:dyDescent="0.25">
      <c r="A573">
        <v>1002</v>
      </c>
      <c r="B573" t="s">
        <v>846</v>
      </c>
      <c r="C573" t="str">
        <f t="shared" ref="C573:C636" si="27">RIGHT(LEFT(B573,4),2)</f>
        <v>AA</v>
      </c>
      <c r="D573" t="str">
        <f t="shared" si="25"/>
        <v>2</v>
      </c>
      <c r="E573" s="31" t="s">
        <v>1298</v>
      </c>
    </row>
    <row r="574" spans="1:5" x14ac:dyDescent="0.25">
      <c r="A574">
        <v>1003</v>
      </c>
      <c r="B574" t="s">
        <v>847</v>
      </c>
      <c r="C574" t="str">
        <f t="shared" si="27"/>
        <v>AA</v>
      </c>
      <c r="D574" t="str">
        <f t="shared" si="25"/>
        <v>4</v>
      </c>
      <c r="E574" s="31" t="s">
        <v>1298</v>
      </c>
    </row>
    <row r="575" spans="1:5" x14ac:dyDescent="0.25">
      <c r="A575">
        <v>1004</v>
      </c>
      <c r="B575" t="s">
        <v>848</v>
      </c>
      <c r="C575" t="str">
        <f t="shared" si="27"/>
        <v>FS</v>
      </c>
      <c r="D575" t="str">
        <f t="shared" si="25"/>
        <v>1</v>
      </c>
      <c r="E575" s="31" t="s">
        <v>1298</v>
      </c>
    </row>
    <row r="576" spans="1:5" x14ac:dyDescent="0.25">
      <c r="A576">
        <v>1005</v>
      </c>
      <c r="B576" t="s">
        <v>849</v>
      </c>
      <c r="C576" t="str">
        <f t="shared" si="27"/>
        <v>FS</v>
      </c>
      <c r="D576" t="str">
        <f t="shared" si="25"/>
        <v>2</v>
      </c>
      <c r="E576" s="31" t="s">
        <v>1298</v>
      </c>
    </row>
    <row r="577" spans="1:5" x14ac:dyDescent="0.25">
      <c r="A577">
        <v>1006</v>
      </c>
      <c r="B577" t="s">
        <v>850</v>
      </c>
      <c r="C577" t="str">
        <f t="shared" si="27"/>
        <v>FS</v>
      </c>
      <c r="D577" t="str">
        <f t="shared" si="25"/>
        <v>4</v>
      </c>
      <c r="E577" s="31" t="s">
        <v>1298</v>
      </c>
    </row>
    <row r="578" spans="1:5" x14ac:dyDescent="0.25">
      <c r="A578">
        <v>1007</v>
      </c>
      <c r="B578" t="s">
        <v>851</v>
      </c>
      <c r="C578" t="str">
        <f t="shared" si="27"/>
        <v>AA</v>
      </c>
      <c r="D578" t="str">
        <f t="shared" si="25"/>
        <v>1</v>
      </c>
      <c r="E578" s="31" t="s">
        <v>1298</v>
      </c>
    </row>
    <row r="579" spans="1:5" x14ac:dyDescent="0.25">
      <c r="A579">
        <v>1008</v>
      </c>
      <c r="B579" t="s">
        <v>852</v>
      </c>
      <c r="C579" t="str">
        <f t="shared" si="27"/>
        <v>AA</v>
      </c>
      <c r="D579" t="str">
        <f t="shared" ref="D579:D642" si="28">RIGHT(LEFT(B579,9),1)</f>
        <v>2</v>
      </c>
      <c r="E579" s="31" t="s">
        <v>1298</v>
      </c>
    </row>
    <row r="580" spans="1:5" x14ac:dyDescent="0.25">
      <c r="A580">
        <v>1009</v>
      </c>
      <c r="B580" t="s">
        <v>853</v>
      </c>
      <c r="C580" t="str">
        <f t="shared" si="27"/>
        <v>AA</v>
      </c>
      <c r="D580" t="str">
        <f t="shared" si="28"/>
        <v>4</v>
      </c>
      <c r="E580" s="31" t="s">
        <v>1298</v>
      </c>
    </row>
    <row r="581" spans="1:5" x14ac:dyDescent="0.25">
      <c r="A581">
        <v>1010</v>
      </c>
      <c r="B581" t="s">
        <v>854</v>
      </c>
      <c r="C581" t="str">
        <f t="shared" si="27"/>
        <v>FS</v>
      </c>
      <c r="D581" t="str">
        <f t="shared" si="28"/>
        <v>1</v>
      </c>
      <c r="E581" s="31" t="s">
        <v>1298</v>
      </c>
    </row>
    <row r="582" spans="1:5" x14ac:dyDescent="0.25">
      <c r="A582">
        <v>1011</v>
      </c>
      <c r="B582" t="s">
        <v>855</v>
      </c>
      <c r="C582" t="str">
        <f t="shared" si="27"/>
        <v>FS</v>
      </c>
      <c r="D582" t="str">
        <f t="shared" si="28"/>
        <v>2</v>
      </c>
      <c r="E582" s="31" t="s">
        <v>1298</v>
      </c>
    </row>
    <row r="583" spans="1:5" x14ac:dyDescent="0.25">
      <c r="A583">
        <v>1012</v>
      </c>
      <c r="B583" t="s">
        <v>856</v>
      </c>
      <c r="C583" t="str">
        <f t="shared" si="27"/>
        <v>FS</v>
      </c>
      <c r="D583" t="str">
        <f t="shared" si="28"/>
        <v>4</v>
      </c>
      <c r="E583" s="31" t="s">
        <v>1298</v>
      </c>
    </row>
    <row r="584" spans="1:5" x14ac:dyDescent="0.25">
      <c r="A584">
        <v>1013</v>
      </c>
      <c r="B584" t="s">
        <v>857</v>
      </c>
      <c r="C584" t="str">
        <f t="shared" si="27"/>
        <v>AA</v>
      </c>
      <c r="D584" t="str">
        <f t="shared" si="28"/>
        <v>1</v>
      </c>
      <c r="E584" s="31" t="s">
        <v>1298</v>
      </c>
    </row>
    <row r="585" spans="1:5" x14ac:dyDescent="0.25">
      <c r="A585">
        <v>1014</v>
      </c>
      <c r="B585" t="s">
        <v>858</v>
      </c>
      <c r="C585" t="str">
        <f t="shared" si="27"/>
        <v>AA</v>
      </c>
      <c r="D585" t="str">
        <f t="shared" si="28"/>
        <v>2</v>
      </c>
      <c r="E585" s="31" t="s">
        <v>1298</v>
      </c>
    </row>
    <row r="586" spans="1:5" x14ac:dyDescent="0.25">
      <c r="A586">
        <v>1015</v>
      </c>
      <c r="B586" t="s">
        <v>859</v>
      </c>
      <c r="C586" t="str">
        <f t="shared" si="27"/>
        <v>AA</v>
      </c>
      <c r="D586" t="str">
        <f t="shared" si="28"/>
        <v>4</v>
      </c>
      <c r="E586" s="31" t="s">
        <v>1298</v>
      </c>
    </row>
    <row r="587" spans="1:5" x14ac:dyDescent="0.25">
      <c r="A587">
        <v>1016</v>
      </c>
      <c r="B587" t="s">
        <v>860</v>
      </c>
      <c r="C587" t="str">
        <f t="shared" si="27"/>
        <v>FS</v>
      </c>
      <c r="D587" t="str">
        <f t="shared" si="28"/>
        <v>1</v>
      </c>
      <c r="E587" s="31" t="s">
        <v>1298</v>
      </c>
    </row>
    <row r="588" spans="1:5" x14ac:dyDescent="0.25">
      <c r="A588">
        <v>1017</v>
      </c>
      <c r="B588" t="s">
        <v>861</v>
      </c>
      <c r="C588" t="str">
        <f t="shared" si="27"/>
        <v>FS</v>
      </c>
      <c r="D588" t="str">
        <f t="shared" si="28"/>
        <v>2</v>
      </c>
      <c r="E588" s="31" t="s">
        <v>1298</v>
      </c>
    </row>
    <row r="589" spans="1:5" x14ac:dyDescent="0.25">
      <c r="A589">
        <v>1018</v>
      </c>
      <c r="B589" t="s">
        <v>862</v>
      </c>
      <c r="C589" t="str">
        <f t="shared" si="27"/>
        <v>FS</v>
      </c>
      <c r="D589" t="str">
        <f t="shared" si="28"/>
        <v>4</v>
      </c>
      <c r="E589" s="31" t="s">
        <v>1298</v>
      </c>
    </row>
    <row r="590" spans="1:5" x14ac:dyDescent="0.25">
      <c r="A590">
        <v>1019</v>
      </c>
      <c r="B590" t="s">
        <v>863</v>
      </c>
      <c r="C590" t="str">
        <f t="shared" si="27"/>
        <v>AA</v>
      </c>
      <c r="D590" t="str">
        <f t="shared" si="28"/>
        <v>1</v>
      </c>
      <c r="E590" s="31" t="s">
        <v>1298</v>
      </c>
    </row>
    <row r="591" spans="1:5" x14ac:dyDescent="0.25">
      <c r="A591">
        <v>1020</v>
      </c>
      <c r="B591" t="s">
        <v>864</v>
      </c>
      <c r="C591" t="str">
        <f t="shared" si="27"/>
        <v>AA</v>
      </c>
      <c r="D591" t="str">
        <f t="shared" si="28"/>
        <v>2</v>
      </c>
      <c r="E591" s="31" t="s">
        <v>1298</v>
      </c>
    </row>
    <row r="592" spans="1:5" x14ac:dyDescent="0.25">
      <c r="A592">
        <v>1021</v>
      </c>
      <c r="B592" t="s">
        <v>865</v>
      </c>
      <c r="C592" t="str">
        <f t="shared" si="27"/>
        <v>AA</v>
      </c>
      <c r="D592" t="str">
        <f t="shared" si="28"/>
        <v>4</v>
      </c>
      <c r="E592" s="31" t="s">
        <v>1298</v>
      </c>
    </row>
    <row r="593" spans="1:5" x14ac:dyDescent="0.25">
      <c r="A593">
        <v>1022</v>
      </c>
      <c r="B593" t="s">
        <v>866</v>
      </c>
      <c r="C593" t="str">
        <f t="shared" si="27"/>
        <v>FS</v>
      </c>
      <c r="D593" t="str">
        <f t="shared" si="28"/>
        <v>1</v>
      </c>
      <c r="E593" s="31" t="s">
        <v>1298</v>
      </c>
    </row>
    <row r="594" spans="1:5" x14ac:dyDescent="0.25">
      <c r="A594">
        <v>1023</v>
      </c>
      <c r="B594" t="s">
        <v>867</v>
      </c>
      <c r="C594" t="str">
        <f t="shared" si="27"/>
        <v>FS</v>
      </c>
      <c r="D594" t="str">
        <f t="shared" si="28"/>
        <v>2</v>
      </c>
      <c r="E594" s="31" t="s">
        <v>1298</v>
      </c>
    </row>
    <row r="595" spans="1:5" x14ac:dyDescent="0.25">
      <c r="A595">
        <v>1024</v>
      </c>
      <c r="B595" t="s">
        <v>868</v>
      </c>
      <c r="C595" t="str">
        <f t="shared" si="27"/>
        <v>FS</v>
      </c>
      <c r="D595" t="str">
        <f t="shared" si="28"/>
        <v>4</v>
      </c>
      <c r="E595" s="31" t="s">
        <v>1298</v>
      </c>
    </row>
    <row r="596" spans="1:5" x14ac:dyDescent="0.25">
      <c r="A596">
        <v>1025</v>
      </c>
      <c r="B596" t="s">
        <v>869</v>
      </c>
      <c r="C596" t="str">
        <f t="shared" si="27"/>
        <v>AA</v>
      </c>
      <c r="D596" t="str">
        <f t="shared" si="28"/>
        <v>1</v>
      </c>
      <c r="E596" s="31" t="s">
        <v>1298</v>
      </c>
    </row>
    <row r="597" spans="1:5" x14ac:dyDescent="0.25">
      <c r="A597">
        <v>1026</v>
      </c>
      <c r="B597" t="s">
        <v>870</v>
      </c>
      <c r="C597" t="str">
        <f t="shared" si="27"/>
        <v>AA</v>
      </c>
      <c r="D597" t="str">
        <f t="shared" si="28"/>
        <v>2</v>
      </c>
      <c r="E597" s="31" t="s">
        <v>1298</v>
      </c>
    </row>
    <row r="598" spans="1:5" x14ac:dyDescent="0.25">
      <c r="A598">
        <v>1027</v>
      </c>
      <c r="B598" t="s">
        <v>871</v>
      </c>
      <c r="C598" t="str">
        <f t="shared" si="27"/>
        <v>AA</v>
      </c>
      <c r="D598" t="str">
        <f t="shared" si="28"/>
        <v>4</v>
      </c>
      <c r="E598" s="31" t="s">
        <v>1298</v>
      </c>
    </row>
    <row r="599" spans="1:5" x14ac:dyDescent="0.25">
      <c r="A599">
        <v>1028</v>
      </c>
      <c r="B599" t="s">
        <v>872</v>
      </c>
      <c r="C599" t="str">
        <f t="shared" si="27"/>
        <v>FS</v>
      </c>
      <c r="D599" t="str">
        <f t="shared" si="28"/>
        <v>1</v>
      </c>
      <c r="E599" s="31" t="s">
        <v>1298</v>
      </c>
    </row>
    <row r="600" spans="1:5" x14ac:dyDescent="0.25">
      <c r="A600">
        <v>1029</v>
      </c>
      <c r="B600" t="s">
        <v>873</v>
      </c>
      <c r="C600" t="str">
        <f t="shared" si="27"/>
        <v>FS</v>
      </c>
      <c r="D600" t="str">
        <f t="shared" si="28"/>
        <v>2</v>
      </c>
      <c r="E600" s="31" t="s">
        <v>1298</v>
      </c>
    </row>
    <row r="601" spans="1:5" x14ac:dyDescent="0.25">
      <c r="A601">
        <v>1030</v>
      </c>
      <c r="B601" t="s">
        <v>874</v>
      </c>
      <c r="C601" t="str">
        <f t="shared" si="27"/>
        <v>FS</v>
      </c>
      <c r="D601" t="str">
        <f t="shared" si="28"/>
        <v>4</v>
      </c>
      <c r="E601" s="31" t="s">
        <v>1298</v>
      </c>
    </row>
    <row r="602" spans="1:5" x14ac:dyDescent="0.25">
      <c r="A602">
        <v>1031</v>
      </c>
      <c r="B602" t="s">
        <v>875</v>
      </c>
      <c r="C602" t="str">
        <f t="shared" si="27"/>
        <v>AA</v>
      </c>
      <c r="D602" t="str">
        <f t="shared" si="28"/>
        <v>1</v>
      </c>
      <c r="E602" s="31" t="s">
        <v>1298</v>
      </c>
    </row>
    <row r="603" spans="1:5" x14ac:dyDescent="0.25">
      <c r="A603">
        <v>1032</v>
      </c>
      <c r="B603" t="s">
        <v>876</v>
      </c>
      <c r="C603" t="str">
        <f t="shared" si="27"/>
        <v>AA</v>
      </c>
      <c r="D603" t="str">
        <f t="shared" si="28"/>
        <v>2</v>
      </c>
      <c r="E603" s="31" t="s">
        <v>1298</v>
      </c>
    </row>
    <row r="604" spans="1:5" x14ac:dyDescent="0.25">
      <c r="A604">
        <v>1033</v>
      </c>
      <c r="B604" t="s">
        <v>877</v>
      </c>
      <c r="C604" t="str">
        <f t="shared" si="27"/>
        <v>AA</v>
      </c>
      <c r="D604" t="str">
        <f t="shared" si="28"/>
        <v>4</v>
      </c>
      <c r="E604" s="31" t="s">
        <v>1298</v>
      </c>
    </row>
    <row r="605" spans="1:5" x14ac:dyDescent="0.25">
      <c r="A605">
        <v>1034</v>
      </c>
      <c r="B605" t="s">
        <v>878</v>
      </c>
      <c r="C605" t="str">
        <f t="shared" si="27"/>
        <v>FS</v>
      </c>
      <c r="D605" t="str">
        <f t="shared" si="28"/>
        <v>1</v>
      </c>
      <c r="E605" s="31" t="s">
        <v>1298</v>
      </c>
    </row>
    <row r="606" spans="1:5" x14ac:dyDescent="0.25">
      <c r="A606">
        <v>1035</v>
      </c>
      <c r="B606" t="s">
        <v>879</v>
      </c>
      <c r="C606" t="str">
        <f t="shared" si="27"/>
        <v>FS</v>
      </c>
      <c r="D606" t="str">
        <f t="shared" si="28"/>
        <v>2</v>
      </c>
      <c r="E606" s="31" t="s">
        <v>1298</v>
      </c>
    </row>
    <row r="607" spans="1:5" x14ac:dyDescent="0.25">
      <c r="A607">
        <v>1036</v>
      </c>
      <c r="B607" t="s">
        <v>880</v>
      </c>
      <c r="C607" t="str">
        <f t="shared" si="27"/>
        <v>FS</v>
      </c>
      <c r="D607" t="str">
        <f t="shared" si="28"/>
        <v>4</v>
      </c>
      <c r="E607" s="31" t="s">
        <v>1298</v>
      </c>
    </row>
    <row r="608" spans="1:5" x14ac:dyDescent="0.25">
      <c r="A608">
        <v>1037</v>
      </c>
      <c r="B608" t="s">
        <v>881</v>
      </c>
      <c r="C608" t="str">
        <f t="shared" si="27"/>
        <v>AA</v>
      </c>
      <c r="D608" t="str">
        <f t="shared" si="28"/>
        <v>1</v>
      </c>
      <c r="E608" s="31" t="s">
        <v>1298</v>
      </c>
    </row>
    <row r="609" spans="1:5" x14ac:dyDescent="0.25">
      <c r="A609">
        <v>1038</v>
      </c>
      <c r="B609" t="s">
        <v>882</v>
      </c>
      <c r="C609" t="str">
        <f t="shared" si="27"/>
        <v>AA</v>
      </c>
      <c r="D609" t="str">
        <f t="shared" si="28"/>
        <v>2</v>
      </c>
      <c r="E609" s="31" t="s">
        <v>1298</v>
      </c>
    </row>
    <row r="610" spans="1:5" x14ac:dyDescent="0.25">
      <c r="A610">
        <v>1039</v>
      </c>
      <c r="B610" t="s">
        <v>883</v>
      </c>
      <c r="C610" t="str">
        <f t="shared" si="27"/>
        <v>AA</v>
      </c>
      <c r="D610" t="str">
        <f t="shared" si="28"/>
        <v>4</v>
      </c>
      <c r="E610" s="31" t="s">
        <v>1298</v>
      </c>
    </row>
    <row r="611" spans="1:5" x14ac:dyDescent="0.25">
      <c r="A611">
        <v>1040</v>
      </c>
      <c r="B611" t="s">
        <v>884</v>
      </c>
      <c r="C611" t="str">
        <f t="shared" si="27"/>
        <v>FS</v>
      </c>
      <c r="D611" t="str">
        <f t="shared" si="28"/>
        <v>1</v>
      </c>
      <c r="E611" s="31" t="s">
        <v>1298</v>
      </c>
    </row>
    <row r="612" spans="1:5" x14ac:dyDescent="0.25">
      <c r="A612">
        <v>1041</v>
      </c>
      <c r="B612" t="s">
        <v>885</v>
      </c>
      <c r="C612" t="str">
        <f t="shared" si="27"/>
        <v>FS</v>
      </c>
      <c r="D612" t="str">
        <f t="shared" si="28"/>
        <v>2</v>
      </c>
      <c r="E612" s="31" t="s">
        <v>1298</v>
      </c>
    </row>
    <row r="613" spans="1:5" x14ac:dyDescent="0.25">
      <c r="A613">
        <v>1042</v>
      </c>
      <c r="B613" t="s">
        <v>886</v>
      </c>
      <c r="C613" t="str">
        <f t="shared" si="27"/>
        <v>FS</v>
      </c>
      <c r="D613" t="str">
        <f t="shared" si="28"/>
        <v>4</v>
      </c>
      <c r="E613" s="31" t="s">
        <v>1298</v>
      </c>
    </row>
    <row r="614" spans="1:5" x14ac:dyDescent="0.25">
      <c r="A614">
        <v>1043</v>
      </c>
      <c r="B614" t="s">
        <v>887</v>
      </c>
      <c r="C614" t="str">
        <f t="shared" si="27"/>
        <v>AA</v>
      </c>
      <c r="D614" t="str">
        <f t="shared" si="28"/>
        <v>1</v>
      </c>
      <c r="E614" s="31" t="s">
        <v>1298</v>
      </c>
    </row>
    <row r="615" spans="1:5" x14ac:dyDescent="0.25">
      <c r="A615">
        <v>1044</v>
      </c>
      <c r="B615" t="s">
        <v>888</v>
      </c>
      <c r="C615" t="str">
        <f t="shared" si="27"/>
        <v>AA</v>
      </c>
      <c r="D615" t="str">
        <f t="shared" si="28"/>
        <v>2</v>
      </c>
      <c r="E615" s="31" t="s">
        <v>1298</v>
      </c>
    </row>
    <row r="616" spans="1:5" x14ac:dyDescent="0.25">
      <c r="A616">
        <v>1045</v>
      </c>
      <c r="B616" t="s">
        <v>889</v>
      </c>
      <c r="C616" t="str">
        <f t="shared" si="27"/>
        <v>AA</v>
      </c>
      <c r="D616" t="str">
        <f t="shared" si="28"/>
        <v>4</v>
      </c>
      <c r="E616" s="31" t="s">
        <v>1298</v>
      </c>
    </row>
    <row r="617" spans="1:5" x14ac:dyDescent="0.25">
      <c r="A617">
        <v>1046</v>
      </c>
      <c r="B617" t="s">
        <v>890</v>
      </c>
      <c r="C617" t="str">
        <f t="shared" si="27"/>
        <v>FS</v>
      </c>
      <c r="D617" t="str">
        <f t="shared" si="28"/>
        <v>1</v>
      </c>
      <c r="E617" s="31" t="s">
        <v>1298</v>
      </c>
    </row>
    <row r="618" spans="1:5" x14ac:dyDescent="0.25">
      <c r="A618">
        <v>1047</v>
      </c>
      <c r="B618" t="s">
        <v>891</v>
      </c>
      <c r="C618" t="str">
        <f t="shared" si="27"/>
        <v>FS</v>
      </c>
      <c r="D618" t="str">
        <f t="shared" si="28"/>
        <v>2</v>
      </c>
      <c r="E618" s="31" t="s">
        <v>1298</v>
      </c>
    </row>
    <row r="619" spans="1:5" x14ac:dyDescent="0.25">
      <c r="A619">
        <v>1048</v>
      </c>
      <c r="B619" t="s">
        <v>892</v>
      </c>
      <c r="C619" t="str">
        <f t="shared" si="27"/>
        <v>FS</v>
      </c>
      <c r="D619" t="str">
        <f t="shared" si="28"/>
        <v>4</v>
      </c>
      <c r="E619" s="31" t="s">
        <v>1298</v>
      </c>
    </row>
    <row r="620" spans="1:5" x14ac:dyDescent="0.25">
      <c r="A620">
        <v>1049</v>
      </c>
      <c r="B620" t="s">
        <v>893</v>
      </c>
      <c r="C620" t="str">
        <f t="shared" si="27"/>
        <v>AA</v>
      </c>
      <c r="D620" t="str">
        <f t="shared" si="28"/>
        <v>1</v>
      </c>
      <c r="E620" s="31" t="s">
        <v>1298</v>
      </c>
    </row>
    <row r="621" spans="1:5" x14ac:dyDescent="0.25">
      <c r="A621">
        <v>1050</v>
      </c>
      <c r="B621" t="s">
        <v>894</v>
      </c>
      <c r="C621" t="str">
        <f t="shared" si="27"/>
        <v>AA</v>
      </c>
      <c r="D621" t="str">
        <f t="shared" si="28"/>
        <v>2</v>
      </c>
      <c r="E621" s="31" t="s">
        <v>1298</v>
      </c>
    </row>
    <row r="622" spans="1:5" x14ac:dyDescent="0.25">
      <c r="A622">
        <v>1051</v>
      </c>
      <c r="B622" t="s">
        <v>895</v>
      </c>
      <c r="C622" t="str">
        <f t="shared" si="27"/>
        <v>AA</v>
      </c>
      <c r="D622" t="str">
        <f t="shared" si="28"/>
        <v>4</v>
      </c>
      <c r="E622" s="31" t="s">
        <v>1298</v>
      </c>
    </row>
    <row r="623" spans="1:5" x14ac:dyDescent="0.25">
      <c r="A623">
        <v>1052</v>
      </c>
      <c r="B623" t="s">
        <v>896</v>
      </c>
      <c r="C623" t="str">
        <f t="shared" si="27"/>
        <v>FS</v>
      </c>
      <c r="D623" t="str">
        <f t="shared" si="28"/>
        <v>1</v>
      </c>
      <c r="E623" s="31" t="s">
        <v>1298</v>
      </c>
    </row>
    <row r="624" spans="1:5" x14ac:dyDescent="0.25">
      <c r="A624">
        <v>1053</v>
      </c>
      <c r="B624" t="s">
        <v>897</v>
      </c>
      <c r="C624" t="str">
        <f t="shared" si="27"/>
        <v>FS</v>
      </c>
      <c r="D624" t="str">
        <f t="shared" si="28"/>
        <v>2</v>
      </c>
      <c r="E624" s="31" t="s">
        <v>1298</v>
      </c>
    </row>
    <row r="625" spans="1:5" x14ac:dyDescent="0.25">
      <c r="A625">
        <v>1054</v>
      </c>
      <c r="B625" t="s">
        <v>898</v>
      </c>
      <c r="C625" t="str">
        <f t="shared" si="27"/>
        <v>FS</v>
      </c>
      <c r="D625" t="str">
        <f t="shared" si="28"/>
        <v>4</v>
      </c>
      <c r="E625" s="31" t="s">
        <v>1298</v>
      </c>
    </row>
    <row r="626" spans="1:5" x14ac:dyDescent="0.25">
      <c r="A626">
        <v>1055</v>
      </c>
      <c r="B626" t="s">
        <v>899</v>
      </c>
      <c r="C626" t="str">
        <f t="shared" si="27"/>
        <v>AA</v>
      </c>
      <c r="D626" t="str">
        <f t="shared" si="28"/>
        <v>1</v>
      </c>
      <c r="E626" s="31" t="s">
        <v>1298</v>
      </c>
    </row>
    <row r="627" spans="1:5" x14ac:dyDescent="0.25">
      <c r="A627">
        <v>1056</v>
      </c>
      <c r="B627" t="s">
        <v>900</v>
      </c>
      <c r="C627" t="str">
        <f t="shared" si="27"/>
        <v>AA</v>
      </c>
      <c r="D627" t="str">
        <f t="shared" si="28"/>
        <v>2</v>
      </c>
      <c r="E627" s="31" t="s">
        <v>1298</v>
      </c>
    </row>
    <row r="628" spans="1:5" x14ac:dyDescent="0.25">
      <c r="A628">
        <v>1057</v>
      </c>
      <c r="B628" t="s">
        <v>901</v>
      </c>
      <c r="C628" t="str">
        <f t="shared" si="27"/>
        <v>AA</v>
      </c>
      <c r="D628" t="str">
        <f t="shared" si="28"/>
        <v>4</v>
      </c>
      <c r="E628" s="31" t="s">
        <v>1298</v>
      </c>
    </row>
    <row r="629" spans="1:5" x14ac:dyDescent="0.25">
      <c r="A629">
        <v>1058</v>
      </c>
      <c r="B629" t="s">
        <v>902</v>
      </c>
      <c r="C629" t="str">
        <f t="shared" si="27"/>
        <v>FS</v>
      </c>
      <c r="D629" t="str">
        <f t="shared" si="28"/>
        <v>1</v>
      </c>
      <c r="E629" s="31" t="s">
        <v>1298</v>
      </c>
    </row>
    <row r="630" spans="1:5" x14ac:dyDescent="0.25">
      <c r="A630">
        <v>1059</v>
      </c>
      <c r="B630" t="s">
        <v>903</v>
      </c>
      <c r="C630" t="str">
        <f t="shared" si="27"/>
        <v>FS</v>
      </c>
      <c r="D630" t="str">
        <f t="shared" si="28"/>
        <v>2</v>
      </c>
      <c r="E630" s="31" t="s">
        <v>1298</v>
      </c>
    </row>
    <row r="631" spans="1:5" x14ac:dyDescent="0.25">
      <c r="A631">
        <v>1060</v>
      </c>
      <c r="B631" t="s">
        <v>904</v>
      </c>
      <c r="C631" t="str">
        <f t="shared" si="27"/>
        <v>FS</v>
      </c>
      <c r="D631" t="str">
        <f t="shared" si="28"/>
        <v>4</v>
      </c>
      <c r="E631" s="31" t="s">
        <v>1298</v>
      </c>
    </row>
    <row r="632" spans="1:5" x14ac:dyDescent="0.25">
      <c r="A632">
        <v>1061</v>
      </c>
      <c r="B632" t="s">
        <v>905</v>
      </c>
      <c r="C632" t="str">
        <f t="shared" si="27"/>
        <v>AA</v>
      </c>
      <c r="D632" t="str">
        <f t="shared" si="28"/>
        <v>1</v>
      </c>
      <c r="E632" s="31" t="s">
        <v>1298</v>
      </c>
    </row>
    <row r="633" spans="1:5" x14ac:dyDescent="0.25">
      <c r="A633">
        <v>1062</v>
      </c>
      <c r="B633" t="s">
        <v>906</v>
      </c>
      <c r="C633" t="str">
        <f t="shared" si="27"/>
        <v>AA</v>
      </c>
      <c r="D633" t="str">
        <f t="shared" si="28"/>
        <v>2</v>
      </c>
      <c r="E633" s="31" t="s">
        <v>1298</v>
      </c>
    </row>
    <row r="634" spans="1:5" x14ac:dyDescent="0.25">
      <c r="A634">
        <v>1063</v>
      </c>
      <c r="B634" t="s">
        <v>907</v>
      </c>
      <c r="C634" t="str">
        <f t="shared" si="27"/>
        <v>AA</v>
      </c>
      <c r="D634" t="str">
        <f t="shared" si="28"/>
        <v>4</v>
      </c>
      <c r="E634" s="31" t="s">
        <v>1298</v>
      </c>
    </row>
    <row r="635" spans="1:5" x14ac:dyDescent="0.25">
      <c r="A635">
        <v>1064</v>
      </c>
      <c r="B635" t="s">
        <v>908</v>
      </c>
      <c r="C635" t="str">
        <f t="shared" si="27"/>
        <v>FS</v>
      </c>
      <c r="D635" t="str">
        <f t="shared" si="28"/>
        <v>1</v>
      </c>
      <c r="E635" s="31" t="s">
        <v>1298</v>
      </c>
    </row>
    <row r="636" spans="1:5" x14ac:dyDescent="0.25">
      <c r="A636">
        <v>1065</v>
      </c>
      <c r="B636" t="s">
        <v>909</v>
      </c>
      <c r="C636" t="str">
        <f t="shared" si="27"/>
        <v>FS</v>
      </c>
      <c r="D636" t="str">
        <f t="shared" si="28"/>
        <v>2</v>
      </c>
      <c r="E636" s="31" t="s">
        <v>1298</v>
      </c>
    </row>
    <row r="637" spans="1:5" x14ac:dyDescent="0.25">
      <c r="A637">
        <v>1066</v>
      </c>
      <c r="B637" t="s">
        <v>910</v>
      </c>
      <c r="C637" t="str">
        <f t="shared" ref="C637:C661" si="29">RIGHT(LEFT(B637,4),2)</f>
        <v>FS</v>
      </c>
      <c r="D637" t="str">
        <f t="shared" si="28"/>
        <v>4</v>
      </c>
      <c r="E637" s="31" t="s">
        <v>1298</v>
      </c>
    </row>
    <row r="638" spans="1:5" x14ac:dyDescent="0.25">
      <c r="A638">
        <v>1067</v>
      </c>
      <c r="B638" t="s">
        <v>911</v>
      </c>
      <c r="C638" t="str">
        <f t="shared" si="29"/>
        <v>AA</v>
      </c>
      <c r="D638" t="str">
        <f t="shared" si="28"/>
        <v>1</v>
      </c>
      <c r="E638" s="31" t="s">
        <v>1298</v>
      </c>
    </row>
    <row r="639" spans="1:5" x14ac:dyDescent="0.25">
      <c r="A639">
        <v>1068</v>
      </c>
      <c r="B639" t="s">
        <v>912</v>
      </c>
      <c r="C639" t="str">
        <f t="shared" si="29"/>
        <v>AA</v>
      </c>
      <c r="D639" t="str">
        <f t="shared" si="28"/>
        <v>2</v>
      </c>
      <c r="E639" s="31" t="s">
        <v>1298</v>
      </c>
    </row>
    <row r="640" spans="1:5" x14ac:dyDescent="0.25">
      <c r="A640">
        <v>1069</v>
      </c>
      <c r="B640" t="s">
        <v>913</v>
      </c>
      <c r="C640" t="str">
        <f t="shared" si="29"/>
        <v>AA</v>
      </c>
      <c r="D640" t="str">
        <f t="shared" si="28"/>
        <v>4</v>
      </c>
      <c r="E640" s="31" t="s">
        <v>1298</v>
      </c>
    </row>
    <row r="641" spans="1:5" x14ac:dyDescent="0.25">
      <c r="A641">
        <v>1070</v>
      </c>
      <c r="B641" t="s">
        <v>914</v>
      </c>
      <c r="C641" t="str">
        <f t="shared" si="29"/>
        <v>FS</v>
      </c>
      <c r="D641" t="str">
        <f t="shared" si="28"/>
        <v>1</v>
      </c>
      <c r="E641" s="31" t="s">
        <v>1298</v>
      </c>
    </row>
    <row r="642" spans="1:5" x14ac:dyDescent="0.25">
      <c r="A642">
        <v>1071</v>
      </c>
      <c r="B642" t="s">
        <v>915</v>
      </c>
      <c r="C642" t="str">
        <f t="shared" si="29"/>
        <v>FS</v>
      </c>
      <c r="D642" t="str">
        <f t="shared" si="28"/>
        <v>2</v>
      </c>
      <c r="E642" s="31" t="s">
        <v>1298</v>
      </c>
    </row>
    <row r="643" spans="1:5" x14ac:dyDescent="0.25">
      <c r="A643">
        <v>1072</v>
      </c>
      <c r="B643" t="s">
        <v>916</v>
      </c>
      <c r="C643" t="str">
        <f t="shared" si="29"/>
        <v>FS</v>
      </c>
      <c r="D643" t="str">
        <f t="shared" ref="D643:D661" si="30">RIGHT(LEFT(B643,9),1)</f>
        <v>4</v>
      </c>
      <c r="E643" s="31" t="s">
        <v>1298</v>
      </c>
    </row>
    <row r="644" spans="1:5" x14ac:dyDescent="0.25">
      <c r="A644">
        <v>1073</v>
      </c>
      <c r="B644" t="s">
        <v>917</v>
      </c>
      <c r="C644" t="str">
        <f t="shared" si="29"/>
        <v>AA</v>
      </c>
      <c r="D644" t="str">
        <f t="shared" si="30"/>
        <v>1</v>
      </c>
      <c r="E644" s="31" t="s">
        <v>1298</v>
      </c>
    </row>
    <row r="645" spans="1:5" x14ac:dyDescent="0.25">
      <c r="A645">
        <v>1074</v>
      </c>
      <c r="B645" t="s">
        <v>918</v>
      </c>
      <c r="C645" t="str">
        <f t="shared" si="29"/>
        <v>AA</v>
      </c>
      <c r="D645" t="str">
        <f t="shared" si="30"/>
        <v>2</v>
      </c>
      <c r="E645" s="31" t="s">
        <v>1298</v>
      </c>
    </row>
    <row r="646" spans="1:5" x14ac:dyDescent="0.25">
      <c r="A646">
        <v>1075</v>
      </c>
      <c r="B646" t="s">
        <v>919</v>
      </c>
      <c r="C646" t="str">
        <f t="shared" si="29"/>
        <v>AA</v>
      </c>
      <c r="D646" t="str">
        <f t="shared" si="30"/>
        <v>4</v>
      </c>
      <c r="E646" s="31" t="s">
        <v>1298</v>
      </c>
    </row>
    <row r="647" spans="1:5" x14ac:dyDescent="0.25">
      <c r="A647">
        <v>1076</v>
      </c>
      <c r="B647" t="s">
        <v>920</v>
      </c>
      <c r="C647" t="str">
        <f t="shared" si="29"/>
        <v>FS</v>
      </c>
      <c r="D647" t="str">
        <f t="shared" si="30"/>
        <v>1</v>
      </c>
      <c r="E647" s="31" t="s">
        <v>1298</v>
      </c>
    </row>
    <row r="648" spans="1:5" x14ac:dyDescent="0.25">
      <c r="A648">
        <v>1077</v>
      </c>
      <c r="B648" t="s">
        <v>921</v>
      </c>
      <c r="C648" t="str">
        <f t="shared" si="29"/>
        <v>FS</v>
      </c>
      <c r="D648" t="str">
        <f t="shared" si="30"/>
        <v>2</v>
      </c>
      <c r="E648" s="31" t="s">
        <v>1298</v>
      </c>
    </row>
    <row r="649" spans="1:5" x14ac:dyDescent="0.25">
      <c r="A649">
        <v>1078</v>
      </c>
      <c r="B649" t="s">
        <v>922</v>
      </c>
      <c r="C649" t="str">
        <f t="shared" si="29"/>
        <v>FS</v>
      </c>
      <c r="D649" t="str">
        <f t="shared" si="30"/>
        <v>4</v>
      </c>
      <c r="E649" s="31" t="s">
        <v>1298</v>
      </c>
    </row>
    <row r="650" spans="1:5" x14ac:dyDescent="0.25">
      <c r="A650">
        <v>1079</v>
      </c>
      <c r="B650" t="s">
        <v>923</v>
      </c>
      <c r="C650" t="str">
        <f t="shared" si="29"/>
        <v>AA</v>
      </c>
      <c r="D650" t="str">
        <f t="shared" si="30"/>
        <v>1</v>
      </c>
      <c r="E650" s="31" t="s">
        <v>1298</v>
      </c>
    </row>
    <row r="651" spans="1:5" x14ac:dyDescent="0.25">
      <c r="A651">
        <v>1080</v>
      </c>
      <c r="B651" t="s">
        <v>924</v>
      </c>
      <c r="C651" t="str">
        <f t="shared" si="29"/>
        <v>AA</v>
      </c>
      <c r="D651" t="str">
        <f t="shared" si="30"/>
        <v>2</v>
      </c>
      <c r="E651" s="31" t="s">
        <v>1298</v>
      </c>
    </row>
    <row r="652" spans="1:5" x14ac:dyDescent="0.25">
      <c r="A652">
        <v>1081</v>
      </c>
      <c r="B652" t="s">
        <v>925</v>
      </c>
      <c r="C652" t="str">
        <f t="shared" si="29"/>
        <v>AA</v>
      </c>
      <c r="D652" t="str">
        <f t="shared" si="30"/>
        <v>4</v>
      </c>
      <c r="E652" s="31" t="s">
        <v>1298</v>
      </c>
    </row>
    <row r="653" spans="1:5" x14ac:dyDescent="0.25">
      <c r="A653">
        <v>1082</v>
      </c>
      <c r="B653" t="s">
        <v>926</v>
      </c>
      <c r="C653" t="str">
        <f t="shared" si="29"/>
        <v>FS</v>
      </c>
      <c r="D653" t="str">
        <f t="shared" si="30"/>
        <v>1</v>
      </c>
      <c r="E653" s="31" t="s">
        <v>1298</v>
      </c>
    </row>
    <row r="654" spans="1:5" x14ac:dyDescent="0.25">
      <c r="A654">
        <v>1083</v>
      </c>
      <c r="B654" t="s">
        <v>927</v>
      </c>
      <c r="C654" t="str">
        <f t="shared" si="29"/>
        <v>FS</v>
      </c>
      <c r="D654" t="str">
        <f t="shared" si="30"/>
        <v>2</v>
      </c>
      <c r="E654" s="31" t="s">
        <v>1298</v>
      </c>
    </row>
    <row r="655" spans="1:5" x14ac:dyDescent="0.25">
      <c r="A655">
        <v>1084</v>
      </c>
      <c r="B655" t="s">
        <v>928</v>
      </c>
      <c r="C655" t="str">
        <f t="shared" si="29"/>
        <v>FS</v>
      </c>
      <c r="D655" t="str">
        <f t="shared" si="30"/>
        <v>4</v>
      </c>
      <c r="E655" s="31" t="s">
        <v>1298</v>
      </c>
    </row>
    <row r="656" spans="1:5" x14ac:dyDescent="0.25">
      <c r="A656">
        <v>1085</v>
      </c>
      <c r="B656" t="s">
        <v>929</v>
      </c>
      <c r="C656" t="str">
        <f t="shared" si="29"/>
        <v>AA</v>
      </c>
      <c r="D656" t="str">
        <f t="shared" si="30"/>
        <v>1</v>
      </c>
      <c r="E656" s="31" t="s">
        <v>1298</v>
      </c>
    </row>
    <row r="657" spans="1:5" x14ac:dyDescent="0.25">
      <c r="A657">
        <v>1086</v>
      </c>
      <c r="B657" t="s">
        <v>930</v>
      </c>
      <c r="C657" t="str">
        <f t="shared" si="29"/>
        <v>AA</v>
      </c>
      <c r="D657" t="str">
        <f t="shared" si="30"/>
        <v>2</v>
      </c>
      <c r="E657" s="31" t="s">
        <v>1298</v>
      </c>
    </row>
    <row r="658" spans="1:5" x14ac:dyDescent="0.25">
      <c r="A658">
        <v>1087</v>
      </c>
      <c r="B658" t="s">
        <v>931</v>
      </c>
      <c r="C658" t="str">
        <f t="shared" si="29"/>
        <v>AA</v>
      </c>
      <c r="D658" t="str">
        <f t="shared" si="30"/>
        <v>4</v>
      </c>
      <c r="E658" s="31" t="s">
        <v>1298</v>
      </c>
    </row>
    <row r="659" spans="1:5" x14ac:dyDescent="0.25">
      <c r="A659">
        <v>1088</v>
      </c>
      <c r="B659" t="s">
        <v>932</v>
      </c>
      <c r="C659" t="str">
        <f t="shared" si="29"/>
        <v>FS</v>
      </c>
      <c r="D659" t="str">
        <f t="shared" si="30"/>
        <v>1</v>
      </c>
      <c r="E659" s="31" t="s">
        <v>1298</v>
      </c>
    </row>
    <row r="660" spans="1:5" x14ac:dyDescent="0.25">
      <c r="A660">
        <v>1089</v>
      </c>
      <c r="B660" t="s">
        <v>933</v>
      </c>
      <c r="C660" t="str">
        <f t="shared" si="29"/>
        <v>FS</v>
      </c>
      <c r="D660" t="str">
        <f t="shared" si="30"/>
        <v>2</v>
      </c>
      <c r="E660" s="31" t="s">
        <v>1298</v>
      </c>
    </row>
    <row r="661" spans="1:5" x14ac:dyDescent="0.25">
      <c r="A661">
        <v>1090</v>
      </c>
      <c r="B661" t="s">
        <v>934</v>
      </c>
      <c r="C661" t="str">
        <f t="shared" si="29"/>
        <v>FS</v>
      </c>
      <c r="D661" t="str">
        <f t="shared" si="30"/>
        <v>4</v>
      </c>
      <c r="E661" s="31" t="s">
        <v>1298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 N</vt:lpstr>
      <vt:lpstr>IONOMICS</vt:lpstr>
      <vt:lpstr>CEBAS-DEWOOD code</vt:lpstr>
      <vt:lpstr>Field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2022-04-01T11:30:19Z</dcterms:created>
  <dcterms:modified xsi:type="dcterms:W3CDTF">2022-04-01T12:14:47Z</dcterms:modified>
</cp:coreProperties>
</file>