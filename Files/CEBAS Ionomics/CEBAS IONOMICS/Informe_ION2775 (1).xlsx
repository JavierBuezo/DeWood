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480" windowHeight="1164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N7" i="1" l="1"/>
  <c r="N10" i="1" l="1"/>
</calcChain>
</file>

<file path=xl/sharedStrings.xml><?xml version="1.0" encoding="utf-8"?>
<sst xmlns="http://schemas.openxmlformats.org/spreadsheetml/2006/main" count="48" uniqueCount="48">
  <si>
    <t>MUESTRA</t>
  </si>
  <si>
    <t>IDENTIFICACIÓN</t>
  </si>
  <si>
    <t xml:space="preserve">Precio ICP TOTAL </t>
  </si>
  <si>
    <t>Nº Muestras</t>
  </si>
  <si>
    <t>Nº DE MUESTRAS</t>
  </si>
  <si>
    <t>NOMBRE</t>
  </si>
  <si>
    <t>CENTRO</t>
  </si>
  <si>
    <t>E-MAIL</t>
  </si>
  <si>
    <t>FECHA DE  ENTREGA</t>
  </si>
  <si>
    <t>FECHA DE RECEPCIÓN</t>
  </si>
  <si>
    <t>TARIFAS</t>
  </si>
  <si>
    <t xml:space="preserve">PRECIO POR MUESTRA </t>
  </si>
  <si>
    <t>C/N</t>
  </si>
  <si>
    <t>Análisis ELEMENTAL LECO TruSpec CN</t>
  </si>
  <si>
    <t>Ntotal (g/100g)</t>
  </si>
  <si>
    <t>Ctotal (g/100g)</t>
  </si>
  <si>
    <t>250322 RaquelEsteban 2775-1</t>
  </si>
  <si>
    <t>250322 RaquelEsteban 2775-2</t>
  </si>
  <si>
    <t>250322 RaquelEsteban 2775-3</t>
  </si>
  <si>
    <t>250322 RaquelEsteban 2775-4</t>
  </si>
  <si>
    <t>250322 RaquelEsteban 2775-5</t>
  </si>
  <si>
    <t>250322 RaquelEsteban 2775-6</t>
  </si>
  <si>
    <t>250322 RaquelEsteban 2775-7</t>
  </si>
  <si>
    <t>250322 RaquelEsteban 2775-8</t>
  </si>
  <si>
    <t>250322 RaquelEsteban 2775-9</t>
  </si>
  <si>
    <t>250322 RaquelEsteban 2775-10</t>
  </si>
  <si>
    <t>250322 RaquelEsteban 2775-11</t>
  </si>
  <si>
    <t>250322 RaquelEsteban 2775-12</t>
  </si>
  <si>
    <t>250322 RaquelEsteban 2775-13</t>
  </si>
  <si>
    <t>250322 RaquelEsteban 2775-14</t>
  </si>
  <si>
    <t>250322 RaquelEsteban 2775-15</t>
  </si>
  <si>
    <t>250322 RaquelEsteban 2775-16</t>
  </si>
  <si>
    <t>250322 RaquelEsteban 2775-17</t>
  </si>
  <si>
    <t>250322 RaquelEsteban 2775-18</t>
  </si>
  <si>
    <t>250322 RaquelEsteban 2775-19</t>
  </si>
  <si>
    <t>250322 RaquelEsteban 2775-20</t>
  </si>
  <si>
    <t>250322 RaquelEsteban 2775-21</t>
  </si>
  <si>
    <t>250322 RaquelEsteban 2775-22</t>
  </si>
  <si>
    <t>250322 RaquelEsteban 2775-23</t>
  </si>
  <si>
    <t>250322 RaquelEsteban 2775-24</t>
  </si>
  <si>
    <t>250322 RaquelEsteban 2775-25</t>
  </si>
  <si>
    <t>250322 RaquelEsteban 2775-26</t>
  </si>
  <si>
    <t>250322 RaquelEsteban 2775-27</t>
  </si>
  <si>
    <t>250322 RaquelEsteban 2775-28</t>
  </si>
  <si>
    <t>250322 RaquelEsteban 2775-29</t>
  </si>
  <si>
    <t>250322 RaquelEsteban 2775-30</t>
  </si>
  <si>
    <t>Raquel Esteban</t>
  </si>
  <si>
    <t>EHU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</si>
</sst>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€&quot;;[Red]\-#,##0.00\ &quot;€&quot;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i/>
      <sz val="7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2"/>
      <name val="Ravie"/>
      <family val="5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6"/>
      <name val="Arial"/>
      <family val="2"/>
    </font>
    <font>
      <b/>
      <sz val="9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1" fillId="0" borderId="0" xfId="0" applyFont="1" applyFill="1"/>
    <xf numFmtId="0" fontId="6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2" fillId="0" borderId="0" xfId="0" applyFont="1"/>
    <xf numFmtId="0" fontId="17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top" wrapText="1"/>
    </xf>
    <xf numFmtId="2" fontId="14" fillId="5" borderId="2" xfId="0" applyNumberFormat="1" applyFont="1" applyFill="1" applyBorder="1" applyAlignment="1">
      <alignment horizontal="center" vertical="top" wrapText="1"/>
    </xf>
    <xf numFmtId="2" fontId="14" fillId="5" borderId="2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top" wrapText="1"/>
    </xf>
    <xf numFmtId="2" fontId="14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4" fillId="6" borderId="2" xfId="1" applyFill="1" applyBorder="1" applyAlignment="1" applyProtection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 shrinkToFit="1"/>
    </xf>
    <xf numFmtId="14" fontId="3" fillId="6" borderId="2" xfId="0" applyNumberFormat="1" applyFont="1" applyFill="1" applyBorder="1" applyAlignment="1">
      <alignment horizontal="center" vertical="center" wrapText="1" shrinkToFit="1"/>
    </xf>
    <xf numFmtId="0" fontId="3" fillId="6" borderId="2" xfId="0" applyFont="1" applyFill="1" applyBorder="1" applyAlignment="1">
      <alignment horizontal="center" vertical="center" wrapText="1" shrinkToFit="1"/>
    </xf>
    <xf numFmtId="0" fontId="3" fillId="4" borderId="2" xfId="0" applyFont="1" applyFill="1" applyBorder="1" applyAlignment="1">
      <alignment horizontal="center" vertical="center" wrapText="1" shrinkToFit="1"/>
    </xf>
    <xf numFmtId="8" fontId="3" fillId="4" borderId="2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wrapText="1" shrinkToFit="1"/>
    </xf>
    <xf numFmtId="0" fontId="10" fillId="0" borderId="0" xfId="0" applyFont="1" applyFill="1" applyAlignment="1">
      <alignment wrapText="1" shrinkToFit="1"/>
    </xf>
    <xf numFmtId="8" fontId="7" fillId="3" borderId="2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horizontal="center" vertical="center" wrapText="1" shrinkToFit="1"/>
    </xf>
    <xf numFmtId="0" fontId="5" fillId="3" borderId="2" xfId="0" applyFont="1" applyFill="1" applyBorder="1" applyAlignment="1">
      <alignment horizontal="center" vertical="center" wrapText="1" shrinkToFit="1"/>
    </xf>
    <xf numFmtId="0" fontId="12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 shrinkToFit="1"/>
    </xf>
    <xf numFmtId="0" fontId="3" fillId="4" borderId="4" xfId="0" applyFont="1" applyFill="1" applyBorder="1" applyAlignment="1">
      <alignment horizontal="center" vertical="center" wrapText="1" shrinkToFit="1"/>
    </xf>
    <xf numFmtId="0" fontId="3" fillId="4" borderId="7" xfId="0" applyFont="1" applyFill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wrapText="1" shrinkToFi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0</xdr:row>
      <xdr:rowOff>114300</xdr:rowOff>
    </xdr:from>
    <xdr:to>
      <xdr:col>14</xdr:col>
      <xdr:colOff>142875</xdr:colOff>
      <xdr:row>1</xdr:row>
      <xdr:rowOff>342900</xdr:rowOff>
    </xdr:to>
    <xdr:pic>
      <xdr:nvPicPr>
        <xdr:cNvPr id="105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114300"/>
          <a:ext cx="23526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76200</xdr:rowOff>
        </xdr:from>
        <xdr:to>
          <xdr:col>3</xdr:col>
          <xdr:colOff>600075</xdr:colOff>
          <xdr:row>1</xdr:row>
          <xdr:rowOff>428625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5"/>
  <sheetViews>
    <sheetView tabSelected="1" view="pageBreakPreview" zoomScale="160" zoomScaleNormal="100" zoomScaleSheetLayoutView="160" workbookViewId="0">
      <selection activeCell="L8" sqref="L8:M8"/>
    </sheetView>
  </sheetViews>
  <sheetFormatPr baseColWidth="10" defaultRowHeight="12.75" x14ac:dyDescent="0.2"/>
  <cols>
    <col min="1" max="1" width="4" style="1" customWidth="1"/>
    <col min="2" max="2" width="26.7109375" customWidth="1"/>
    <col min="3" max="4" width="11.85546875" customWidth="1"/>
    <col min="5" max="5" width="12.42578125" customWidth="1"/>
    <col min="6" max="6" width="6.42578125" customWidth="1"/>
    <col min="7" max="7" width="8.5703125" customWidth="1"/>
    <col min="8" max="8" width="10.85546875" customWidth="1"/>
    <col min="9" max="9" width="10.28515625" customWidth="1"/>
    <col min="10" max="10" width="9.85546875" customWidth="1"/>
    <col min="11" max="11" width="8.42578125" customWidth="1"/>
    <col min="12" max="12" width="9" customWidth="1"/>
    <col min="13" max="13" width="9.140625" customWidth="1"/>
    <col min="14" max="14" width="9" style="2" customWidth="1"/>
    <col min="15" max="15" width="9" customWidth="1"/>
    <col min="16" max="16" width="9.7109375" customWidth="1"/>
    <col min="17" max="17" width="9.85546875" customWidth="1"/>
    <col min="18" max="18" width="9" customWidth="1"/>
    <col min="19" max="19" width="9.42578125" customWidth="1"/>
    <col min="20" max="20" width="9.140625" customWidth="1"/>
    <col min="21" max="21" width="9.28515625" customWidth="1"/>
    <col min="22" max="22" width="9.5703125" customWidth="1"/>
    <col min="23" max="23" width="9.28515625" customWidth="1"/>
    <col min="24" max="24" width="9" customWidth="1"/>
    <col min="25" max="26" width="8.7109375" customWidth="1"/>
    <col min="27" max="27" width="9.7109375" customWidth="1"/>
  </cols>
  <sheetData>
    <row r="1" spans="1:27" s="8" customFormat="1" ht="35.25" customHeight="1" x14ac:dyDescent="0.2">
      <c r="A1" s="6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27" s="8" customFormat="1" ht="35.25" customHeight="1" x14ac:dyDescent="0.2">
      <c r="A2" s="6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27" s="2" customFormat="1" x14ac:dyDescent="0.2">
      <c r="A3" s="1"/>
    </row>
    <row r="4" spans="1:27" s="8" customFormat="1" ht="15.75" customHeight="1" x14ac:dyDescent="0.2">
      <c r="A4" s="6"/>
      <c r="B4" s="25" t="s">
        <v>4</v>
      </c>
      <c r="C4" s="32">
        <v>30</v>
      </c>
      <c r="D4" s="32"/>
      <c r="E4" s="32"/>
      <c r="F4" s="32"/>
      <c r="G4" s="7"/>
      <c r="H4" s="33" t="s">
        <v>13</v>
      </c>
      <c r="I4" s="33"/>
      <c r="J4" s="33"/>
      <c r="K4" s="33"/>
      <c r="L4" s="33"/>
      <c r="M4" s="33"/>
      <c r="N4" s="33"/>
      <c r="O4" s="33"/>
    </row>
    <row r="5" spans="1:27" s="8" customFormat="1" ht="15.75" customHeight="1" x14ac:dyDescent="0.2">
      <c r="A5" s="6"/>
      <c r="B5" s="25" t="s">
        <v>5</v>
      </c>
      <c r="C5" s="32" t="s">
        <v>46</v>
      </c>
      <c r="D5" s="32"/>
      <c r="E5" s="32"/>
      <c r="F5" s="32"/>
      <c r="G5" s="9"/>
      <c r="H5" s="33" t="s">
        <v>10</v>
      </c>
      <c r="I5" s="33"/>
      <c r="J5" s="33"/>
      <c r="K5" s="33"/>
      <c r="L5" s="33"/>
      <c r="M5" s="33"/>
      <c r="N5" s="33"/>
      <c r="O5" s="33"/>
    </row>
    <row r="6" spans="1:27" s="8" customFormat="1" ht="15.75" customHeight="1" x14ac:dyDescent="0.2">
      <c r="A6" s="6"/>
      <c r="B6" s="25" t="s">
        <v>6</v>
      </c>
      <c r="C6" s="32" t="s">
        <v>47</v>
      </c>
      <c r="D6" s="32"/>
      <c r="E6" s="32"/>
      <c r="F6" s="32"/>
      <c r="G6" s="9"/>
      <c r="H6" s="10"/>
      <c r="I6" s="11"/>
      <c r="J6" s="11"/>
      <c r="K6" s="20"/>
      <c r="L6" s="45" t="s">
        <v>11</v>
      </c>
      <c r="M6" s="45"/>
      <c r="N6" s="44" t="s">
        <v>3</v>
      </c>
      <c r="O6" s="44"/>
    </row>
    <row r="7" spans="1:27" s="8" customFormat="1" ht="15.75" customHeight="1" x14ac:dyDescent="0.2">
      <c r="A7" s="6"/>
      <c r="B7" s="25" t="s">
        <v>7</v>
      </c>
      <c r="C7" s="31"/>
      <c r="D7" s="32"/>
      <c r="E7" s="32"/>
      <c r="F7" s="32"/>
      <c r="G7" s="12"/>
      <c r="H7" s="46" t="s">
        <v>12</v>
      </c>
      <c r="I7" s="47"/>
      <c r="J7" s="47"/>
      <c r="K7" s="48"/>
      <c r="L7" s="37">
        <v>6</v>
      </c>
      <c r="M7" s="37"/>
      <c r="N7" s="32">
        <f>C4</f>
        <v>30</v>
      </c>
      <c r="O7" s="32"/>
    </row>
    <row r="8" spans="1:27" s="8" customFormat="1" ht="15.75" customHeight="1" x14ac:dyDescent="0.2">
      <c r="A8" s="6"/>
      <c r="B8" s="13"/>
      <c r="C8" s="12"/>
      <c r="D8" s="12"/>
      <c r="E8" s="12"/>
      <c r="F8" s="12"/>
      <c r="G8" s="7"/>
      <c r="H8" s="36"/>
      <c r="I8" s="36"/>
      <c r="J8" s="36"/>
      <c r="K8" s="36"/>
      <c r="L8" s="37"/>
      <c r="M8" s="37"/>
      <c r="N8" s="32"/>
      <c r="O8" s="32"/>
    </row>
    <row r="9" spans="1:27" s="8" customFormat="1" ht="15.75" customHeight="1" x14ac:dyDescent="0.2">
      <c r="A9" s="6"/>
      <c r="B9" s="21" t="s">
        <v>9</v>
      </c>
      <c r="C9" s="34">
        <v>44645</v>
      </c>
      <c r="D9" s="35"/>
      <c r="E9" s="35"/>
      <c r="F9" s="35"/>
      <c r="G9" s="9"/>
      <c r="H9" s="36"/>
      <c r="I9" s="36"/>
      <c r="J9" s="36"/>
      <c r="K9" s="36"/>
      <c r="L9" s="37"/>
      <c r="M9" s="37"/>
      <c r="N9" s="32"/>
      <c r="O9" s="32"/>
    </row>
    <row r="10" spans="1:27" s="8" customFormat="1" ht="15.75" customHeight="1" x14ac:dyDescent="0.2">
      <c r="A10" s="6"/>
      <c r="B10" s="21" t="s">
        <v>8</v>
      </c>
      <c r="C10" s="34">
        <v>44649</v>
      </c>
      <c r="D10" s="35"/>
      <c r="E10" s="35"/>
      <c r="F10" s="35"/>
      <c r="G10" s="9"/>
      <c r="H10" s="14"/>
      <c r="I10" s="20"/>
      <c r="J10" s="41" t="s">
        <v>2</v>
      </c>
      <c r="K10" s="42"/>
      <c r="L10" s="43"/>
      <c r="M10" s="43"/>
      <c r="N10" s="40">
        <f>SUM(L7*N7+L8*N8+L9*N9)</f>
        <v>180</v>
      </c>
      <c r="O10" s="40"/>
    </row>
    <row r="11" spans="1:27" x14ac:dyDescent="0.2">
      <c r="B11" s="2"/>
      <c r="C11" s="2"/>
      <c r="D11" s="2"/>
      <c r="E11" s="2"/>
      <c r="F11" s="2"/>
      <c r="G11" s="4"/>
      <c r="H11" s="38"/>
      <c r="I11" s="39"/>
      <c r="J11" s="39"/>
      <c r="K11" s="39"/>
      <c r="L11" s="39"/>
      <c r="M11" s="4"/>
    </row>
    <row r="12" spans="1:27" ht="15.75" customHeight="1" x14ac:dyDescent="0.2">
      <c r="B12" s="2"/>
      <c r="C12" s="2"/>
      <c r="D12" s="2"/>
      <c r="E12" s="2"/>
      <c r="F12" s="2"/>
      <c r="G12" s="4"/>
      <c r="H12" s="3"/>
      <c r="I12" s="3"/>
      <c r="J12" s="3"/>
      <c r="K12" s="3"/>
      <c r="L12" s="2"/>
      <c r="M12" s="2"/>
    </row>
    <row r="13" spans="1:27" ht="13.5" thickBot="1" x14ac:dyDescent="0.25">
      <c r="B13" s="2"/>
      <c r="C13" s="2"/>
      <c r="D13" s="2"/>
      <c r="E13" s="2"/>
      <c r="F13" s="2"/>
      <c r="G13" s="3"/>
      <c r="H13" s="5"/>
      <c r="I13" s="5"/>
      <c r="J13" s="5"/>
      <c r="K13" s="5"/>
      <c r="L13" s="5"/>
      <c r="M13" s="2"/>
    </row>
    <row r="14" spans="1:27" ht="12.75" customHeight="1" x14ac:dyDescent="0.2">
      <c r="B14" s="15" t="s">
        <v>1</v>
      </c>
      <c r="C14" s="5"/>
      <c r="D14" s="5"/>
      <c r="H14" s="5"/>
      <c r="J14" s="13"/>
      <c r="K14" s="13"/>
      <c r="L14" s="13"/>
      <c r="M14" s="13"/>
      <c r="N14" s="13"/>
      <c r="O14" s="13"/>
    </row>
    <row r="15" spans="1:27" s="18" customFormat="1" ht="12.75" customHeight="1" x14ac:dyDescent="0.2">
      <c r="A15" s="16"/>
      <c r="B15" s="19" t="s">
        <v>0</v>
      </c>
      <c r="C15" s="17" t="s">
        <v>14</v>
      </c>
      <c r="D15" s="17" t="s">
        <v>15</v>
      </c>
      <c r="E15" s="26"/>
      <c r="F15" s="26"/>
      <c r="G15" s="26"/>
      <c r="H15" s="29"/>
      <c r="I15" s="29"/>
      <c r="J15" s="13"/>
      <c r="K15" s="13"/>
      <c r="L15" s="13"/>
      <c r="M15" s="13"/>
      <c r="N15" s="13"/>
      <c r="O15" s="13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x14ac:dyDescent="0.2">
      <c r="A16" s="1">
        <v>1</v>
      </c>
      <c r="B16" s="22" t="s">
        <v>16</v>
      </c>
      <c r="C16" s="23">
        <v>0.25640000000000002</v>
      </c>
      <c r="D16" s="24">
        <v>45.703000000000003</v>
      </c>
      <c r="E16" s="28"/>
      <c r="F16" s="27"/>
      <c r="G16" s="27"/>
      <c r="H16" s="27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x14ac:dyDescent="0.2">
      <c r="A17" s="1">
        <v>2</v>
      </c>
      <c r="B17" s="22" t="s">
        <v>17</v>
      </c>
      <c r="C17" s="23">
        <v>0.3629</v>
      </c>
      <c r="D17" s="24">
        <v>47.194000000000003</v>
      </c>
      <c r="E17" s="28"/>
      <c r="F17" s="27"/>
      <c r="G17" s="27"/>
      <c r="H17" s="27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x14ac:dyDescent="0.2">
      <c r="A18" s="1">
        <v>3</v>
      </c>
      <c r="B18" s="22" t="s">
        <v>18</v>
      </c>
      <c r="C18" s="23">
        <v>0.24690000000000001</v>
      </c>
      <c r="D18" s="24">
        <v>47.014000000000003</v>
      </c>
      <c r="E18" s="28"/>
      <c r="F18" s="27"/>
      <c r="G18" s="27"/>
      <c r="H18" s="27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x14ac:dyDescent="0.2">
      <c r="A19" s="1">
        <v>4</v>
      </c>
      <c r="B19" s="22" t="s">
        <v>19</v>
      </c>
      <c r="C19" s="23">
        <v>0.24424000000000001</v>
      </c>
      <c r="D19" s="24">
        <v>48.616</v>
      </c>
      <c r="E19" s="28"/>
      <c r="F19" s="27"/>
      <c r="G19" s="27"/>
      <c r="H19" s="27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x14ac:dyDescent="0.2">
      <c r="A20" s="1">
        <v>5</v>
      </c>
      <c r="B20" s="22" t="s">
        <v>20</v>
      </c>
      <c r="C20" s="23">
        <v>0.17291999999999999</v>
      </c>
      <c r="D20" s="24">
        <v>48.66</v>
      </c>
      <c r="E20" s="28"/>
      <c r="F20" s="27"/>
      <c r="G20" s="27"/>
      <c r="H20" s="27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x14ac:dyDescent="0.2">
      <c r="A21" s="1">
        <v>6</v>
      </c>
      <c r="B21" s="22" t="s">
        <v>21</v>
      </c>
      <c r="C21" s="23">
        <v>0.17164000000000001</v>
      </c>
      <c r="D21" s="24">
        <v>48.288499999999999</v>
      </c>
      <c r="E21" s="28"/>
      <c r="F21" s="27"/>
      <c r="G21" s="27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x14ac:dyDescent="0.2">
      <c r="A22" s="1">
        <v>7</v>
      </c>
      <c r="B22" s="22" t="s">
        <v>22</v>
      </c>
      <c r="C22" s="23">
        <v>0.44390000000000002</v>
      </c>
      <c r="D22" s="24">
        <v>47.430999999999997</v>
      </c>
      <c r="E22" s="28"/>
      <c r="F22" s="27"/>
      <c r="G22" s="27"/>
      <c r="H22" s="27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x14ac:dyDescent="0.2">
      <c r="A23" s="1">
        <v>8</v>
      </c>
      <c r="B23" s="22" t="s">
        <v>23</v>
      </c>
      <c r="C23" s="23">
        <v>0.29355999999999999</v>
      </c>
      <c r="D23" s="24">
        <v>46.222000000000001</v>
      </c>
      <c r="E23" s="28"/>
      <c r="F23" s="27"/>
      <c r="G23" s="27"/>
      <c r="H23" s="27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">
      <c r="A24" s="1">
        <v>9</v>
      </c>
      <c r="B24" s="22" t="s">
        <v>24</v>
      </c>
      <c r="C24" s="23">
        <v>0.14782000000000001</v>
      </c>
      <c r="D24" s="24">
        <v>47.982999999999997</v>
      </c>
      <c r="E24" s="28"/>
      <c r="F24" s="27"/>
      <c r="G24" s="27"/>
      <c r="H24" s="27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x14ac:dyDescent="0.2">
      <c r="A25" s="1">
        <v>10</v>
      </c>
      <c r="B25" s="22" t="s">
        <v>25</v>
      </c>
      <c r="C25" s="23">
        <v>0.10027999999999999</v>
      </c>
      <c r="D25" s="24">
        <v>46.92</v>
      </c>
      <c r="E25" s="28"/>
      <c r="F25" s="27"/>
      <c r="G25" s="27"/>
      <c r="H25" s="27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x14ac:dyDescent="0.2">
      <c r="A26" s="1">
        <v>11</v>
      </c>
      <c r="B26" s="22" t="s">
        <v>26</v>
      </c>
      <c r="C26" s="23">
        <v>0.23014999999999999</v>
      </c>
      <c r="D26" s="24">
        <v>48.276000000000003</v>
      </c>
      <c r="E26" s="28"/>
      <c r="F26" s="27"/>
      <c r="G26" s="27"/>
      <c r="H26" s="27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x14ac:dyDescent="0.2">
      <c r="A27" s="1">
        <v>12</v>
      </c>
      <c r="B27" s="22" t="s">
        <v>27</v>
      </c>
      <c r="C27" s="23">
        <v>0.19966</v>
      </c>
      <c r="D27" s="24">
        <v>45.804000000000002</v>
      </c>
      <c r="E27" s="28"/>
      <c r="F27" s="27"/>
      <c r="G27" s="27"/>
      <c r="H27" s="27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x14ac:dyDescent="0.2">
      <c r="A28" s="1">
        <v>13</v>
      </c>
      <c r="B28" s="22" t="s">
        <v>28</v>
      </c>
      <c r="C28" s="23">
        <v>0.45773000000000003</v>
      </c>
      <c r="D28" s="24">
        <v>48.146000000000001</v>
      </c>
      <c r="E28" s="28"/>
      <c r="F28" s="27"/>
      <c r="G28" s="27"/>
      <c r="H28" s="27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x14ac:dyDescent="0.2">
      <c r="A29" s="1">
        <v>14</v>
      </c>
      <c r="B29" s="22" t="s">
        <v>29</v>
      </c>
      <c r="C29" s="23">
        <v>0.31625999999999999</v>
      </c>
      <c r="D29" s="24">
        <v>46.948999999999998</v>
      </c>
      <c r="E29" s="28"/>
      <c r="F29" s="27"/>
      <c r="G29" s="27"/>
      <c r="H29" s="27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x14ac:dyDescent="0.2">
      <c r="A30" s="1">
        <v>15</v>
      </c>
      <c r="B30" s="22" t="s">
        <v>30</v>
      </c>
      <c r="C30" s="23">
        <v>0.15501999999999999</v>
      </c>
      <c r="D30" s="24">
        <v>48.52</v>
      </c>
      <c r="E30" s="28"/>
      <c r="F30" s="27"/>
      <c r="G30" s="27"/>
      <c r="H30" s="27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x14ac:dyDescent="0.2">
      <c r="A31" s="1">
        <v>16</v>
      </c>
      <c r="B31" s="22" t="s">
        <v>31</v>
      </c>
      <c r="C31" s="23">
        <v>0.27196999999999999</v>
      </c>
      <c r="D31" s="24">
        <v>48.411999999999999</v>
      </c>
      <c r="E31" s="28"/>
      <c r="F31" s="27"/>
      <c r="G31" s="27"/>
      <c r="H31" s="27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x14ac:dyDescent="0.2">
      <c r="A32" s="1">
        <v>17</v>
      </c>
      <c r="B32" s="22" t="s">
        <v>32</v>
      </c>
      <c r="C32" s="23">
        <v>0.12486999999999999</v>
      </c>
      <c r="D32" s="24">
        <v>48.177</v>
      </c>
      <c r="E32" s="28"/>
      <c r="F32" s="27"/>
      <c r="G32" s="27"/>
      <c r="H32" s="27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x14ac:dyDescent="0.2">
      <c r="A33" s="1">
        <v>18</v>
      </c>
      <c r="B33" s="22" t="s">
        <v>33</v>
      </c>
      <c r="C33" s="23">
        <v>8.1009999999999999E-2</v>
      </c>
      <c r="D33" s="24">
        <v>47.357999999999997</v>
      </c>
      <c r="E33" s="28"/>
      <c r="F33" s="27"/>
      <c r="G33" s="27"/>
      <c r="H33" s="27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x14ac:dyDescent="0.2">
      <c r="A34" s="1">
        <v>19</v>
      </c>
      <c r="B34" s="22" t="s">
        <v>34</v>
      </c>
      <c r="C34" s="23">
        <v>0.16067000000000001</v>
      </c>
      <c r="D34" s="24">
        <v>45.962000000000003</v>
      </c>
      <c r="E34" s="28"/>
      <c r="F34" s="27"/>
      <c r="G34" s="27"/>
      <c r="H34" s="27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x14ac:dyDescent="0.2">
      <c r="A35" s="1">
        <v>20</v>
      </c>
      <c r="B35" s="22" t="s">
        <v>35</v>
      </c>
      <c r="C35" s="23">
        <v>0.42693999999999999</v>
      </c>
      <c r="D35" s="24">
        <v>47.003</v>
      </c>
      <c r="E35" s="28"/>
      <c r="F35" s="27"/>
      <c r="G35" s="27"/>
      <c r="H35" s="27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x14ac:dyDescent="0.2">
      <c r="A36" s="1">
        <v>21</v>
      </c>
      <c r="B36" s="22" t="s">
        <v>36</v>
      </c>
      <c r="C36" s="23">
        <v>0.13905000000000001</v>
      </c>
      <c r="D36" s="24">
        <v>46.381</v>
      </c>
      <c r="E36" s="28"/>
      <c r="F36" s="27"/>
      <c r="G36" s="27"/>
      <c r="H36" s="27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x14ac:dyDescent="0.2">
      <c r="A37" s="1">
        <v>22</v>
      </c>
      <c r="B37" s="22" t="s">
        <v>37</v>
      </c>
      <c r="C37" s="23">
        <v>0.12867999999999999</v>
      </c>
      <c r="D37" s="24">
        <v>48.048000000000002</v>
      </c>
      <c r="E37" s="28"/>
      <c r="F37" s="27"/>
      <c r="G37" s="27"/>
      <c r="H37" s="27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x14ac:dyDescent="0.2">
      <c r="A38" s="1">
        <v>23</v>
      </c>
      <c r="B38" s="22" t="s">
        <v>38</v>
      </c>
      <c r="C38" s="23">
        <v>0.27137</v>
      </c>
      <c r="D38" s="24">
        <v>48.628999999999998</v>
      </c>
      <c r="E38" s="28"/>
      <c r="F38" s="27"/>
      <c r="G38" s="27"/>
      <c r="H38" s="27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x14ac:dyDescent="0.2">
      <c r="A39" s="1">
        <v>24</v>
      </c>
      <c r="B39" s="22" t="s">
        <v>39</v>
      </c>
      <c r="C39" s="23">
        <v>0.24762000000000001</v>
      </c>
      <c r="D39" s="24">
        <v>47.838999999999999</v>
      </c>
      <c r="E39" s="28"/>
      <c r="F39" s="27"/>
      <c r="G39" s="27"/>
      <c r="H39" s="27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x14ac:dyDescent="0.2">
      <c r="A40" s="1">
        <v>25</v>
      </c>
      <c r="B40" s="22" t="s">
        <v>40</v>
      </c>
      <c r="C40" s="23">
        <v>0.13708999999999999</v>
      </c>
      <c r="D40" s="24">
        <v>46.838000000000001</v>
      </c>
      <c r="E40" s="28"/>
      <c r="F40" s="27"/>
      <c r="G40" s="27"/>
      <c r="H40" s="27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x14ac:dyDescent="0.2">
      <c r="A41" s="1">
        <v>26</v>
      </c>
      <c r="B41" s="22" t="s">
        <v>41</v>
      </c>
      <c r="C41" s="23">
        <v>0.22078999999999999</v>
      </c>
      <c r="D41" s="24">
        <v>48.497999999999998</v>
      </c>
      <c r="E41" s="28"/>
      <c r="F41" s="27"/>
      <c r="G41" s="27"/>
      <c r="H41" s="27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x14ac:dyDescent="0.2">
      <c r="A42" s="1">
        <v>27</v>
      </c>
      <c r="B42" s="22" t="s">
        <v>42</v>
      </c>
      <c r="C42" s="23">
        <v>0.11812</v>
      </c>
      <c r="D42" s="24">
        <v>48.472000000000001</v>
      </c>
      <c r="E42" s="28"/>
      <c r="F42" s="27"/>
      <c r="G42" s="27"/>
      <c r="H42" s="27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x14ac:dyDescent="0.2">
      <c r="A43" s="1">
        <v>28</v>
      </c>
      <c r="B43" s="22" t="s">
        <v>43</v>
      </c>
      <c r="C43" s="23">
        <v>0.16517000000000001</v>
      </c>
      <c r="D43" s="24">
        <v>46.637999999999998</v>
      </c>
      <c r="E43" s="28"/>
      <c r="F43" s="27"/>
      <c r="G43" s="27"/>
      <c r="H43" s="27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x14ac:dyDescent="0.2">
      <c r="A44" s="1">
        <v>29</v>
      </c>
      <c r="B44" s="22" t="s">
        <v>44</v>
      </c>
      <c r="C44" s="23">
        <v>0.20347000000000001</v>
      </c>
      <c r="D44" s="24">
        <v>46.350999999999999</v>
      </c>
      <c r="E44" s="28"/>
      <c r="F44" s="27"/>
      <c r="G44" s="27"/>
      <c r="H44" s="27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x14ac:dyDescent="0.2">
      <c r="A45" s="1">
        <v>30</v>
      </c>
      <c r="B45" s="22" t="s">
        <v>45</v>
      </c>
      <c r="C45" s="23">
        <v>9.9849999999999994E-2</v>
      </c>
      <c r="D45" s="24">
        <v>47.677</v>
      </c>
      <c r="E45" s="28"/>
      <c r="F45" s="27"/>
      <c r="G45" s="27"/>
      <c r="H45" s="27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</sheetData>
  <mergeCells count="23">
    <mergeCell ref="N10:O10"/>
    <mergeCell ref="J10:M10"/>
    <mergeCell ref="N8:O8"/>
    <mergeCell ref="N6:O6"/>
    <mergeCell ref="N7:O7"/>
    <mergeCell ref="L7:M7"/>
    <mergeCell ref="L6:M6"/>
    <mergeCell ref="H7:K7"/>
    <mergeCell ref="N9:O9"/>
    <mergeCell ref="C10:F10"/>
    <mergeCell ref="H9:K9"/>
    <mergeCell ref="L8:M8"/>
    <mergeCell ref="L9:M9"/>
    <mergeCell ref="H11:L11"/>
    <mergeCell ref="H8:K8"/>
    <mergeCell ref="C9:F9"/>
    <mergeCell ref="B1:O2"/>
    <mergeCell ref="C7:F7"/>
    <mergeCell ref="C5:F5"/>
    <mergeCell ref="C6:F6"/>
    <mergeCell ref="C4:F4"/>
    <mergeCell ref="H4:O4"/>
    <mergeCell ref="H5:O5"/>
  </mergeCells>
  <phoneticPr fontId="2" type="noConversion"/>
  <pageMargins left="0.19685039370078741" right="0.51181102362204722" top="0.23622047244094491" bottom="0.35433070866141736" header="0" footer="0.19685039370078741"/>
  <pageSetup paperSize="9" scale="90" orientation="landscape" r:id="rId1"/>
  <headerFooter alignWithMargins="0">
    <oddFooter>&amp;CLos resultados de este informe sólo afectan a las muestras sometidas a ensayo. Las muestras serán conservadas según el Procedimiento del Servicio de Ionómica.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1</xdr:col>
                <xdr:colOff>66675</xdr:colOff>
                <xdr:row>0</xdr:row>
                <xdr:rowOff>76200</xdr:rowOff>
              </from>
              <to>
                <xdr:col>3</xdr:col>
                <xdr:colOff>600075</xdr:colOff>
                <xdr:row>1</xdr:row>
                <xdr:rowOff>428625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workbookViewId="0">
      <selection activeCell="D2" sqref="D2:N3"/>
    </sheetView>
  </sheetViews>
  <sheetFormatPr baseColWidth="10" defaultRowHeight="12.75" x14ac:dyDescent="0.2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m</dc:creator>
  <cp:lastModifiedBy>Ionómica II</cp:lastModifiedBy>
  <cp:lastPrinted>2011-05-05T10:15:08Z</cp:lastPrinted>
  <dcterms:created xsi:type="dcterms:W3CDTF">2006-05-30T08:16:12Z</dcterms:created>
  <dcterms:modified xsi:type="dcterms:W3CDTF">2022-03-29T10:21:57Z</dcterms:modified>
</cp:coreProperties>
</file>