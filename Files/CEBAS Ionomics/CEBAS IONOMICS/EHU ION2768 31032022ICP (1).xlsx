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65" windowWidth="15480" windowHeight="1158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N8" i="1" l="1"/>
  <c r="N10" i="1" l="1"/>
</calcChain>
</file>

<file path=xl/sharedStrings.xml><?xml version="1.0" encoding="utf-8"?>
<sst xmlns="http://schemas.openxmlformats.org/spreadsheetml/2006/main" count="3123" uniqueCount="318">
  <si>
    <t>MUESTRA</t>
  </si>
  <si>
    <t>IDENTIFICACIÓN</t>
  </si>
  <si>
    <t xml:space="preserve">Precio ICP TOTAL </t>
  </si>
  <si>
    <t>Nº Muestras</t>
  </si>
  <si>
    <t>Nº DE MUESTRAS</t>
  </si>
  <si>
    <t>NOMBRE</t>
  </si>
  <si>
    <t>CENTRO</t>
  </si>
  <si>
    <t>E-MAIL</t>
  </si>
  <si>
    <t>FECHA DE  ENTREGA</t>
  </si>
  <si>
    <t>FECHA DE RECEPCIÓN</t>
  </si>
  <si>
    <t>TARIFAS</t>
  </si>
  <si>
    <t>As (mg/Kg)</t>
  </si>
  <si>
    <t>B (mg/Kg)</t>
  </si>
  <si>
    <t>Be (mg/Kg)</t>
  </si>
  <si>
    <t>Bi (mg/Kg)</t>
  </si>
  <si>
    <t>Ca (g/100g)</t>
  </si>
  <si>
    <t>Cd (mg/Kg)</t>
  </si>
  <si>
    <t>Co (mg/Kg)</t>
  </si>
  <si>
    <t>Cr (mg/Kg)</t>
  </si>
  <si>
    <t>Cu (mg/Kg)</t>
  </si>
  <si>
    <t>Fe (mg/Kg)</t>
  </si>
  <si>
    <t>K (g/100g)</t>
  </si>
  <si>
    <t>Li (mg/Kg)</t>
  </si>
  <si>
    <t>Mg (g/100g)</t>
  </si>
  <si>
    <t>Mn (mg/Kg)</t>
  </si>
  <si>
    <t>Mo (mg/Kg)</t>
  </si>
  <si>
    <t>Na (g/100g)</t>
  </si>
  <si>
    <t>Ni (mg/Kg)</t>
  </si>
  <si>
    <t>P (g/100g)</t>
  </si>
  <si>
    <t>Pb (mg/Kg)</t>
  </si>
  <si>
    <t>S (g/100g)</t>
  </si>
  <si>
    <t>Sb (mg/Kg)</t>
  </si>
  <si>
    <t>Se (mg/Kg)</t>
  </si>
  <si>
    <t>Sr (mg/Kg)</t>
  </si>
  <si>
    <t>Ti (mg/Kg)</t>
  </si>
  <si>
    <t>Tl (mg/Kg)</t>
  </si>
  <si>
    <t>V (mg/Kg)</t>
  </si>
  <si>
    <t>Zn (mg/Kg)</t>
  </si>
  <si>
    <t xml:space="preserve">PRECIO POR MUESTRA </t>
  </si>
  <si>
    <t>ICP LIQUIDAS</t>
  </si>
  <si>
    <t>ICP SÓLIDAS</t>
  </si>
  <si>
    <t>Rb (mg/Kg)</t>
  </si>
  <si>
    <r>
      <t xml:space="preserve">Análisis por ICP-OES  </t>
    </r>
    <r>
      <rPr>
        <b/>
        <sz val="10"/>
        <rFont val="Arial"/>
        <family val="2"/>
      </rPr>
      <t>THERMO ICAP 6500 DUO</t>
    </r>
  </si>
  <si>
    <t>La (mg/Kg)</t>
  </si>
  <si>
    <t>Si (mg/Kg)</t>
  </si>
  <si>
    <t>&lt;0,01</t>
  </si>
  <si>
    <t>Al (mg/Kg)</t>
  </si>
  <si>
    <t>Raquel Esteban</t>
  </si>
  <si>
    <t>EHU</t>
  </si>
  <si>
    <t>EHU ION2768-1</t>
  </si>
  <si>
    <t>EHU ION2768-2</t>
  </si>
  <si>
    <t>EHU ION2768-3</t>
  </si>
  <si>
    <t>EHU ION2768-4</t>
  </si>
  <si>
    <t>EHU ION2768-5</t>
  </si>
  <si>
    <t>EHU ION2768-6</t>
  </si>
  <si>
    <t>EHU ION2768-7</t>
  </si>
  <si>
    <t>EHU ION2768-8</t>
  </si>
  <si>
    <t>EHU ION2768-9</t>
  </si>
  <si>
    <t>EHU ION2768-10</t>
  </si>
  <si>
    <t>EHU ION2768-11</t>
  </si>
  <si>
    <t>EHU ION2768-12</t>
  </si>
  <si>
    <t>EHU ION2768-13</t>
  </si>
  <si>
    <t>EHU ION2768-14</t>
  </si>
  <si>
    <t>EHU ION2768-15</t>
  </si>
  <si>
    <t>EHU ION2768-16</t>
  </si>
  <si>
    <t>EHU ION2768-17</t>
  </si>
  <si>
    <t>EHU ION2768-18</t>
  </si>
  <si>
    <t>EHU ION2768-19</t>
  </si>
  <si>
    <t>EHU ION2768-20</t>
  </si>
  <si>
    <t>EHU ION2768-21</t>
  </si>
  <si>
    <t>EHU ION2768-22</t>
  </si>
  <si>
    <t>EHU ION2768-23</t>
  </si>
  <si>
    <t>EHU ION2768-24</t>
  </si>
  <si>
    <t>EHU ION2768-25</t>
  </si>
  <si>
    <t>EHU ION2768-26</t>
  </si>
  <si>
    <t>EHU ION2768-27</t>
  </si>
  <si>
    <t>EHU ION2768-28</t>
  </si>
  <si>
    <t>EHU ION2768-29</t>
  </si>
  <si>
    <t>EHU ION2768-30</t>
  </si>
  <si>
    <t>EHU ION2768-31</t>
  </si>
  <si>
    <t>EHU ION2768-32</t>
  </si>
  <si>
    <t>EHU ION2768-33</t>
  </si>
  <si>
    <t>EHU ION2768-34</t>
  </si>
  <si>
    <t>EHU ION2768-35</t>
  </si>
  <si>
    <t>EHU ION2768-36</t>
  </si>
  <si>
    <t>EHU ION2768-37</t>
  </si>
  <si>
    <t>EHU ION2768-38</t>
  </si>
  <si>
    <t>EHU ION2768-39</t>
  </si>
  <si>
    <t>EHU ION2768-40</t>
  </si>
  <si>
    <t>EHU ION2768-41</t>
  </si>
  <si>
    <t>EHU ION2768-42</t>
  </si>
  <si>
    <t>EHU ION2768-43</t>
  </si>
  <si>
    <t>EHU ION2768-44</t>
  </si>
  <si>
    <t>EHU ION2768-45</t>
  </si>
  <si>
    <t>EHU ION2768-46</t>
  </si>
  <si>
    <t>EHU ION2768-47</t>
  </si>
  <si>
    <t>EHU ION2768-48</t>
  </si>
  <si>
    <t>EHU ION2768-49</t>
  </si>
  <si>
    <t>EHU ION2768-50</t>
  </si>
  <si>
    <t>EHU ION2768-51</t>
  </si>
  <si>
    <t>EHU ION2768-52</t>
  </si>
  <si>
    <t>EHU ION2768-53</t>
  </si>
  <si>
    <t>EHU ION2768-54</t>
  </si>
  <si>
    <t>EHU ION2768-55</t>
  </si>
  <si>
    <t>EHU ION2768-56</t>
  </si>
  <si>
    <t>EHU ION2768-57</t>
  </si>
  <si>
    <t>EHU ION2768-58</t>
  </si>
  <si>
    <t>EHU ION2768-59</t>
  </si>
  <si>
    <t>EHU ION2768-60</t>
  </si>
  <si>
    <t>EHU ION2768-61</t>
  </si>
  <si>
    <t>EHU ION2768-62</t>
  </si>
  <si>
    <t>EHU ION2768-63</t>
  </si>
  <si>
    <t>EHU ION2768-64</t>
  </si>
  <si>
    <t>EHU ION2768-65</t>
  </si>
  <si>
    <t>EHU ION2768-66</t>
  </si>
  <si>
    <t>EHU ION2768-67</t>
  </si>
  <si>
    <t>EHU ION2768-68</t>
  </si>
  <si>
    <t>EHU ION2768-69</t>
  </si>
  <si>
    <t>EHU ION2768-71</t>
  </si>
  <si>
    <t>EHU ION2768-72</t>
  </si>
  <si>
    <t>EHU ION2768-73</t>
  </si>
  <si>
    <t>EHU ION2768-74</t>
  </si>
  <si>
    <t>EHU ION2768-75</t>
  </si>
  <si>
    <t>EHU ION2768-76</t>
  </si>
  <si>
    <t>EHU ION2768-77</t>
  </si>
  <si>
    <t>EHU ION2768-78</t>
  </si>
  <si>
    <t>EHU ION2768-79</t>
  </si>
  <si>
    <t>EHU ION2768-80</t>
  </si>
  <si>
    <t>EHU ION2768-81</t>
  </si>
  <si>
    <t>EHU ION2768-82</t>
  </si>
  <si>
    <t>EHU ION2768-83</t>
  </si>
  <si>
    <t>EHU ION2768-84</t>
  </si>
  <si>
    <t>EHU ION2768-85</t>
  </si>
  <si>
    <t>EHU ION2768-86</t>
  </si>
  <si>
    <t>EHU ION2768-87</t>
  </si>
  <si>
    <t>EHU ION2768-88</t>
  </si>
  <si>
    <t>EHU ION2768-89</t>
  </si>
  <si>
    <t>EHU ION2768-90</t>
  </si>
  <si>
    <t>EHU ION2768-91</t>
  </si>
  <si>
    <t>EHU ION2768-92</t>
  </si>
  <si>
    <t>EHU ION2768-93</t>
  </si>
  <si>
    <t>EHU ION2768-94</t>
  </si>
  <si>
    <t>EHU ION2768-95</t>
  </si>
  <si>
    <t>EHU ION2768-96</t>
  </si>
  <si>
    <t>EHU ION2768-97</t>
  </si>
  <si>
    <t>EHU ION2768-98</t>
  </si>
  <si>
    <t>EHU ION2768-99</t>
  </si>
  <si>
    <t>EHU ION2768-100</t>
  </si>
  <si>
    <t>EHU ION2768-101</t>
  </si>
  <si>
    <t>EHU ION2768-102</t>
  </si>
  <si>
    <t>EHU ION2768-103</t>
  </si>
  <si>
    <t>EHU ION2768-104</t>
  </si>
  <si>
    <t>EHU ION2768-105</t>
  </si>
  <si>
    <t>EHU ION2768-106</t>
  </si>
  <si>
    <t>EHU ION2768-107</t>
  </si>
  <si>
    <t>EHU ION2768-108</t>
  </si>
  <si>
    <t>EHU ION2768-109</t>
  </si>
  <si>
    <t>EHU ION2768-110</t>
  </si>
  <si>
    <t>EHU ION2768-111</t>
  </si>
  <si>
    <t>EHU ION2768-112</t>
  </si>
  <si>
    <t>EHU ION2768-113</t>
  </si>
  <si>
    <t>EHU ION2768-114</t>
  </si>
  <si>
    <t>EHU ION2768-115</t>
  </si>
  <si>
    <t>EHU ION2768-116</t>
  </si>
  <si>
    <t>EHU ION2768-117</t>
  </si>
  <si>
    <t>EHU ION2768-118</t>
  </si>
  <si>
    <t>EHU ION2768-119</t>
  </si>
  <si>
    <t>EHU ION2768-120</t>
  </si>
  <si>
    <t>EHU ION2768-121</t>
  </si>
  <si>
    <t>EHU ION2768-122</t>
  </si>
  <si>
    <t>EHU ION2768-123</t>
  </si>
  <si>
    <t>EHU ION2768-124</t>
  </si>
  <si>
    <t>EHU ION2768-125</t>
  </si>
  <si>
    <t>EHU ION2768-126</t>
  </si>
  <si>
    <t>EHU ION2768-127</t>
  </si>
  <si>
    <t>EHU ION2768-128</t>
  </si>
  <si>
    <t>EHU ION2768-129</t>
  </si>
  <si>
    <t>EHU ION2768-130</t>
  </si>
  <si>
    <t>EHU ION2768-131</t>
  </si>
  <si>
    <t>EHU ION2768-132</t>
  </si>
  <si>
    <t>EHU ION2768-133</t>
  </si>
  <si>
    <t>EHU ION2768-134</t>
  </si>
  <si>
    <t>EHU ION2768-135</t>
  </si>
  <si>
    <t>EHU ION2768-136</t>
  </si>
  <si>
    <t>EHU ION2768-137</t>
  </si>
  <si>
    <t>EHU ION2768-138</t>
  </si>
  <si>
    <t>EHU ION2768-139</t>
  </si>
  <si>
    <t>EHU ION2768-140</t>
  </si>
  <si>
    <t>EHU ION2768-141</t>
  </si>
  <si>
    <t>EHU ION2768-142</t>
  </si>
  <si>
    <t>EHU ION2768-143</t>
  </si>
  <si>
    <t>EHU ION2768-144</t>
  </si>
  <si>
    <t>EHU ION2768-145</t>
  </si>
  <si>
    <t>EHU ION2768-146</t>
  </si>
  <si>
    <t>EHU ION2768-147</t>
  </si>
  <si>
    <t>EHU ION2768-148</t>
  </si>
  <si>
    <t>EHU ION2768-149</t>
  </si>
  <si>
    <t>EHU ION2768-150</t>
  </si>
  <si>
    <t>EHU ION2768-151</t>
  </si>
  <si>
    <t>EHU ION2768-152</t>
  </si>
  <si>
    <t>EHU ION2768-153</t>
  </si>
  <si>
    <t>EHU ION2768-154</t>
  </si>
  <si>
    <t>EHU ION2768-155</t>
  </si>
  <si>
    <t>EHU ION2768-156</t>
  </si>
  <si>
    <t>EHU ION2768-157</t>
  </si>
  <si>
    <t>EHU ION2768-158</t>
  </si>
  <si>
    <t>EHU ION2768-159</t>
  </si>
  <si>
    <t>EHU ION2768-160</t>
  </si>
  <si>
    <t>EHU ION2768-161</t>
  </si>
  <si>
    <t>EHU ION2768-162</t>
  </si>
  <si>
    <t>EHU ION2768-163</t>
  </si>
  <si>
    <t>EHU ION2768-164</t>
  </si>
  <si>
    <t>EHU ION2768-165</t>
  </si>
  <si>
    <t>EHU ION2768-166</t>
  </si>
  <si>
    <t>EHU ION2768-167</t>
  </si>
  <si>
    <t>EHU ION2768-168</t>
  </si>
  <si>
    <t>EHU ION2768-169</t>
  </si>
  <si>
    <t>EHU ION2768-170</t>
  </si>
  <si>
    <t>EHU ION2768-171</t>
  </si>
  <si>
    <t>EHU ION2768-172</t>
  </si>
  <si>
    <t>EHU ION2768-173</t>
  </si>
  <si>
    <t>EHU ION2768-174</t>
  </si>
  <si>
    <t>EHU ION2768-175</t>
  </si>
  <si>
    <t>EHU ION2768-176</t>
  </si>
  <si>
    <t>EHU ION2768-177</t>
  </si>
  <si>
    <t>EHU ION2768-178</t>
  </si>
  <si>
    <t>EHU ION2768-179</t>
  </si>
  <si>
    <t>EHU ION2768-180</t>
  </si>
  <si>
    <t>EHU ION2768-181</t>
  </si>
  <si>
    <t>EHU ION2768-182</t>
  </si>
  <si>
    <t>EHU ION2768-183</t>
  </si>
  <si>
    <t>EHU ION2768-184</t>
  </si>
  <si>
    <t>EHU ION2768-185</t>
  </si>
  <si>
    <t>EHU ION2768-186</t>
  </si>
  <si>
    <t>EHU ION2768-187</t>
  </si>
  <si>
    <t>EHU ION2768-188</t>
  </si>
  <si>
    <t>EHU ION2768-189</t>
  </si>
  <si>
    <t>EHU ION2768-190</t>
  </si>
  <si>
    <t>EHU ION2768-191</t>
  </si>
  <si>
    <t>EHU ION2768-192</t>
  </si>
  <si>
    <t>EHU ION2768-193</t>
  </si>
  <si>
    <t>EHU ION2768-194</t>
  </si>
  <si>
    <t>EHU ION2768-195</t>
  </si>
  <si>
    <t>EHU ION2768-196</t>
  </si>
  <si>
    <t>EHU ION2768-197</t>
  </si>
  <si>
    <t>EHU ION2768-198</t>
  </si>
  <si>
    <t>EHU ION2768-199</t>
  </si>
  <si>
    <t>EHU ION2768-200</t>
  </si>
  <si>
    <t>EHU ION2768-201</t>
  </si>
  <si>
    <t>EHU ION2768-202</t>
  </si>
  <si>
    <t>EHU ION2768-203</t>
  </si>
  <si>
    <t>EHU ION2768-204</t>
  </si>
  <si>
    <t>EHU ION2768-205</t>
  </si>
  <si>
    <t>EHU ION2768-206</t>
  </si>
  <si>
    <t>EHU ION2768-207</t>
  </si>
  <si>
    <t>EHU ION2768-208</t>
  </si>
  <si>
    <t>EHU ION2768-209</t>
  </si>
  <si>
    <t>EHU ION2768-210</t>
  </si>
  <si>
    <t>EHU ION2768-211</t>
  </si>
  <si>
    <t>EHU ION2768-212</t>
  </si>
  <si>
    <t>EHU ION2768-213</t>
  </si>
  <si>
    <t>EHU ION2768-214</t>
  </si>
  <si>
    <t>EHU ION2768-215</t>
  </si>
  <si>
    <t>EHU ION2768-216</t>
  </si>
  <si>
    <t>EHU ION2768-217</t>
  </si>
  <si>
    <t>EHU ION2768-218</t>
  </si>
  <si>
    <t>EHU ION2768-219</t>
  </si>
  <si>
    <t>EHU ION2768-220</t>
  </si>
  <si>
    <t>EHU ION2768-221</t>
  </si>
  <si>
    <t>EHU ION2768-222</t>
  </si>
  <si>
    <t>EHU ION2768-223</t>
  </si>
  <si>
    <t>EHU ION2768-224</t>
  </si>
  <si>
    <t>EHU ION2768-225</t>
  </si>
  <si>
    <t>EHU ION2768-226</t>
  </si>
  <si>
    <t>EHU ION2768-227</t>
  </si>
  <si>
    <t>EHU ION2768-228</t>
  </si>
  <si>
    <t>EHU ION2768-229</t>
  </si>
  <si>
    <t>EHU ION2768-230</t>
  </si>
  <si>
    <t>EHU ION2768-231</t>
  </si>
  <si>
    <t>EHU ION2768-232</t>
  </si>
  <si>
    <t>EHU ION2768-233</t>
  </si>
  <si>
    <t>EHU ION2768-234</t>
  </si>
  <si>
    <t>EHU ION2768-235</t>
  </si>
  <si>
    <t>EHU ION2768-236</t>
  </si>
  <si>
    <t>EHU ION2768-237</t>
  </si>
  <si>
    <t>EHU ION2768-238</t>
  </si>
  <si>
    <t>EHU ION2768-239</t>
  </si>
  <si>
    <t>EHU ION2768-240</t>
  </si>
  <si>
    <t>EHU ION2768-241</t>
  </si>
  <si>
    <t>EHU ION2768-242</t>
  </si>
  <si>
    <t>EHU ION2768-243</t>
  </si>
  <si>
    <t>EHU ION2768-244</t>
  </si>
  <si>
    <t>EHU ION2768-245</t>
  </si>
  <si>
    <t>EHU ION2768-246</t>
  </si>
  <si>
    <t>EHU ION2768-247</t>
  </si>
  <si>
    <t>EHU ION2768-248</t>
  </si>
  <si>
    <t>EHU ION2768-249</t>
  </si>
  <si>
    <t>EHU ION2768-250</t>
  </si>
  <si>
    <t>EHU ION2768-251</t>
  </si>
  <si>
    <t>EHU ION2768-252</t>
  </si>
  <si>
    <t>EHU ION2768-253</t>
  </si>
  <si>
    <t>EHU ION2768-254</t>
  </si>
  <si>
    <t>EHU ION2768-255</t>
  </si>
  <si>
    <t>EHU ION2768-256</t>
  </si>
  <si>
    <t>EHU ION2768-257</t>
  </si>
  <si>
    <t>EHU ION2768-258</t>
  </si>
  <si>
    <t>EHU ION2768-259</t>
  </si>
  <si>
    <t>EHU ION2768-260</t>
  </si>
  <si>
    <t>EHU ION2768-261</t>
  </si>
  <si>
    <t>EHU ION2768-262</t>
  </si>
  <si>
    <t>EHU ION2768-263</t>
  </si>
  <si>
    <t>EHU ION2768-264</t>
  </si>
  <si>
    <t>EHU ION2768-265</t>
  </si>
  <si>
    <t>EHU ION2768-266</t>
  </si>
  <si>
    <t>EHU ION2768-267</t>
  </si>
  <si>
    <t>EHU ION2768-268</t>
  </si>
  <si>
    <t>EHU ION2768-269</t>
  </si>
  <si>
    <t>EHU ION2768-270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</si>
</sst>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#,##0.00\ &quot;€&quot;;[Red]\-#,##0.00\ &quot;€&quot;"/>
    <numFmt numFmtId="164" formatCode="0.000"/>
    <numFmt numFmtId="165" formatCode="0.0000"/>
  </numFmts>
  <fonts count="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i/>
      <sz val="7"/>
      <name val="Arial"/>
      <family val="2"/>
    </font>
    <font>
      <sz val="7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6"/>
      <name val="Arial"/>
      <family val="2"/>
    </font>
    <font>
      <b/>
      <sz val="8"/>
      <color indexed="8"/>
      <name val="ARIAL"/>
      <family val="2"/>
    </font>
    <font>
      <b/>
      <sz val="12"/>
      <name val="Ravie"/>
      <family val="5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1" fillId="0" borderId="0" xfId="0" applyFont="1" applyFill="1"/>
    <xf numFmtId="0" fontId="6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2" fillId="0" borderId="0" xfId="0" applyFont="1"/>
    <xf numFmtId="0" fontId="18" fillId="2" borderId="4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 wrapText="1" shrinkToFit="1"/>
    </xf>
    <xf numFmtId="0" fontId="14" fillId="0" borderId="0" xfId="0" applyFont="1" applyFill="1" applyBorder="1" applyAlignment="1">
      <alignment vertical="center" wrapText="1" shrinkToFit="1"/>
    </xf>
    <xf numFmtId="0" fontId="0" fillId="0" borderId="0" xfId="0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top" wrapText="1"/>
    </xf>
    <xf numFmtId="2" fontId="15" fillId="7" borderId="2" xfId="0" applyNumberFormat="1" applyFont="1" applyFill="1" applyBorder="1" applyAlignment="1">
      <alignment horizontal="center" vertical="top" wrapText="1"/>
    </xf>
    <xf numFmtId="2" fontId="15" fillId="7" borderId="2" xfId="0" applyNumberFormat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164" fontId="15" fillId="7" borderId="2" xfId="0" applyNumberFormat="1" applyFont="1" applyFill="1" applyBorder="1" applyAlignment="1">
      <alignment horizontal="center" vertical="center" wrapText="1"/>
    </xf>
    <xf numFmtId="165" fontId="15" fillId="7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 shrinkToFit="1"/>
    </xf>
    <xf numFmtId="8" fontId="7" fillId="3" borderId="2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 shrinkToFit="1"/>
    </xf>
    <xf numFmtId="0" fontId="5" fillId="3" borderId="6" xfId="0" applyFont="1" applyFill="1" applyBorder="1" applyAlignment="1">
      <alignment horizontal="center" vertical="center" wrapText="1" shrinkToFit="1"/>
    </xf>
    <xf numFmtId="0" fontId="5" fillId="3" borderId="2" xfId="0" applyFont="1" applyFill="1" applyBorder="1" applyAlignment="1">
      <alignment horizontal="center" vertical="center" wrapText="1" shrinkToFit="1"/>
    </xf>
    <xf numFmtId="14" fontId="3" fillId="5" borderId="2" xfId="0" applyNumberFormat="1" applyFont="1" applyFill="1" applyBorder="1" applyAlignment="1">
      <alignment horizontal="center" vertical="center" wrapText="1" shrinkToFit="1"/>
    </xf>
    <xf numFmtId="0" fontId="3" fillId="5" borderId="2" xfId="0" applyFont="1" applyFill="1" applyBorder="1" applyAlignment="1">
      <alignment horizontal="center" vertical="center" wrapText="1" shrinkToFit="1"/>
    </xf>
    <xf numFmtId="8" fontId="3" fillId="4" borderId="2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wrapText="1" shrinkToFit="1"/>
    </xf>
    <xf numFmtId="0" fontId="10" fillId="0" borderId="0" xfId="0" applyFont="1" applyFill="1" applyAlignment="1">
      <alignment wrapText="1" shrinkToFit="1"/>
    </xf>
    <xf numFmtId="0" fontId="16" fillId="0" borderId="0" xfId="0" applyFont="1" applyFill="1" applyBorder="1" applyAlignment="1">
      <alignment horizontal="center" vertical="center"/>
    </xf>
    <xf numFmtId="0" fontId="4" fillId="5" borderId="2" xfId="1" applyFill="1" applyBorder="1" applyAlignment="1" applyProtection="1">
      <alignment horizontal="center" vertical="center"/>
    </xf>
    <xf numFmtId="0" fontId="11" fillId="6" borderId="2" xfId="0" applyFont="1" applyFill="1" applyBorder="1" applyAlignment="1">
      <alignment horizontal="center" vertical="center" wrapText="1" shrinkToFit="1"/>
    </xf>
    <xf numFmtId="0" fontId="12" fillId="4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 wrapText="1" shrinkToFi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0</xdr:row>
      <xdr:rowOff>114300</xdr:rowOff>
    </xdr:from>
    <xdr:to>
      <xdr:col>14</xdr:col>
      <xdr:colOff>142875</xdr:colOff>
      <xdr:row>1</xdr:row>
      <xdr:rowOff>342900</xdr:rowOff>
    </xdr:to>
    <xdr:pic>
      <xdr:nvPicPr>
        <xdr:cNvPr id="103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114300"/>
          <a:ext cx="23526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0</xdr:row>
          <xdr:rowOff>57150</xdr:rowOff>
        </xdr:from>
        <xdr:to>
          <xdr:col>4</xdr:col>
          <xdr:colOff>257175</xdr:colOff>
          <xdr:row>1</xdr:row>
          <xdr:rowOff>409575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84"/>
  <sheetViews>
    <sheetView tabSelected="1" view="pageBreakPreview" zoomScale="200" zoomScaleNormal="100" zoomScaleSheetLayoutView="200" workbookViewId="0">
      <selection activeCell="C5" sqref="C5:F5"/>
    </sheetView>
  </sheetViews>
  <sheetFormatPr baseColWidth="10" defaultRowHeight="12.75" x14ac:dyDescent="0.2"/>
  <cols>
    <col min="1" max="1" width="4" style="1" customWidth="1"/>
    <col min="2" max="2" width="19.7109375" customWidth="1"/>
    <col min="3" max="3" width="8.5703125" customWidth="1"/>
    <col min="4" max="4" width="9" customWidth="1"/>
    <col min="5" max="5" width="10" customWidth="1"/>
    <col min="6" max="6" width="9.5703125" customWidth="1"/>
    <col min="7" max="7" width="8.85546875" customWidth="1"/>
    <col min="8" max="8" width="9" customWidth="1"/>
    <col min="9" max="9" width="9.140625" customWidth="1"/>
    <col min="10" max="10" width="9.85546875" customWidth="1"/>
    <col min="11" max="11" width="8.42578125" customWidth="1"/>
    <col min="12" max="12" width="9" customWidth="1"/>
    <col min="13" max="13" width="9.140625" customWidth="1"/>
    <col min="14" max="15" width="9" style="2" customWidth="1"/>
    <col min="16" max="16" width="9" customWidth="1"/>
    <col min="17" max="17" width="10.42578125" customWidth="1"/>
    <col min="18" max="18" width="10" customWidth="1"/>
    <col min="19" max="20" width="9.7109375" customWidth="1"/>
    <col min="21" max="21" width="9.85546875" customWidth="1"/>
    <col min="22" max="22" width="9" customWidth="1"/>
    <col min="23" max="24" width="9.42578125" customWidth="1"/>
    <col min="25" max="25" width="9.140625" customWidth="1"/>
    <col min="26" max="27" width="9.28515625" customWidth="1"/>
    <col min="28" max="28" width="9.5703125" customWidth="1"/>
    <col min="29" max="29" width="9.28515625" customWidth="1"/>
    <col min="30" max="30" width="9" customWidth="1"/>
    <col min="31" max="32" width="8.7109375" customWidth="1"/>
    <col min="33" max="33" width="9.7109375" customWidth="1"/>
  </cols>
  <sheetData>
    <row r="1" spans="1:33" s="8" customFormat="1" ht="35.25" customHeight="1" x14ac:dyDescent="0.2">
      <c r="A1" s="6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33" s="8" customFormat="1" ht="35.25" customHeight="1" x14ac:dyDescent="0.2">
      <c r="A2" s="6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33" s="2" customFormat="1" x14ac:dyDescent="0.2">
      <c r="A3" s="1"/>
    </row>
    <row r="4" spans="1:33" s="8" customFormat="1" ht="15.75" customHeight="1" x14ac:dyDescent="0.2">
      <c r="A4" s="6"/>
      <c r="B4" s="28" t="s">
        <v>4</v>
      </c>
      <c r="C4" s="31">
        <v>269</v>
      </c>
      <c r="D4" s="31"/>
      <c r="E4" s="31"/>
      <c r="F4" s="31"/>
      <c r="G4" s="7"/>
      <c r="H4" s="44" t="s">
        <v>42</v>
      </c>
      <c r="I4" s="44"/>
      <c r="J4" s="44"/>
      <c r="K4" s="44"/>
      <c r="L4" s="44"/>
      <c r="M4" s="44"/>
      <c r="N4" s="44"/>
      <c r="O4" s="44"/>
      <c r="P4" s="44"/>
      <c r="Q4" s="21"/>
      <c r="R4" s="21"/>
      <c r="S4" s="21"/>
    </row>
    <row r="5" spans="1:33" s="8" customFormat="1" ht="15.75" customHeight="1" x14ac:dyDescent="0.2">
      <c r="A5" s="6"/>
      <c r="B5" s="28" t="s">
        <v>5</v>
      </c>
      <c r="C5" s="31" t="s">
        <v>47</v>
      </c>
      <c r="D5" s="31"/>
      <c r="E5" s="31"/>
      <c r="F5" s="31"/>
      <c r="G5" s="9"/>
      <c r="H5" s="44" t="s">
        <v>10</v>
      </c>
      <c r="I5" s="44"/>
      <c r="J5" s="44"/>
      <c r="K5" s="44"/>
      <c r="L5" s="44"/>
      <c r="M5" s="44"/>
      <c r="N5" s="44"/>
      <c r="O5" s="44"/>
      <c r="P5" s="44"/>
      <c r="Q5" s="21"/>
      <c r="R5" s="21"/>
      <c r="S5" s="21"/>
    </row>
    <row r="6" spans="1:33" s="8" customFormat="1" ht="15.75" customHeight="1" x14ac:dyDescent="0.2">
      <c r="A6" s="6"/>
      <c r="B6" s="28" t="s">
        <v>6</v>
      </c>
      <c r="C6" s="31" t="s">
        <v>48</v>
      </c>
      <c r="D6" s="31"/>
      <c r="E6" s="31"/>
      <c r="F6" s="31"/>
      <c r="G6" s="9"/>
      <c r="H6" s="10"/>
      <c r="I6" s="11"/>
      <c r="J6" s="11"/>
      <c r="K6" s="23"/>
      <c r="L6" s="46" t="s">
        <v>38</v>
      </c>
      <c r="M6" s="46"/>
      <c r="N6" s="45" t="s">
        <v>3</v>
      </c>
      <c r="O6" s="45"/>
      <c r="P6" s="45"/>
      <c r="Q6" s="22"/>
      <c r="R6" s="9"/>
      <c r="S6" s="9"/>
    </row>
    <row r="7" spans="1:33" s="8" customFormat="1" ht="15.75" customHeight="1" x14ac:dyDescent="0.2">
      <c r="A7" s="6"/>
      <c r="B7" s="28" t="s">
        <v>7</v>
      </c>
      <c r="C7" s="43"/>
      <c r="D7" s="31"/>
      <c r="E7" s="31"/>
      <c r="F7" s="31"/>
      <c r="G7" s="12"/>
      <c r="H7" s="32" t="s">
        <v>39</v>
      </c>
      <c r="I7" s="32"/>
      <c r="J7" s="32"/>
      <c r="K7" s="32"/>
      <c r="L7" s="39">
        <v>7</v>
      </c>
      <c r="M7" s="39"/>
      <c r="N7" s="31"/>
      <c r="O7" s="31"/>
      <c r="P7" s="31"/>
    </row>
    <row r="8" spans="1:33" s="8" customFormat="1" ht="15.75" customHeight="1" x14ac:dyDescent="0.2">
      <c r="A8" s="6"/>
      <c r="B8" s="13"/>
      <c r="C8" s="12"/>
      <c r="D8" s="12"/>
      <c r="E8" s="12"/>
      <c r="F8" s="12"/>
      <c r="G8" s="7"/>
      <c r="H8" s="32" t="s">
        <v>40</v>
      </c>
      <c r="I8" s="32"/>
      <c r="J8" s="32"/>
      <c r="K8" s="32"/>
      <c r="L8" s="39">
        <v>9</v>
      </c>
      <c r="M8" s="39">
        <v>4</v>
      </c>
      <c r="N8" s="31">
        <f>C4</f>
        <v>269</v>
      </c>
      <c r="O8" s="31"/>
      <c r="P8" s="31"/>
    </row>
    <row r="9" spans="1:33" s="8" customFormat="1" ht="15.75" customHeight="1" x14ac:dyDescent="0.2">
      <c r="A9" s="6"/>
      <c r="B9" s="24" t="s">
        <v>9</v>
      </c>
      <c r="C9" s="37">
        <v>44645</v>
      </c>
      <c r="D9" s="38"/>
      <c r="E9" s="38"/>
      <c r="F9" s="38"/>
      <c r="G9" s="9"/>
      <c r="H9" s="32"/>
      <c r="I9" s="32"/>
      <c r="J9" s="32"/>
      <c r="K9" s="32"/>
      <c r="L9" s="39"/>
      <c r="M9" s="39"/>
      <c r="N9" s="31"/>
      <c r="O9" s="31"/>
      <c r="P9" s="31"/>
    </row>
    <row r="10" spans="1:33" s="8" customFormat="1" ht="15.75" customHeight="1" x14ac:dyDescent="0.2">
      <c r="A10" s="6"/>
      <c r="B10" s="24" t="s">
        <v>8</v>
      </c>
      <c r="C10" s="37">
        <v>44651</v>
      </c>
      <c r="D10" s="38"/>
      <c r="E10" s="38"/>
      <c r="F10" s="38"/>
      <c r="G10" s="9"/>
      <c r="H10" s="14"/>
      <c r="I10" s="23"/>
      <c r="J10" s="34" t="s">
        <v>2</v>
      </c>
      <c r="K10" s="35"/>
      <c r="L10" s="36"/>
      <c r="M10" s="36"/>
      <c r="N10" s="33">
        <f>SUM(L7*N7+L8*N8+L9*N9)</f>
        <v>2421</v>
      </c>
      <c r="O10" s="33"/>
      <c r="P10" s="33"/>
    </row>
    <row r="11" spans="1:33" x14ac:dyDescent="0.2">
      <c r="B11" s="2"/>
      <c r="C11" s="2"/>
      <c r="D11" s="2"/>
      <c r="E11" s="2"/>
      <c r="F11" s="2"/>
      <c r="G11" s="4"/>
      <c r="H11" s="40"/>
      <c r="I11" s="41"/>
      <c r="J11" s="41"/>
      <c r="K11" s="41"/>
      <c r="L11" s="41"/>
      <c r="M11" s="4"/>
    </row>
    <row r="12" spans="1:33" ht="15.75" customHeight="1" x14ac:dyDescent="0.2">
      <c r="B12" s="2"/>
      <c r="C12" s="2"/>
      <c r="D12" s="2"/>
      <c r="E12" s="2"/>
      <c r="F12" s="2"/>
      <c r="G12" s="4"/>
      <c r="H12" s="3"/>
      <c r="I12" s="3"/>
      <c r="J12" s="3"/>
      <c r="K12" s="3"/>
      <c r="L12" s="2"/>
      <c r="M12" s="2"/>
    </row>
    <row r="13" spans="1:33" ht="13.5" thickBot="1" x14ac:dyDescent="0.25">
      <c r="B13" s="2"/>
      <c r="C13" s="2"/>
      <c r="D13" s="2"/>
      <c r="E13" s="2"/>
      <c r="F13" s="2"/>
      <c r="G13" s="3"/>
      <c r="H13" s="5"/>
      <c r="I13" s="5"/>
      <c r="J13" s="5"/>
      <c r="K13" s="5"/>
      <c r="L13" s="5"/>
      <c r="M13" s="2"/>
    </row>
    <row r="14" spans="1:33" ht="12.75" customHeight="1" x14ac:dyDescent="0.2">
      <c r="B14" s="15" t="s">
        <v>1</v>
      </c>
      <c r="C14" s="5"/>
      <c r="D14" s="5"/>
    </row>
    <row r="15" spans="1:33" s="19" customFormat="1" ht="12.75" customHeight="1" x14ac:dyDescent="0.2">
      <c r="A15" s="16"/>
      <c r="B15" s="20" t="s">
        <v>0</v>
      </c>
      <c r="C15" s="17" t="s">
        <v>46</v>
      </c>
      <c r="D15" s="17" t="s">
        <v>11</v>
      </c>
      <c r="E15" s="17" t="s">
        <v>13</v>
      </c>
      <c r="F15" s="17" t="s">
        <v>14</v>
      </c>
      <c r="G15" s="17" t="s">
        <v>12</v>
      </c>
      <c r="H15" s="17" t="s">
        <v>15</v>
      </c>
      <c r="I15" s="17" t="s">
        <v>16</v>
      </c>
      <c r="J15" s="17" t="s">
        <v>17</v>
      </c>
      <c r="K15" s="17" t="s">
        <v>18</v>
      </c>
      <c r="L15" s="17" t="s">
        <v>19</v>
      </c>
      <c r="M15" s="17" t="s">
        <v>20</v>
      </c>
      <c r="N15" s="17" t="s">
        <v>21</v>
      </c>
      <c r="O15" s="17" t="s">
        <v>43</v>
      </c>
      <c r="P15" s="17" t="s">
        <v>22</v>
      </c>
      <c r="Q15" s="17" t="s">
        <v>23</v>
      </c>
      <c r="R15" s="17" t="s">
        <v>24</v>
      </c>
      <c r="S15" s="17" t="s">
        <v>25</v>
      </c>
      <c r="T15" s="17" t="s">
        <v>26</v>
      </c>
      <c r="U15" s="18" t="s">
        <v>27</v>
      </c>
      <c r="V15" s="17" t="s">
        <v>29</v>
      </c>
      <c r="W15" s="18" t="s">
        <v>28</v>
      </c>
      <c r="X15" s="18" t="s">
        <v>41</v>
      </c>
      <c r="Y15" s="18" t="s">
        <v>31</v>
      </c>
      <c r="Z15" s="18" t="s">
        <v>32</v>
      </c>
      <c r="AA15" s="18" t="s">
        <v>44</v>
      </c>
      <c r="AB15" s="18" t="s">
        <v>30</v>
      </c>
      <c r="AC15" s="18" t="s">
        <v>33</v>
      </c>
      <c r="AD15" s="18" t="s">
        <v>34</v>
      </c>
      <c r="AE15" s="18" t="s">
        <v>35</v>
      </c>
      <c r="AF15" s="18" t="s">
        <v>36</v>
      </c>
      <c r="AG15" s="18" t="s">
        <v>37</v>
      </c>
    </row>
    <row r="16" spans="1:33" x14ac:dyDescent="0.2">
      <c r="A16" s="1">
        <v>1</v>
      </c>
      <c r="B16" s="25" t="s">
        <v>49</v>
      </c>
      <c r="C16" s="26">
        <v>71.41173950299914</v>
      </c>
      <c r="D16" s="27" t="s">
        <v>45</v>
      </c>
      <c r="E16" s="27" t="s">
        <v>45</v>
      </c>
      <c r="F16" s="27" t="s">
        <v>45</v>
      </c>
      <c r="G16" s="27" t="s">
        <v>45</v>
      </c>
      <c r="H16" s="26">
        <v>0.69837189374464448</v>
      </c>
      <c r="I16" s="26">
        <v>0.13924592973436162</v>
      </c>
      <c r="J16" s="27">
        <v>9.6401028277634956E-2</v>
      </c>
      <c r="K16" s="27">
        <v>0.22493573264781491</v>
      </c>
      <c r="L16" s="27">
        <v>2.7634961439588692</v>
      </c>
      <c r="M16" s="27">
        <v>40.949014567266495</v>
      </c>
      <c r="N16" s="27">
        <v>0.12350042844901457</v>
      </c>
      <c r="O16" s="27" t="s">
        <v>45</v>
      </c>
      <c r="P16" s="27">
        <v>0.33204798628963156</v>
      </c>
      <c r="Q16" s="27">
        <v>6.2907026563838911E-2</v>
      </c>
      <c r="R16" s="27">
        <v>262.31790916880891</v>
      </c>
      <c r="S16" s="27" t="s">
        <v>45</v>
      </c>
      <c r="T16" s="30">
        <v>2.6563838903170523E-3</v>
      </c>
      <c r="U16" s="27">
        <v>2.3671808054841472</v>
      </c>
      <c r="V16" s="27">
        <v>0.53556126820908312</v>
      </c>
      <c r="W16" s="30">
        <v>2.0019280205655528E-2</v>
      </c>
      <c r="X16" s="27">
        <v>1.8958868894601544</v>
      </c>
      <c r="Y16" s="27" t="s">
        <v>45</v>
      </c>
      <c r="Z16" s="27" t="s">
        <v>45</v>
      </c>
      <c r="AA16" s="27">
        <v>133.67609254498714</v>
      </c>
      <c r="AB16" s="29">
        <v>3.1533847472150815E-2</v>
      </c>
      <c r="AC16" s="27">
        <v>42.223650385604117</v>
      </c>
      <c r="AD16" s="27">
        <v>2.4207369323050556</v>
      </c>
      <c r="AE16" s="27">
        <v>2.3993144815766922</v>
      </c>
      <c r="AF16" s="27" t="s">
        <v>45</v>
      </c>
      <c r="AG16" s="27">
        <v>8.1726649528706101</v>
      </c>
    </row>
    <row r="17" spans="1:33" x14ac:dyDescent="0.2">
      <c r="A17" s="1">
        <v>2</v>
      </c>
      <c r="B17" s="25" t="s">
        <v>50</v>
      </c>
      <c r="C17" s="26">
        <v>4.3090638930163445</v>
      </c>
      <c r="D17" s="27" t="s">
        <v>45</v>
      </c>
      <c r="E17" s="27" t="s">
        <v>45</v>
      </c>
      <c r="F17" s="27" t="s">
        <v>45</v>
      </c>
      <c r="G17" s="27" t="s">
        <v>45</v>
      </c>
      <c r="H17" s="26">
        <v>9.3722139673105512E-2</v>
      </c>
      <c r="I17" s="26">
        <v>6.1911837543338288E-2</v>
      </c>
      <c r="J17" s="27">
        <v>3.7147102526002972E-2</v>
      </c>
      <c r="K17" s="27">
        <v>4.9529470034670633E-2</v>
      </c>
      <c r="L17" s="27">
        <v>1.1267954432887568</v>
      </c>
      <c r="M17" s="27">
        <v>7.3055968301139176</v>
      </c>
      <c r="N17" s="27">
        <v>0.14945517582961862</v>
      </c>
      <c r="O17" s="27" t="s">
        <v>45</v>
      </c>
      <c r="P17" s="27">
        <v>0.29717682020802377</v>
      </c>
      <c r="Q17" s="27">
        <v>3.1500742942050519E-2</v>
      </c>
      <c r="R17" s="27">
        <v>47.201584943041105</v>
      </c>
      <c r="S17" s="27" t="s">
        <v>45</v>
      </c>
      <c r="T17" s="30">
        <v>3.0708271421495793E-4</v>
      </c>
      <c r="U17" s="27">
        <v>0.44576523031203563</v>
      </c>
      <c r="V17" s="27">
        <v>0.14858841010401189</v>
      </c>
      <c r="W17" s="30">
        <v>8.2305596830113924E-3</v>
      </c>
      <c r="X17" s="27">
        <v>5.2996532937097562</v>
      </c>
      <c r="Y17" s="27" t="s">
        <v>45</v>
      </c>
      <c r="Z17" s="27" t="s">
        <v>45</v>
      </c>
      <c r="AA17" s="27">
        <v>12.506191183754336</v>
      </c>
      <c r="AB17" s="29">
        <v>1.2275879148093114E-2</v>
      </c>
      <c r="AC17" s="27">
        <v>8.556215948489351</v>
      </c>
      <c r="AD17" s="27">
        <v>0.4581475978207033</v>
      </c>
      <c r="AE17" s="27" t="s">
        <v>45</v>
      </c>
      <c r="AF17" s="27" t="s">
        <v>45</v>
      </c>
      <c r="AG17" s="27">
        <v>2.8107974244675584</v>
      </c>
    </row>
    <row r="18" spans="1:33" x14ac:dyDescent="0.2">
      <c r="A18" s="1">
        <v>3</v>
      </c>
      <c r="B18" s="25" t="s">
        <v>51</v>
      </c>
      <c r="C18" s="26">
        <v>18.125298900047827</v>
      </c>
      <c r="D18" s="27">
        <v>0.10760401721664274</v>
      </c>
      <c r="E18" s="27" t="s">
        <v>45</v>
      </c>
      <c r="F18" s="27" t="s">
        <v>45</v>
      </c>
      <c r="G18" s="27" t="s">
        <v>45</v>
      </c>
      <c r="H18" s="26">
        <v>6.3928742228598762E-2</v>
      </c>
      <c r="I18" s="26">
        <v>7.1736011477761832E-2</v>
      </c>
      <c r="J18" s="27">
        <v>3.5868005738880916E-2</v>
      </c>
      <c r="K18" s="27" t="s">
        <v>45</v>
      </c>
      <c r="L18" s="27">
        <v>1.8292682926829269</v>
      </c>
      <c r="M18" s="27">
        <v>5.4280248684839787</v>
      </c>
      <c r="N18" s="27">
        <v>0.14395026303204206</v>
      </c>
      <c r="O18" s="27" t="s">
        <v>45</v>
      </c>
      <c r="P18" s="27">
        <v>0.10760401721664274</v>
      </c>
      <c r="Q18" s="27">
        <v>1.4155906264945001E-2</v>
      </c>
      <c r="R18" s="27">
        <v>30.547584887613581</v>
      </c>
      <c r="S18" s="27" t="s">
        <v>45</v>
      </c>
      <c r="T18" s="30" t="s">
        <v>45</v>
      </c>
      <c r="U18" s="27">
        <v>0.17934002869440457</v>
      </c>
      <c r="V18" s="27">
        <v>0.38259206121472977</v>
      </c>
      <c r="W18" s="30">
        <v>1.8173122907699664E-3</v>
      </c>
      <c r="X18" s="27">
        <v>3.3118125298900045</v>
      </c>
      <c r="Y18" s="27" t="s">
        <v>45</v>
      </c>
      <c r="Z18" s="27" t="s">
        <v>45</v>
      </c>
      <c r="AA18" s="27">
        <v>85.246293639406971</v>
      </c>
      <c r="AB18" s="29">
        <v>4.8995695839311329E-3</v>
      </c>
      <c r="AC18" s="27">
        <v>3.7183165949306547</v>
      </c>
      <c r="AD18" s="27">
        <v>1.6977522716403637</v>
      </c>
      <c r="AE18" s="27" t="s">
        <v>45</v>
      </c>
      <c r="AF18" s="27" t="s">
        <v>45</v>
      </c>
      <c r="AG18" s="27">
        <v>3.8498326159732179</v>
      </c>
    </row>
    <row r="19" spans="1:33" x14ac:dyDescent="0.2">
      <c r="A19" s="1">
        <v>4</v>
      </c>
      <c r="B19" s="25" t="s">
        <v>52</v>
      </c>
      <c r="C19" s="26">
        <v>14.12784767086025</v>
      </c>
      <c r="D19" s="27">
        <v>0.12750765045902754</v>
      </c>
      <c r="E19" s="27" t="s">
        <v>45</v>
      </c>
      <c r="F19" s="27" t="s">
        <v>45</v>
      </c>
      <c r="G19" s="27" t="s">
        <v>45</v>
      </c>
      <c r="H19" s="26">
        <v>0.12325739544372663</v>
      </c>
      <c r="I19" s="26">
        <v>0.16150969058143491</v>
      </c>
      <c r="J19" s="27" t="s">
        <v>45</v>
      </c>
      <c r="K19" s="27">
        <v>3.4002040122407345E-2</v>
      </c>
      <c r="L19" s="27">
        <v>2.932675960557634</v>
      </c>
      <c r="M19" s="27">
        <v>3.7232233934036043</v>
      </c>
      <c r="N19" s="27">
        <v>0.15062903774226455</v>
      </c>
      <c r="O19" s="27" t="s">
        <v>45</v>
      </c>
      <c r="P19" s="27">
        <v>0.12750765045902754</v>
      </c>
      <c r="Q19" s="27">
        <v>9.3250595035702152E-3</v>
      </c>
      <c r="R19" s="27">
        <v>31.196871812308743</v>
      </c>
      <c r="S19" s="27" t="s">
        <v>45</v>
      </c>
      <c r="T19" s="30">
        <v>5.73784427065624E-4</v>
      </c>
      <c r="U19" s="27">
        <v>0.18701122067324041</v>
      </c>
      <c r="V19" s="27">
        <v>0.41652499149949002</v>
      </c>
      <c r="W19" s="30">
        <v>1.1832709962597758E-3</v>
      </c>
      <c r="X19" s="27">
        <v>2.8646718803128191</v>
      </c>
      <c r="Y19" s="27" t="s">
        <v>45</v>
      </c>
      <c r="Z19" s="27" t="s">
        <v>45</v>
      </c>
      <c r="AA19" s="27">
        <v>11.203672220333221</v>
      </c>
      <c r="AB19" s="29">
        <v>7.6844610676640619E-3</v>
      </c>
      <c r="AC19" s="27">
        <v>8.7895273716422988</v>
      </c>
      <c r="AD19" s="27">
        <v>0.21251275076504592</v>
      </c>
      <c r="AE19" s="27" t="s">
        <v>45</v>
      </c>
      <c r="AF19" s="27" t="s">
        <v>45</v>
      </c>
      <c r="AG19" s="27">
        <v>2.5246514790887455</v>
      </c>
    </row>
    <row r="20" spans="1:33" x14ac:dyDescent="0.2">
      <c r="A20" s="1">
        <v>5</v>
      </c>
      <c r="B20" s="25" t="s">
        <v>53</v>
      </c>
      <c r="C20" s="26">
        <v>4.041666666666667</v>
      </c>
      <c r="D20" s="27">
        <v>2.0833333333333336E-2</v>
      </c>
      <c r="E20" s="27" t="s">
        <v>45</v>
      </c>
      <c r="F20" s="27" t="s">
        <v>45</v>
      </c>
      <c r="G20" s="27" t="s">
        <v>45</v>
      </c>
      <c r="H20" s="26">
        <v>0.19875000000000001</v>
      </c>
      <c r="I20" s="26">
        <v>6.25E-2</v>
      </c>
      <c r="J20" s="27">
        <v>2.0833333333333336E-2</v>
      </c>
      <c r="K20" s="27" t="s">
        <v>45</v>
      </c>
      <c r="L20" s="27">
        <v>1.2708333333333333</v>
      </c>
      <c r="M20" s="27">
        <v>5.7708333333333339</v>
      </c>
      <c r="N20" s="27">
        <v>8.5041666666666668E-2</v>
      </c>
      <c r="O20" s="27" t="s">
        <v>45</v>
      </c>
      <c r="P20" s="27">
        <v>3.125E-2</v>
      </c>
      <c r="Q20" s="27">
        <v>4.139583333333334E-2</v>
      </c>
      <c r="R20" s="27">
        <v>48.729166666666671</v>
      </c>
      <c r="S20" s="27" t="s">
        <v>45</v>
      </c>
      <c r="T20" s="30">
        <v>5.4062500000000009E-4</v>
      </c>
      <c r="U20" s="27">
        <v>0.65625</v>
      </c>
      <c r="V20" s="27">
        <v>9.375E-2</v>
      </c>
      <c r="W20" s="30">
        <v>5.5812500000000011E-3</v>
      </c>
      <c r="X20" s="27">
        <v>1.9687500000000002</v>
      </c>
      <c r="Y20" s="27" t="s">
        <v>45</v>
      </c>
      <c r="Z20" s="27" t="s">
        <v>45</v>
      </c>
      <c r="AA20" s="27">
        <v>52.260416666666671</v>
      </c>
      <c r="AB20" s="29">
        <v>1.0115625E-2</v>
      </c>
      <c r="AC20" s="27">
        <v>11.572916666666668</v>
      </c>
      <c r="AD20" s="27">
        <v>0.58333333333333326</v>
      </c>
      <c r="AE20" s="27" t="s">
        <v>45</v>
      </c>
      <c r="AF20" s="27" t="s">
        <v>45</v>
      </c>
      <c r="AG20" s="27">
        <v>2.15625</v>
      </c>
    </row>
    <row r="21" spans="1:33" x14ac:dyDescent="0.2">
      <c r="A21" s="1">
        <v>6</v>
      </c>
      <c r="B21" s="25" t="s">
        <v>54</v>
      </c>
      <c r="C21" s="26">
        <v>18.069837189374461</v>
      </c>
      <c r="D21" s="27" t="s">
        <v>45</v>
      </c>
      <c r="E21" s="27" t="s">
        <v>45</v>
      </c>
      <c r="F21" s="27" t="s">
        <v>45</v>
      </c>
      <c r="G21" s="27" t="s">
        <v>45</v>
      </c>
      <c r="H21" s="26">
        <v>5.9811482433590406E-2</v>
      </c>
      <c r="I21" s="26">
        <v>0.12853470437017994</v>
      </c>
      <c r="J21" s="27" t="s">
        <v>45</v>
      </c>
      <c r="K21" s="27">
        <v>0.12853470437017994</v>
      </c>
      <c r="L21" s="27">
        <v>0.88903170522707797</v>
      </c>
      <c r="M21" s="27">
        <v>7.797772065124251</v>
      </c>
      <c r="N21" s="27">
        <v>0.15756212510711226</v>
      </c>
      <c r="O21" s="27" t="s">
        <v>45</v>
      </c>
      <c r="P21" s="27">
        <v>0.17137960582690662</v>
      </c>
      <c r="Q21" s="27">
        <v>1.3742502142245072E-2</v>
      </c>
      <c r="R21" s="27">
        <v>26.885175664095975</v>
      </c>
      <c r="S21" s="27" t="s">
        <v>45</v>
      </c>
      <c r="T21" s="30">
        <v>5.2806341045415585E-4</v>
      </c>
      <c r="U21" s="27">
        <v>0.12853470437017994</v>
      </c>
      <c r="V21" s="27">
        <v>0.10711225364181663</v>
      </c>
      <c r="W21" s="30">
        <v>2.2814910025706942E-3</v>
      </c>
      <c r="X21" s="27">
        <v>2.9241645244215939</v>
      </c>
      <c r="Y21" s="27" t="s">
        <v>45</v>
      </c>
      <c r="Z21" s="27" t="s">
        <v>45</v>
      </c>
      <c r="AA21" s="27">
        <v>19.194515852613538</v>
      </c>
      <c r="AB21" s="29">
        <v>5.4680805484147383E-3</v>
      </c>
      <c r="AC21" s="27">
        <v>4.0059982862039423</v>
      </c>
      <c r="AD21" s="27">
        <v>1.7566409597257928</v>
      </c>
      <c r="AE21" s="27" t="s">
        <v>45</v>
      </c>
      <c r="AF21" s="27" t="s">
        <v>45</v>
      </c>
      <c r="AG21" s="27">
        <v>3.9417309340188513</v>
      </c>
    </row>
    <row r="22" spans="1:33" x14ac:dyDescent="0.2">
      <c r="A22" s="1">
        <v>7</v>
      </c>
      <c r="B22" s="25" t="s">
        <v>55</v>
      </c>
      <c r="C22" s="26">
        <v>14.707977207977207</v>
      </c>
      <c r="D22" s="27" t="s">
        <v>45</v>
      </c>
      <c r="E22" s="27" t="s">
        <v>45</v>
      </c>
      <c r="F22" s="27" t="s">
        <v>45</v>
      </c>
      <c r="G22" s="27" t="s">
        <v>45</v>
      </c>
      <c r="H22" s="26">
        <v>0.3378442545109212</v>
      </c>
      <c r="I22" s="26">
        <v>5.9354226020892686E-2</v>
      </c>
      <c r="J22" s="27" t="s">
        <v>45</v>
      </c>
      <c r="K22" s="27" t="s">
        <v>45</v>
      </c>
      <c r="L22" s="27">
        <v>2.4097815764482426</v>
      </c>
      <c r="M22" s="27">
        <v>12.630579297245962</v>
      </c>
      <c r="N22" s="27">
        <v>0.11602564102564102</v>
      </c>
      <c r="O22" s="27" t="s">
        <v>45</v>
      </c>
      <c r="P22" s="27">
        <v>0.22554605887939219</v>
      </c>
      <c r="Q22" s="27">
        <v>3.751187084520418E-2</v>
      </c>
      <c r="R22" s="27">
        <v>92.604463437796767</v>
      </c>
      <c r="S22" s="27" t="s">
        <v>45</v>
      </c>
      <c r="T22" s="30">
        <v>3.5137701804368476E-4</v>
      </c>
      <c r="U22" s="27">
        <v>0.66476733143399802</v>
      </c>
      <c r="V22" s="27">
        <v>0.93779677113010451</v>
      </c>
      <c r="W22" s="30">
        <v>2.0880816714150045E-2</v>
      </c>
      <c r="X22" s="27">
        <v>2.7065527065527069</v>
      </c>
      <c r="Y22" s="27" t="s">
        <v>45</v>
      </c>
      <c r="Z22" s="27" t="s">
        <v>45</v>
      </c>
      <c r="AA22" s="27">
        <v>392.33143399810064</v>
      </c>
      <c r="AB22" s="29">
        <v>2.1569325735992399E-2</v>
      </c>
      <c r="AC22" s="27">
        <v>20.785849952516621</v>
      </c>
      <c r="AD22" s="27">
        <v>0.8903133903133903</v>
      </c>
      <c r="AE22" s="27" t="s">
        <v>45</v>
      </c>
      <c r="AF22" s="27" t="s">
        <v>45</v>
      </c>
      <c r="AG22" s="27">
        <v>5.8285849952516617</v>
      </c>
    </row>
    <row r="23" spans="1:33" x14ac:dyDescent="0.2">
      <c r="A23" s="1">
        <v>8</v>
      </c>
      <c r="B23" s="25" t="s">
        <v>56</v>
      </c>
      <c r="C23" s="26">
        <v>15.119047619047617</v>
      </c>
      <c r="D23" s="27">
        <v>2.1645021645021644E-2</v>
      </c>
      <c r="E23" s="27" t="s">
        <v>45</v>
      </c>
      <c r="F23" s="27" t="s">
        <v>45</v>
      </c>
      <c r="G23" s="27" t="s">
        <v>45</v>
      </c>
      <c r="H23" s="26">
        <v>0.30941558441558437</v>
      </c>
      <c r="I23" s="26">
        <v>0.17316017316017315</v>
      </c>
      <c r="J23" s="27">
        <v>3.2467532467532464E-2</v>
      </c>
      <c r="K23" s="27">
        <v>0.4978354978354978</v>
      </c>
      <c r="L23" s="27">
        <v>1.3419913419913418</v>
      </c>
      <c r="M23" s="27">
        <v>4.9675324675324681</v>
      </c>
      <c r="N23" s="27">
        <v>3.0984848484848483E-2</v>
      </c>
      <c r="O23" s="27" t="s">
        <v>45</v>
      </c>
      <c r="P23" s="27">
        <v>0.34632034632034631</v>
      </c>
      <c r="Q23" s="27">
        <v>3.6406926406926401E-2</v>
      </c>
      <c r="R23" s="27">
        <v>78.625541125541133</v>
      </c>
      <c r="S23" s="27" t="s">
        <v>45</v>
      </c>
      <c r="T23" s="30">
        <v>5.1839826839826834E-4</v>
      </c>
      <c r="U23" s="27">
        <v>6.4935064935064929E-2</v>
      </c>
      <c r="V23" s="27">
        <v>0.59523809523809512</v>
      </c>
      <c r="W23" s="30">
        <v>5.0000000000000001E-3</v>
      </c>
      <c r="X23" s="27">
        <v>0.80086580086580084</v>
      </c>
      <c r="Y23" s="27" t="s">
        <v>45</v>
      </c>
      <c r="Z23" s="27" t="s">
        <v>45</v>
      </c>
      <c r="AA23" s="27">
        <v>20.800865800865804</v>
      </c>
      <c r="AB23" s="29">
        <v>1.3398268398268399E-2</v>
      </c>
      <c r="AC23" s="27">
        <v>16.980519480519479</v>
      </c>
      <c r="AD23" s="27">
        <v>1.0389610389610389</v>
      </c>
      <c r="AE23" s="27" t="s">
        <v>45</v>
      </c>
      <c r="AF23" s="27" t="s">
        <v>45</v>
      </c>
      <c r="AG23" s="27">
        <v>8.8744588744588757</v>
      </c>
    </row>
    <row r="24" spans="1:33" x14ac:dyDescent="0.2">
      <c r="A24" s="1">
        <v>9</v>
      </c>
      <c r="B24" s="25" t="s">
        <v>57</v>
      </c>
      <c r="C24" s="26">
        <v>4.9439551641313049</v>
      </c>
      <c r="D24" s="27" t="s">
        <v>45</v>
      </c>
      <c r="E24" s="27" t="s">
        <v>45</v>
      </c>
      <c r="F24" s="27" t="s">
        <v>45</v>
      </c>
      <c r="G24" s="27" t="s">
        <v>45</v>
      </c>
      <c r="H24" s="26">
        <v>0.17183746997598082</v>
      </c>
      <c r="I24" s="26">
        <v>6.0048038430744598E-2</v>
      </c>
      <c r="J24" s="27" t="s">
        <v>45</v>
      </c>
      <c r="K24" s="27" t="s">
        <v>45</v>
      </c>
      <c r="L24" s="27">
        <v>1.1008807045636508</v>
      </c>
      <c r="M24" s="27">
        <v>6.5352281825460361</v>
      </c>
      <c r="N24" s="27">
        <v>6.8604883907125699E-2</v>
      </c>
      <c r="O24" s="27" t="s">
        <v>45</v>
      </c>
      <c r="P24" s="27">
        <v>9.0072057646116893E-2</v>
      </c>
      <c r="Q24" s="27">
        <v>2.3528823058446759E-2</v>
      </c>
      <c r="R24" s="27">
        <v>50.160128102481984</v>
      </c>
      <c r="S24" s="27" t="s">
        <v>45</v>
      </c>
      <c r="T24" s="30">
        <v>1.9415532425940752E-4</v>
      </c>
      <c r="U24" s="27">
        <v>0.79063250600480395</v>
      </c>
      <c r="V24" s="27">
        <v>5.0040032025620497E-2</v>
      </c>
      <c r="W24" s="30">
        <v>4.2774219375500402E-3</v>
      </c>
      <c r="X24" s="27">
        <v>2.5420336269015213</v>
      </c>
      <c r="Y24" s="27" t="s">
        <v>45</v>
      </c>
      <c r="Z24" s="27" t="s">
        <v>45</v>
      </c>
      <c r="AA24" s="27">
        <v>9.5576461168935154</v>
      </c>
      <c r="AB24" s="29">
        <v>1.0118094475580463E-2</v>
      </c>
      <c r="AC24" s="27">
        <v>9.5376301040832665</v>
      </c>
      <c r="AD24" s="27">
        <v>0.70056044835868703</v>
      </c>
      <c r="AE24" s="27" t="s">
        <v>45</v>
      </c>
      <c r="AF24" s="27" t="s">
        <v>45</v>
      </c>
      <c r="AG24" s="27">
        <v>3.9031224979983987</v>
      </c>
    </row>
    <row r="25" spans="1:33" x14ac:dyDescent="0.2">
      <c r="A25" s="1">
        <v>10</v>
      </c>
      <c r="B25" s="25" t="s">
        <v>58</v>
      </c>
      <c r="C25" s="26">
        <v>24.918868799258227</v>
      </c>
      <c r="D25" s="27">
        <v>0.17385257301808066</v>
      </c>
      <c r="E25" s="27" t="s">
        <v>45</v>
      </c>
      <c r="F25" s="27" t="s">
        <v>45</v>
      </c>
      <c r="G25" s="27" t="s">
        <v>45</v>
      </c>
      <c r="H25" s="26">
        <v>0.30992118683356512</v>
      </c>
      <c r="I25" s="26">
        <v>0.12749188687992583</v>
      </c>
      <c r="J25" s="27" t="s">
        <v>45</v>
      </c>
      <c r="K25" s="27">
        <v>0.23180343069077422</v>
      </c>
      <c r="L25" s="27">
        <v>2.4455261937876678</v>
      </c>
      <c r="M25" s="27">
        <v>16.539174779786741</v>
      </c>
      <c r="N25" s="27">
        <v>3.8537320352341219E-2</v>
      </c>
      <c r="O25" s="27" t="s">
        <v>45</v>
      </c>
      <c r="P25" s="27">
        <v>0.20862308762169679</v>
      </c>
      <c r="Q25" s="27">
        <v>2.8569772832637921E-2</v>
      </c>
      <c r="R25" s="27">
        <v>145.10894761242466</v>
      </c>
      <c r="S25" s="27" t="s">
        <v>45</v>
      </c>
      <c r="T25" s="30">
        <v>7.2670375521557723E-4</v>
      </c>
      <c r="U25" s="27">
        <v>0.56791840519239678</v>
      </c>
      <c r="V25" s="27">
        <v>1.1358368103847936</v>
      </c>
      <c r="W25" s="30">
        <v>1.5971256374594341E-2</v>
      </c>
      <c r="X25" s="27">
        <v>0.71859063514140009</v>
      </c>
      <c r="Y25" s="27" t="s">
        <v>45</v>
      </c>
      <c r="Z25" s="27" t="s">
        <v>45</v>
      </c>
      <c r="AA25" s="27">
        <v>268.31247102457115</v>
      </c>
      <c r="AB25" s="29">
        <v>2.1986555401019937E-2</v>
      </c>
      <c r="AC25" s="27">
        <v>16.458043579044968</v>
      </c>
      <c r="AD25" s="27">
        <v>1.2285581826611034</v>
      </c>
      <c r="AE25" s="27" t="s">
        <v>45</v>
      </c>
      <c r="AF25" s="27" t="s">
        <v>45</v>
      </c>
      <c r="AG25" s="27">
        <v>9.6777932313398232</v>
      </c>
    </row>
    <row r="26" spans="1:33" x14ac:dyDescent="0.2">
      <c r="A26" s="1">
        <v>11</v>
      </c>
      <c r="B26" s="25" t="s">
        <v>59</v>
      </c>
      <c r="C26" s="26">
        <v>2.024827024827025</v>
      </c>
      <c r="D26" s="27">
        <v>0.10175010175010175</v>
      </c>
      <c r="E26" s="27" t="s">
        <v>45</v>
      </c>
      <c r="F26" s="27" t="s">
        <v>45</v>
      </c>
      <c r="G26" s="27" t="s">
        <v>45</v>
      </c>
      <c r="H26" s="26">
        <v>7.4399674399674404E-2</v>
      </c>
      <c r="I26" s="26">
        <v>0.13227513227513227</v>
      </c>
      <c r="J26" s="27">
        <v>5.0875050875050877E-2</v>
      </c>
      <c r="K26" s="27">
        <v>9.1575091575091569E-2</v>
      </c>
      <c r="L26" s="27">
        <v>0.82417582417582413</v>
      </c>
      <c r="M26" s="27">
        <v>2.6963776963776964</v>
      </c>
      <c r="N26" s="27">
        <v>9.6886446886446889E-2</v>
      </c>
      <c r="O26" s="27" t="s">
        <v>45</v>
      </c>
      <c r="P26" s="27">
        <v>8.1400081400081398E-2</v>
      </c>
      <c r="Q26" s="27">
        <v>1.2698412698412698E-2</v>
      </c>
      <c r="R26" s="27">
        <v>51.638176638176631</v>
      </c>
      <c r="S26" s="27" t="s">
        <v>45</v>
      </c>
      <c r="T26" s="30">
        <v>2.6048026048026052E-4</v>
      </c>
      <c r="U26" s="27">
        <v>1.4855514855514855</v>
      </c>
      <c r="V26" s="27">
        <v>0.23402523402523401</v>
      </c>
      <c r="W26" s="30">
        <v>5.0579975579975577E-3</v>
      </c>
      <c r="X26" s="27">
        <v>2.8490028490028494</v>
      </c>
      <c r="Y26" s="27" t="s">
        <v>45</v>
      </c>
      <c r="Z26" s="27" t="s">
        <v>45</v>
      </c>
      <c r="AA26" s="27">
        <v>8.6284086284086285</v>
      </c>
      <c r="AB26" s="29">
        <v>9.1310541310541306E-3</v>
      </c>
      <c r="AC26" s="27">
        <v>6.6137566137566139</v>
      </c>
      <c r="AD26" s="27">
        <v>0.22385022385022385</v>
      </c>
      <c r="AE26" s="27" t="s">
        <v>45</v>
      </c>
      <c r="AF26" s="27" t="s">
        <v>45</v>
      </c>
      <c r="AG26" s="27">
        <v>5.5250305250305249</v>
      </c>
    </row>
    <row r="27" spans="1:33" x14ac:dyDescent="0.2">
      <c r="A27" s="1">
        <v>12</v>
      </c>
      <c r="B27" s="25" t="s">
        <v>60</v>
      </c>
      <c r="C27" s="26">
        <v>13.035780842340664</v>
      </c>
      <c r="D27" s="27">
        <v>8.386134923592993E-2</v>
      </c>
      <c r="E27" s="27" t="s">
        <v>45</v>
      </c>
      <c r="F27" s="27" t="s">
        <v>45</v>
      </c>
      <c r="G27" s="27" t="s">
        <v>45</v>
      </c>
      <c r="H27" s="26">
        <v>6.9241520685799487E-2</v>
      </c>
      <c r="I27" s="26">
        <v>0.2329481923220276</v>
      </c>
      <c r="J27" s="27" t="s">
        <v>45</v>
      </c>
      <c r="K27" s="27">
        <v>0.10249720462169214</v>
      </c>
      <c r="L27" s="27">
        <v>2.124487513976892</v>
      </c>
      <c r="M27" s="27">
        <v>3.9042117033171828</v>
      </c>
      <c r="N27" s="27">
        <v>5.324263883712263E-2</v>
      </c>
      <c r="O27" s="27" t="s">
        <v>45</v>
      </c>
      <c r="P27" s="27">
        <v>0.14908684308609765</v>
      </c>
      <c r="Q27" s="27">
        <v>1.2476705180767798E-2</v>
      </c>
      <c r="R27" s="27">
        <v>56.410734252702206</v>
      </c>
      <c r="S27" s="27" t="s">
        <v>45</v>
      </c>
      <c r="T27" s="30">
        <v>2.0033544539694372E-4</v>
      </c>
      <c r="U27" s="27">
        <v>3.7271710771524413E-2</v>
      </c>
      <c r="V27" s="27">
        <v>0.21431233693626536</v>
      </c>
      <c r="W27" s="30">
        <v>4.6310100633619091E-3</v>
      </c>
      <c r="X27" s="27">
        <v>1.2392843831531866</v>
      </c>
      <c r="Y27" s="27" t="s">
        <v>45</v>
      </c>
      <c r="Z27" s="27" t="s">
        <v>45</v>
      </c>
      <c r="AA27" s="27">
        <v>34.914275065225496</v>
      </c>
      <c r="AB27" s="29">
        <v>7.3080506895266493E-3</v>
      </c>
      <c r="AC27" s="27">
        <v>3.4196794632873653</v>
      </c>
      <c r="AD27" s="27">
        <v>1.071561684681327</v>
      </c>
      <c r="AE27" s="27" t="s">
        <v>45</v>
      </c>
      <c r="AF27" s="27" t="s">
        <v>45</v>
      </c>
      <c r="AG27" s="27">
        <v>3.5314945956019388</v>
      </c>
    </row>
    <row r="28" spans="1:33" x14ac:dyDescent="0.2">
      <c r="A28" s="1">
        <v>13</v>
      </c>
      <c r="B28" s="25" t="s">
        <v>61</v>
      </c>
      <c r="C28" s="26">
        <v>2.3767605633802815</v>
      </c>
      <c r="D28" s="27" t="s">
        <v>45</v>
      </c>
      <c r="E28" s="27" t="s">
        <v>45</v>
      </c>
      <c r="F28" s="27" t="s">
        <v>45</v>
      </c>
      <c r="G28" s="27" t="s">
        <v>45</v>
      </c>
      <c r="H28" s="26">
        <v>0.14799735915492959</v>
      </c>
      <c r="I28" s="26">
        <v>0.14304577464788731</v>
      </c>
      <c r="J28" s="27">
        <v>4.401408450704225E-2</v>
      </c>
      <c r="K28" s="27" t="s">
        <v>45</v>
      </c>
      <c r="L28" s="27">
        <v>1.2544014084507042</v>
      </c>
      <c r="M28" s="27">
        <v>7.42737676056338</v>
      </c>
      <c r="N28" s="27">
        <v>0.14106514084507044</v>
      </c>
      <c r="O28" s="27" t="s">
        <v>45</v>
      </c>
      <c r="P28" s="27">
        <v>0.11003521126760564</v>
      </c>
      <c r="Q28" s="27">
        <v>5.9231954225352115E-2</v>
      </c>
      <c r="R28" s="27">
        <v>66.47227112676056</v>
      </c>
      <c r="S28" s="27" t="s">
        <v>45</v>
      </c>
      <c r="T28" s="30">
        <v>1.485475352112676E-4</v>
      </c>
      <c r="U28" s="27">
        <v>0.56117957746478875</v>
      </c>
      <c r="V28" s="27">
        <v>0.11003521126760564</v>
      </c>
      <c r="W28" s="30">
        <v>2.9852552816901404E-3</v>
      </c>
      <c r="X28" s="27">
        <v>5.919894366197183</v>
      </c>
      <c r="Y28" s="27" t="s">
        <v>45</v>
      </c>
      <c r="Z28" s="27" t="s">
        <v>45</v>
      </c>
      <c r="AA28" s="27">
        <v>10.002200704225352</v>
      </c>
      <c r="AB28" s="29">
        <v>1.0768045774647888E-2</v>
      </c>
      <c r="AC28" s="27">
        <v>14.491637323943664</v>
      </c>
      <c r="AD28" s="27">
        <v>1.4304577464788732</v>
      </c>
      <c r="AE28" s="27" t="s">
        <v>45</v>
      </c>
      <c r="AF28" s="27" t="s">
        <v>45</v>
      </c>
      <c r="AG28" s="27">
        <v>3.873239436619718</v>
      </c>
    </row>
    <row r="29" spans="1:33" x14ac:dyDescent="0.2">
      <c r="A29" s="1">
        <v>14</v>
      </c>
      <c r="B29" s="25" t="s">
        <v>62</v>
      </c>
      <c r="C29" s="26">
        <v>36.551865518655184</v>
      </c>
      <c r="D29" s="27" t="s">
        <v>45</v>
      </c>
      <c r="E29" s="27" t="s">
        <v>45</v>
      </c>
      <c r="F29" s="27" t="s">
        <v>45</v>
      </c>
      <c r="G29" s="27" t="s">
        <v>45</v>
      </c>
      <c r="H29" s="26">
        <v>6.8245182451824524E-2</v>
      </c>
      <c r="I29" s="26">
        <v>0.15375153751537515</v>
      </c>
      <c r="J29" s="27" t="s">
        <v>45</v>
      </c>
      <c r="K29" s="27">
        <v>7.1750717507175057E-2</v>
      </c>
      <c r="L29" s="27">
        <v>0.7585075850758507</v>
      </c>
      <c r="M29" s="27">
        <v>3.5465354653546535</v>
      </c>
      <c r="N29" s="27">
        <v>6.7876178761787614E-2</v>
      </c>
      <c r="O29" s="27" t="s">
        <v>45</v>
      </c>
      <c r="P29" s="27">
        <v>0.18450184501845018</v>
      </c>
      <c r="Q29" s="27">
        <v>1.8542435424354242E-2</v>
      </c>
      <c r="R29" s="27">
        <v>31.693316933169328</v>
      </c>
      <c r="S29" s="27" t="s">
        <v>45</v>
      </c>
      <c r="T29" s="30">
        <v>6.0578105781057816E-4</v>
      </c>
      <c r="U29" s="27">
        <v>4.1000410004100041E-2</v>
      </c>
      <c r="V29" s="27">
        <v>0.70725707257072568</v>
      </c>
      <c r="W29" s="30">
        <v>8.2615826158261593E-4</v>
      </c>
      <c r="X29" s="27">
        <v>1.1480114801148009</v>
      </c>
      <c r="Y29" s="27" t="s">
        <v>45</v>
      </c>
      <c r="Z29" s="27" t="s">
        <v>45</v>
      </c>
      <c r="AA29" s="27">
        <v>4.0077900779007791</v>
      </c>
      <c r="AB29" s="29">
        <v>5.3690036900369007E-3</v>
      </c>
      <c r="AC29" s="27">
        <v>3.843788437884379</v>
      </c>
      <c r="AD29" s="27">
        <v>0.95325953259532592</v>
      </c>
      <c r="AE29" s="27" t="s">
        <v>45</v>
      </c>
      <c r="AF29" s="27" t="s">
        <v>45</v>
      </c>
      <c r="AG29" s="27">
        <v>5.0635506355063544</v>
      </c>
    </row>
    <row r="30" spans="1:33" x14ac:dyDescent="0.2">
      <c r="A30" s="1">
        <v>15</v>
      </c>
      <c r="B30" s="25" t="s">
        <v>63</v>
      </c>
      <c r="C30" s="26">
        <v>30.031446540880502</v>
      </c>
      <c r="D30" s="27">
        <v>4.1928721174004195E-2</v>
      </c>
      <c r="E30" s="27" t="s">
        <v>45</v>
      </c>
      <c r="F30" s="27" t="s">
        <v>45</v>
      </c>
      <c r="G30" s="27" t="s">
        <v>45</v>
      </c>
      <c r="H30" s="26">
        <v>4.4633123689727466E-2</v>
      </c>
      <c r="I30" s="26">
        <v>7.337526205450734E-2</v>
      </c>
      <c r="J30" s="27">
        <v>1.0482180293501049E-2</v>
      </c>
      <c r="K30" s="27">
        <v>6.2893081761006289E-2</v>
      </c>
      <c r="L30" s="27">
        <v>0.97484276729559749</v>
      </c>
      <c r="M30" s="27">
        <v>11.299790356394132</v>
      </c>
      <c r="N30" s="27">
        <v>8.4119496855345921E-2</v>
      </c>
      <c r="O30" s="27" t="s">
        <v>45</v>
      </c>
      <c r="P30" s="27">
        <v>0.14675052410901468</v>
      </c>
      <c r="Q30" s="27">
        <v>1.1446540880503146E-2</v>
      </c>
      <c r="R30" s="27">
        <v>20.691823899371069</v>
      </c>
      <c r="S30" s="27" t="s">
        <v>45</v>
      </c>
      <c r="T30" s="30">
        <v>3.9203354297693925E-4</v>
      </c>
      <c r="U30" s="27">
        <v>2.0964360587002098E-2</v>
      </c>
      <c r="V30" s="27">
        <v>0.17819706498951782</v>
      </c>
      <c r="W30" s="30">
        <v>1.2494758909853251E-3</v>
      </c>
      <c r="X30" s="27">
        <v>1.4150943396226416</v>
      </c>
      <c r="Y30" s="27" t="s">
        <v>45</v>
      </c>
      <c r="Z30" s="27" t="s">
        <v>45</v>
      </c>
      <c r="AA30" s="27">
        <v>164.25576519916143</v>
      </c>
      <c r="AB30" s="29">
        <v>5.9423480083857444E-3</v>
      </c>
      <c r="AC30" s="27">
        <v>3.5744234800838575</v>
      </c>
      <c r="AD30" s="27">
        <v>3.8888888888888888</v>
      </c>
      <c r="AE30" s="27" t="s">
        <v>45</v>
      </c>
      <c r="AF30" s="27" t="s">
        <v>45</v>
      </c>
      <c r="AG30" s="27">
        <v>2.3899371069182394</v>
      </c>
    </row>
    <row r="31" spans="1:33" x14ac:dyDescent="0.2">
      <c r="A31" s="1">
        <v>16</v>
      </c>
      <c r="B31" s="25" t="s">
        <v>64</v>
      </c>
      <c r="C31" s="26">
        <v>19.031311154598825</v>
      </c>
      <c r="D31" s="27">
        <v>6.1154598825831699E-2</v>
      </c>
      <c r="E31" s="27" t="s">
        <v>45</v>
      </c>
      <c r="F31" s="27" t="s">
        <v>45</v>
      </c>
      <c r="G31" s="27" t="s">
        <v>45</v>
      </c>
      <c r="H31" s="26">
        <v>6.7159980430528371E-2</v>
      </c>
      <c r="I31" s="26">
        <v>2.4461839530332683E-2</v>
      </c>
      <c r="J31" s="27">
        <v>1.2230919765166342E-2</v>
      </c>
      <c r="K31" s="27">
        <v>0.19569471624266147</v>
      </c>
      <c r="L31" s="27">
        <v>0.66046966731898249</v>
      </c>
      <c r="M31" s="27">
        <v>5.6751467710371815</v>
      </c>
      <c r="N31" s="27">
        <v>0.22407045009784737</v>
      </c>
      <c r="O31" s="27" t="s">
        <v>45</v>
      </c>
      <c r="P31" s="27">
        <v>0.25684931506849312</v>
      </c>
      <c r="Q31" s="27">
        <v>1.1150929549902154E-2</v>
      </c>
      <c r="R31" s="27">
        <v>53.938356164383563</v>
      </c>
      <c r="S31" s="27" t="s">
        <v>45</v>
      </c>
      <c r="T31" s="30">
        <v>1.7918297455968687E-3</v>
      </c>
      <c r="U31" s="27">
        <v>0.66046966731898249</v>
      </c>
      <c r="V31" s="27">
        <v>0.33023483365949124</v>
      </c>
      <c r="W31" s="30">
        <v>1.319716242661448E-2</v>
      </c>
      <c r="X31" s="27">
        <v>5.3938356164383565</v>
      </c>
      <c r="Y31" s="27" t="s">
        <v>45</v>
      </c>
      <c r="Z31" s="27" t="s">
        <v>45</v>
      </c>
      <c r="AA31" s="27">
        <v>16.450587084148729</v>
      </c>
      <c r="AB31" s="29">
        <v>9.6832191780821929E-3</v>
      </c>
      <c r="AC31" s="27">
        <v>4.5865949119373779</v>
      </c>
      <c r="AD31" s="27">
        <v>0.51369863013698625</v>
      </c>
      <c r="AE31" s="27" t="s">
        <v>45</v>
      </c>
      <c r="AF31" s="27" t="s">
        <v>45</v>
      </c>
      <c r="AG31" s="27">
        <v>3.1311154598825834</v>
      </c>
    </row>
    <row r="32" spans="1:33" x14ac:dyDescent="0.2">
      <c r="A32" s="1">
        <v>17</v>
      </c>
      <c r="B32" s="25" t="s">
        <v>65</v>
      </c>
      <c r="C32" s="26">
        <v>17.188088955898987</v>
      </c>
      <c r="D32" s="27" t="s">
        <v>45</v>
      </c>
      <c r="E32" s="27" t="s">
        <v>45</v>
      </c>
      <c r="F32" s="27" t="s">
        <v>45</v>
      </c>
      <c r="G32" s="27" t="s">
        <v>45</v>
      </c>
      <c r="H32" s="26">
        <v>0.32632868450810409</v>
      </c>
      <c r="I32" s="26">
        <v>8.4809649453448932E-2</v>
      </c>
      <c r="J32" s="27">
        <v>5.6539766302299288E-2</v>
      </c>
      <c r="K32" s="27">
        <v>9.4232943837165489E-2</v>
      </c>
      <c r="L32" s="27">
        <v>2.7327553712777992</v>
      </c>
      <c r="M32" s="27">
        <v>11.826234451564268</v>
      </c>
      <c r="N32" s="27">
        <v>8.9342254052016595E-2</v>
      </c>
      <c r="O32" s="27" t="s">
        <v>45</v>
      </c>
      <c r="P32" s="27">
        <v>0.13192612137203166</v>
      </c>
      <c r="Q32" s="27">
        <v>2.4302676215604981E-2</v>
      </c>
      <c r="R32" s="27">
        <v>92.857142857142875</v>
      </c>
      <c r="S32" s="27" t="s">
        <v>45</v>
      </c>
      <c r="T32" s="30">
        <v>3.364116094986808E-4</v>
      </c>
      <c r="U32" s="27">
        <v>0.74444025631360733</v>
      </c>
      <c r="V32" s="27">
        <v>0.94232943837165484</v>
      </c>
      <c r="W32" s="30">
        <v>2.4010554089709767E-2</v>
      </c>
      <c r="X32" s="27">
        <v>2.3464003015454202</v>
      </c>
      <c r="Y32" s="27" t="s">
        <v>45</v>
      </c>
      <c r="Z32" s="27" t="s">
        <v>45</v>
      </c>
      <c r="AA32" s="27">
        <v>491.80173388616663</v>
      </c>
      <c r="AB32" s="29">
        <v>2.0147003392385978E-2</v>
      </c>
      <c r="AC32" s="27">
        <v>20.768940821711276</v>
      </c>
      <c r="AD32" s="27">
        <v>0.61251413494157569</v>
      </c>
      <c r="AE32" s="27" t="s">
        <v>45</v>
      </c>
      <c r="AF32" s="27" t="s">
        <v>45</v>
      </c>
      <c r="AG32" s="27">
        <v>10.83678854127403</v>
      </c>
    </row>
    <row r="33" spans="1:33" x14ac:dyDescent="0.2">
      <c r="A33" s="1">
        <v>18</v>
      </c>
      <c r="B33" s="25" t="s">
        <v>66</v>
      </c>
      <c r="C33" s="26">
        <v>76.026970954356855</v>
      </c>
      <c r="D33" s="27" t="s">
        <v>45</v>
      </c>
      <c r="E33" s="27" t="s">
        <v>45</v>
      </c>
      <c r="F33" s="27" t="s">
        <v>45</v>
      </c>
      <c r="G33" s="27" t="s">
        <v>45</v>
      </c>
      <c r="H33" s="26">
        <v>0.21431535269709545</v>
      </c>
      <c r="I33" s="26">
        <v>0.549792531120332</v>
      </c>
      <c r="J33" s="27" t="s">
        <v>45</v>
      </c>
      <c r="K33" s="27">
        <v>0.36307053941908718</v>
      </c>
      <c r="L33" s="27">
        <v>2.7074688796680504</v>
      </c>
      <c r="M33" s="27">
        <v>18.195020746887966</v>
      </c>
      <c r="N33" s="27">
        <v>0.11493775933609959</v>
      </c>
      <c r="O33" s="27" t="s">
        <v>45</v>
      </c>
      <c r="P33" s="27">
        <v>0.16597510373443985</v>
      </c>
      <c r="Q33" s="27">
        <v>2.9398340248962658E-2</v>
      </c>
      <c r="R33" s="27">
        <v>132.05394190871368</v>
      </c>
      <c r="S33" s="27" t="s">
        <v>45</v>
      </c>
      <c r="T33" s="30">
        <v>2.655601659751038E-4</v>
      </c>
      <c r="U33" s="27">
        <v>0.41493775933609961</v>
      </c>
      <c r="V33" s="27">
        <v>0.9024896265560165</v>
      </c>
      <c r="W33" s="30">
        <v>1.8858921161825727E-2</v>
      </c>
      <c r="X33" s="27">
        <v>2.5207468879668049</v>
      </c>
      <c r="Y33" s="27" t="s">
        <v>45</v>
      </c>
      <c r="Z33" s="27" t="s">
        <v>45</v>
      </c>
      <c r="AA33" s="27">
        <v>41.172199170124479</v>
      </c>
      <c r="AB33" s="29">
        <v>1.5684647302904565E-2</v>
      </c>
      <c r="AC33" s="27">
        <v>9.1597510373443995</v>
      </c>
      <c r="AD33" s="27">
        <v>1.1929460580912863</v>
      </c>
      <c r="AE33" s="27" t="s">
        <v>45</v>
      </c>
      <c r="AF33" s="27" t="s">
        <v>45</v>
      </c>
      <c r="AG33" s="27">
        <v>18.37136929460581</v>
      </c>
    </row>
    <row r="34" spans="1:33" x14ac:dyDescent="0.2">
      <c r="A34" s="1">
        <v>19</v>
      </c>
      <c r="B34" s="25" t="s">
        <v>67</v>
      </c>
      <c r="C34" s="26">
        <v>6.2980030721966207</v>
      </c>
      <c r="D34" s="27">
        <v>0.14400921658986174</v>
      </c>
      <c r="E34" s="27" t="s">
        <v>45</v>
      </c>
      <c r="F34" s="27" t="s">
        <v>45</v>
      </c>
      <c r="G34" s="27" t="s">
        <v>45</v>
      </c>
      <c r="H34" s="26">
        <v>0.36866359447004604</v>
      </c>
      <c r="I34" s="26">
        <v>5.7603686635944694E-2</v>
      </c>
      <c r="J34" s="27">
        <v>2.8801843317972347E-2</v>
      </c>
      <c r="K34" s="27">
        <v>0.11520737327188939</v>
      </c>
      <c r="L34" s="27">
        <v>1.161674347158218</v>
      </c>
      <c r="M34" s="27">
        <v>117.60752688172043</v>
      </c>
      <c r="N34" s="27">
        <v>9.88863287250384E-2</v>
      </c>
      <c r="O34" s="27" t="s">
        <v>45</v>
      </c>
      <c r="P34" s="27">
        <v>0.28801843317972348</v>
      </c>
      <c r="Q34" s="27">
        <v>6.7233102918586793E-2</v>
      </c>
      <c r="R34" s="27">
        <v>128.45622119815667</v>
      </c>
      <c r="S34" s="27" t="s">
        <v>45</v>
      </c>
      <c r="T34" s="30">
        <v>1.3124039938556065E-3</v>
      </c>
      <c r="U34" s="27">
        <v>1.2288786482334868</v>
      </c>
      <c r="V34" s="27">
        <v>0.1344086021505376</v>
      </c>
      <c r="W34" s="30">
        <v>1.0032642089093701E-2</v>
      </c>
      <c r="X34" s="27">
        <v>2.9857910906298</v>
      </c>
      <c r="Y34" s="27" t="s">
        <v>45</v>
      </c>
      <c r="Z34" s="27" t="s">
        <v>45</v>
      </c>
      <c r="AA34" s="27">
        <v>17.473118279569892</v>
      </c>
      <c r="AB34" s="29">
        <v>1.3172043010752688E-2</v>
      </c>
      <c r="AC34" s="27">
        <v>15.97542242703533</v>
      </c>
      <c r="AD34" s="27">
        <v>0.63364055299539168</v>
      </c>
      <c r="AE34" s="27">
        <v>2.956989247311828</v>
      </c>
      <c r="AF34" s="27" t="s">
        <v>45</v>
      </c>
      <c r="AG34" s="27">
        <v>4.9155145929339472</v>
      </c>
    </row>
    <row r="35" spans="1:33" x14ac:dyDescent="0.2">
      <c r="A35" s="1">
        <v>20</v>
      </c>
      <c r="B35" s="25" t="s">
        <v>68</v>
      </c>
      <c r="C35" s="26">
        <v>11.153358681875792</v>
      </c>
      <c r="D35" s="27" t="s">
        <v>45</v>
      </c>
      <c r="E35" s="27" t="s">
        <v>45</v>
      </c>
      <c r="F35" s="27" t="s">
        <v>45</v>
      </c>
      <c r="G35" s="27" t="s">
        <v>45</v>
      </c>
      <c r="H35" s="26">
        <v>0.17300380228136883</v>
      </c>
      <c r="I35" s="26">
        <v>4.2247570764681032E-2</v>
      </c>
      <c r="J35" s="27" t="s">
        <v>45</v>
      </c>
      <c r="K35" s="27">
        <v>3.1685678073510776E-2</v>
      </c>
      <c r="L35" s="27">
        <v>0.90832277144064222</v>
      </c>
      <c r="M35" s="27">
        <v>8.0587241233629072</v>
      </c>
      <c r="N35" s="27">
        <v>5.8291085762568653E-2</v>
      </c>
      <c r="O35" s="27" t="s">
        <v>45</v>
      </c>
      <c r="P35" s="27">
        <v>0.15842839036755385</v>
      </c>
      <c r="Q35" s="27">
        <v>3.301647655259822E-2</v>
      </c>
      <c r="R35" s="27">
        <v>64.733840304182507</v>
      </c>
      <c r="S35" s="27" t="s">
        <v>45</v>
      </c>
      <c r="T35" s="30">
        <v>1.9011406844106463E-4</v>
      </c>
      <c r="U35" s="27">
        <v>0.60202788339670477</v>
      </c>
      <c r="V35" s="27">
        <v>0.17955217574989438</v>
      </c>
      <c r="W35" s="30">
        <v>4.420152091254753E-3</v>
      </c>
      <c r="X35" s="27">
        <v>1.6793409378960711</v>
      </c>
      <c r="Y35" s="27" t="s">
        <v>45</v>
      </c>
      <c r="Z35" s="27" t="s">
        <v>45</v>
      </c>
      <c r="AA35" s="27">
        <v>63.45585128855091</v>
      </c>
      <c r="AB35" s="29">
        <v>9.4370511195606254E-3</v>
      </c>
      <c r="AC35" s="27">
        <v>8.8614279678918475</v>
      </c>
      <c r="AD35" s="27">
        <v>0.82382762991128</v>
      </c>
      <c r="AE35" s="27" t="s">
        <v>45</v>
      </c>
      <c r="AF35" s="27" t="s">
        <v>45</v>
      </c>
      <c r="AG35" s="27">
        <v>2.4926066751161806</v>
      </c>
    </row>
    <row r="36" spans="1:33" x14ac:dyDescent="0.2">
      <c r="A36" s="1">
        <v>21</v>
      </c>
      <c r="B36" s="25" t="s">
        <v>69</v>
      </c>
      <c r="C36" s="26">
        <v>10.458958517210945</v>
      </c>
      <c r="D36" s="27">
        <v>6.6195939982347754E-2</v>
      </c>
      <c r="E36" s="27" t="s">
        <v>45</v>
      </c>
      <c r="F36" s="27" t="s">
        <v>45</v>
      </c>
      <c r="G36" s="27" t="s">
        <v>45</v>
      </c>
      <c r="H36" s="26">
        <v>0.22032215357458074</v>
      </c>
      <c r="I36" s="26">
        <v>0.19858781994704325</v>
      </c>
      <c r="J36" s="27">
        <v>0.29788172992056489</v>
      </c>
      <c r="K36" s="27">
        <v>0.17652250661959401</v>
      </c>
      <c r="L36" s="27">
        <v>2.3499558693733449</v>
      </c>
      <c r="M36" s="27">
        <v>20.531774051191526</v>
      </c>
      <c r="N36" s="27">
        <v>2.9446160635481028E-2</v>
      </c>
      <c r="O36" s="27" t="s">
        <v>45</v>
      </c>
      <c r="P36" s="27">
        <v>0.22065313327449251</v>
      </c>
      <c r="Q36" s="27">
        <v>2.3565898740000001E-2</v>
      </c>
      <c r="R36" s="27">
        <v>92.740511915269195</v>
      </c>
      <c r="S36" s="27" t="s">
        <v>45</v>
      </c>
      <c r="T36" s="30">
        <v>3.4090909090909094E-4</v>
      </c>
      <c r="U36" s="27">
        <v>1.7652250661959401</v>
      </c>
      <c r="V36" s="27">
        <v>0.35304501323918802</v>
      </c>
      <c r="W36" s="30">
        <v>8.4344660194174761E-3</v>
      </c>
      <c r="X36" s="27">
        <v>2.1844660194174761</v>
      </c>
      <c r="Y36" s="27" t="s">
        <v>45</v>
      </c>
      <c r="Z36" s="27" t="s">
        <v>45</v>
      </c>
      <c r="AA36" s="27">
        <v>34.521182700794355</v>
      </c>
      <c r="AB36" s="29">
        <v>2.4646954986760811E-2</v>
      </c>
      <c r="AC36" s="27">
        <v>9.0688437775816411</v>
      </c>
      <c r="AD36" s="27">
        <v>1.2577228596646075</v>
      </c>
      <c r="AE36" s="27">
        <v>5.0970873786407767</v>
      </c>
      <c r="AF36" s="27" t="s">
        <v>45</v>
      </c>
      <c r="AG36" s="27">
        <v>4.5564872021182712</v>
      </c>
    </row>
    <row r="37" spans="1:33" x14ac:dyDescent="0.2">
      <c r="A37" s="1">
        <v>22</v>
      </c>
      <c r="B37" s="25" t="s">
        <v>70</v>
      </c>
      <c r="C37" s="26">
        <v>47.104105571847512</v>
      </c>
      <c r="D37" s="27" t="s">
        <v>45</v>
      </c>
      <c r="E37" s="27" t="s">
        <v>45</v>
      </c>
      <c r="F37" s="27" t="s">
        <v>45</v>
      </c>
      <c r="G37" s="27" t="s">
        <v>45</v>
      </c>
      <c r="H37" s="26">
        <v>6.8572825024437928E-2</v>
      </c>
      <c r="I37" s="26">
        <v>3.6656891495601168E-2</v>
      </c>
      <c r="J37" s="27" t="s">
        <v>45</v>
      </c>
      <c r="K37" s="27">
        <v>0.29325513196480935</v>
      </c>
      <c r="L37" s="27">
        <v>1.1363636363636362</v>
      </c>
      <c r="M37" s="27">
        <v>34.775171065493645</v>
      </c>
      <c r="N37" s="27">
        <v>0.26344086021505375</v>
      </c>
      <c r="O37" s="27" t="s">
        <v>45</v>
      </c>
      <c r="P37" s="27">
        <v>0.23216031280547408</v>
      </c>
      <c r="Q37" s="27">
        <v>1.8242913000977516E-2</v>
      </c>
      <c r="R37" s="27">
        <v>18.902737047898338</v>
      </c>
      <c r="S37" s="27" t="s">
        <v>45</v>
      </c>
      <c r="T37" s="30">
        <v>2.1871945259042031E-4</v>
      </c>
      <c r="U37" s="27">
        <v>0.10997067448680352</v>
      </c>
      <c r="V37" s="27">
        <v>0.34213098729227759</v>
      </c>
      <c r="W37" s="30">
        <v>1.6092375366568918E-3</v>
      </c>
      <c r="X37" s="27">
        <v>7.1480938416422291</v>
      </c>
      <c r="Y37" s="27" t="s">
        <v>45</v>
      </c>
      <c r="Z37" s="27" t="s">
        <v>45</v>
      </c>
      <c r="AA37" s="27">
        <v>75</v>
      </c>
      <c r="AB37" s="29">
        <v>4.8130498533724333E-3</v>
      </c>
      <c r="AC37" s="27">
        <v>3.6656891495601172</v>
      </c>
      <c r="AD37" s="27">
        <v>4.3377321603128047</v>
      </c>
      <c r="AE37" s="27" t="s">
        <v>45</v>
      </c>
      <c r="AF37" s="27" t="s">
        <v>45</v>
      </c>
      <c r="AG37" s="27">
        <v>3.2502443792766371</v>
      </c>
    </row>
    <row r="38" spans="1:33" x14ac:dyDescent="0.2">
      <c r="A38" s="1">
        <v>23</v>
      </c>
      <c r="B38" s="25" t="s">
        <v>71</v>
      </c>
      <c r="C38" s="26">
        <v>3.4872488408037094</v>
      </c>
      <c r="D38" s="27" t="s">
        <v>45</v>
      </c>
      <c r="E38" s="27" t="s">
        <v>45</v>
      </c>
      <c r="F38" s="27" t="s">
        <v>45</v>
      </c>
      <c r="G38" s="27" t="s">
        <v>45</v>
      </c>
      <c r="H38" s="26">
        <v>4.4783616692426594E-2</v>
      </c>
      <c r="I38" s="26">
        <v>5.7959814528593515E-2</v>
      </c>
      <c r="J38" s="27">
        <v>4.82998454404946E-2</v>
      </c>
      <c r="K38" s="27">
        <v>0.11591962905718703</v>
      </c>
      <c r="L38" s="27">
        <v>0.88871715610510049</v>
      </c>
      <c r="M38" s="27">
        <v>6.6846986089644522</v>
      </c>
      <c r="N38" s="27">
        <v>6.3475656877897996E-2</v>
      </c>
      <c r="O38" s="27" t="s">
        <v>45</v>
      </c>
      <c r="P38" s="27">
        <v>0.20285935085007728</v>
      </c>
      <c r="Q38" s="27">
        <v>8.5625965996908825E-3</v>
      </c>
      <c r="R38" s="27">
        <v>18.151081916537873</v>
      </c>
      <c r="S38" s="27" t="s">
        <v>45</v>
      </c>
      <c r="T38" s="30">
        <v>5.1777434312210205E-4</v>
      </c>
      <c r="U38" s="27">
        <v>9.6599690880989197E-3</v>
      </c>
      <c r="V38" s="27">
        <v>1.9319938176197839E-2</v>
      </c>
      <c r="W38" s="30">
        <v>7.5830757341576512E-4</v>
      </c>
      <c r="X38" s="27">
        <v>1.4103554868624422</v>
      </c>
      <c r="Y38" s="27" t="s">
        <v>45</v>
      </c>
      <c r="Z38" s="27" t="s">
        <v>45</v>
      </c>
      <c r="AA38" s="27">
        <v>3.6224884080370945</v>
      </c>
      <c r="AB38" s="29">
        <v>4.2445904173106655E-3</v>
      </c>
      <c r="AC38" s="27">
        <v>2.5598918083462134</v>
      </c>
      <c r="AD38" s="27">
        <v>1.6518547140649151</v>
      </c>
      <c r="AE38" s="27" t="s">
        <v>45</v>
      </c>
      <c r="AF38" s="27" t="s">
        <v>45</v>
      </c>
      <c r="AG38" s="27">
        <v>3.313369397217929</v>
      </c>
    </row>
    <row r="39" spans="1:33" x14ac:dyDescent="0.2">
      <c r="A39" s="1">
        <v>24</v>
      </c>
      <c r="B39" s="25" t="s">
        <v>72</v>
      </c>
      <c r="C39" s="26">
        <v>34.869953416149066</v>
      </c>
      <c r="D39" s="27" t="s">
        <v>45</v>
      </c>
      <c r="E39" s="27" t="s">
        <v>45</v>
      </c>
      <c r="F39" s="27" t="s">
        <v>45</v>
      </c>
      <c r="G39" s="27" t="s">
        <v>45</v>
      </c>
      <c r="H39" s="26">
        <v>0.49776785714285715</v>
      </c>
      <c r="I39" s="26">
        <v>6.7934782608695649E-2</v>
      </c>
      <c r="J39" s="27">
        <v>4.8524844720496896E-2</v>
      </c>
      <c r="K39" s="27">
        <v>0.31055900621118016</v>
      </c>
      <c r="L39" s="27">
        <v>2.7368012422360248</v>
      </c>
      <c r="M39" s="27">
        <v>20.652173913043477</v>
      </c>
      <c r="N39" s="27">
        <v>4.0925854037267083E-2</v>
      </c>
      <c r="O39" s="27" t="s">
        <v>45</v>
      </c>
      <c r="P39" s="27">
        <v>0.14557453416149069</v>
      </c>
      <c r="Q39" s="27">
        <v>2.9473990683229815E-2</v>
      </c>
      <c r="R39" s="27">
        <v>129.75543478260869</v>
      </c>
      <c r="S39" s="27" t="s">
        <v>45</v>
      </c>
      <c r="T39" s="30">
        <v>2.2234083850931679E-3</v>
      </c>
      <c r="U39" s="27">
        <v>0.51436335403726707</v>
      </c>
      <c r="V39" s="27">
        <v>1.25194099378882</v>
      </c>
      <c r="W39" s="30">
        <v>1.2121506211180126E-2</v>
      </c>
      <c r="X39" s="27">
        <v>0.77639751552795033</v>
      </c>
      <c r="Y39" s="27" t="s">
        <v>45</v>
      </c>
      <c r="Z39" s="27" t="s">
        <v>45</v>
      </c>
      <c r="AA39" s="27">
        <v>326.28105590062114</v>
      </c>
      <c r="AB39" s="29">
        <v>2.2350543478260869E-2</v>
      </c>
      <c r="AC39" s="27">
        <v>35.636645962732928</v>
      </c>
      <c r="AD39" s="27">
        <v>1.5139751552795029</v>
      </c>
      <c r="AE39" s="27" t="s">
        <v>45</v>
      </c>
      <c r="AF39" s="27" t="s">
        <v>45</v>
      </c>
      <c r="AG39" s="27">
        <v>10.869565217391306</v>
      </c>
    </row>
    <row r="40" spans="1:33" x14ac:dyDescent="0.2">
      <c r="A40" s="1">
        <v>25</v>
      </c>
      <c r="B40" s="25" t="s">
        <v>73</v>
      </c>
      <c r="C40" s="26">
        <v>1.8974700399467377</v>
      </c>
      <c r="D40" s="27">
        <v>0.13315579227696403</v>
      </c>
      <c r="E40" s="27" t="s">
        <v>45</v>
      </c>
      <c r="F40" s="27" t="s">
        <v>45</v>
      </c>
      <c r="G40" s="27" t="s">
        <v>45</v>
      </c>
      <c r="H40" s="26">
        <v>0.1222814025743453</v>
      </c>
      <c r="I40" s="26">
        <v>0.19973368841544606</v>
      </c>
      <c r="J40" s="27">
        <v>0.12205947625388371</v>
      </c>
      <c r="K40" s="27">
        <v>2.2192632046160676E-2</v>
      </c>
      <c r="L40" s="27">
        <v>0.98757212605415001</v>
      </c>
      <c r="M40" s="27">
        <v>6.458055925432757</v>
      </c>
      <c r="N40" s="27">
        <v>0.10788948069241013</v>
      </c>
      <c r="O40" s="27" t="s">
        <v>45</v>
      </c>
      <c r="P40" s="27">
        <v>0.13315579227696403</v>
      </c>
      <c r="Q40" s="27">
        <v>3.3388814913448736E-2</v>
      </c>
      <c r="R40" s="27">
        <v>153.01819795827785</v>
      </c>
      <c r="S40" s="27" t="s">
        <v>45</v>
      </c>
      <c r="T40" s="30" t="s">
        <v>45</v>
      </c>
      <c r="U40" s="27">
        <v>0.83222370173102533</v>
      </c>
      <c r="V40" s="27">
        <v>0.16644474034620504</v>
      </c>
      <c r="W40" s="30">
        <v>7.6165113182423442E-3</v>
      </c>
      <c r="X40" s="27">
        <v>3.6506879715934311</v>
      </c>
      <c r="Y40" s="27" t="s">
        <v>45</v>
      </c>
      <c r="Z40" s="27" t="s">
        <v>45</v>
      </c>
      <c r="AA40" s="27">
        <v>8.3444296493564138</v>
      </c>
      <c r="AB40" s="29">
        <v>1.1140701287172658E-2</v>
      </c>
      <c r="AC40" s="27">
        <v>7.6009764758100316</v>
      </c>
      <c r="AD40" s="27">
        <v>0.47714158899245451</v>
      </c>
      <c r="AE40" s="27" t="s">
        <v>45</v>
      </c>
      <c r="AF40" s="27" t="s">
        <v>45</v>
      </c>
      <c r="AG40" s="27">
        <v>3.6617842876165114</v>
      </c>
    </row>
    <row r="41" spans="1:33" x14ac:dyDescent="0.2">
      <c r="A41" s="1">
        <v>26</v>
      </c>
      <c r="B41" s="25" t="s">
        <v>74</v>
      </c>
      <c r="C41" s="26">
        <v>12.842801175318314</v>
      </c>
      <c r="D41" s="27" t="s">
        <v>45</v>
      </c>
      <c r="E41" s="27" t="s">
        <v>45</v>
      </c>
      <c r="F41" s="27" t="s">
        <v>45</v>
      </c>
      <c r="G41" s="27" t="s">
        <v>45</v>
      </c>
      <c r="H41" s="26">
        <v>9.4637610186092083E-2</v>
      </c>
      <c r="I41" s="26">
        <v>7.3457394711067575E-2</v>
      </c>
      <c r="J41" s="27">
        <v>8.5700293829578833E-2</v>
      </c>
      <c r="K41" s="27">
        <v>0.33055827619980416</v>
      </c>
      <c r="L41" s="27">
        <v>1.444662095984329</v>
      </c>
      <c r="M41" s="27">
        <v>18.217433888344761</v>
      </c>
      <c r="N41" s="27">
        <v>0.14569049951028404</v>
      </c>
      <c r="O41" s="27" t="s">
        <v>45</v>
      </c>
      <c r="P41" s="27">
        <v>0.28158667972575907</v>
      </c>
      <c r="Q41" s="27">
        <v>2.6738491674828602E-2</v>
      </c>
      <c r="R41" s="27">
        <v>62.487757100881488</v>
      </c>
      <c r="S41" s="27" t="s">
        <v>45</v>
      </c>
      <c r="T41" s="30">
        <v>7.4265426052889331E-3</v>
      </c>
      <c r="U41" s="27">
        <v>0.8202742409402547</v>
      </c>
      <c r="V41" s="27">
        <v>0.18364348677766895</v>
      </c>
      <c r="W41" s="30">
        <v>5.4113614103819792E-3</v>
      </c>
      <c r="X41" s="27">
        <v>4.9951028403525957</v>
      </c>
      <c r="Y41" s="27" t="s">
        <v>45</v>
      </c>
      <c r="Z41" s="27" t="s">
        <v>45</v>
      </c>
      <c r="AA41" s="27">
        <v>19.931439764936339</v>
      </c>
      <c r="AB41" s="29">
        <v>1.0568070519098922E-2</v>
      </c>
      <c r="AC41" s="27">
        <v>7.2233104799216452</v>
      </c>
      <c r="AD41" s="27">
        <v>4.4809010773751226</v>
      </c>
      <c r="AE41" s="27" t="s">
        <v>45</v>
      </c>
      <c r="AF41" s="27" t="s">
        <v>45</v>
      </c>
      <c r="AG41" s="27">
        <v>3.3055827619980414</v>
      </c>
    </row>
    <row r="42" spans="1:33" x14ac:dyDescent="0.2">
      <c r="A42" s="1">
        <v>27</v>
      </c>
      <c r="B42" s="25" t="s">
        <v>75</v>
      </c>
      <c r="C42" s="26">
        <v>27.463440111420613</v>
      </c>
      <c r="D42" s="27">
        <v>4.3523676880222843E-2</v>
      </c>
      <c r="E42" s="27" t="s">
        <v>45</v>
      </c>
      <c r="F42" s="27" t="s">
        <v>45</v>
      </c>
      <c r="G42" s="27" t="s">
        <v>45</v>
      </c>
      <c r="H42" s="26">
        <v>0.1129874651810585</v>
      </c>
      <c r="I42" s="26">
        <v>0.1653899721448468</v>
      </c>
      <c r="J42" s="27" t="s">
        <v>45</v>
      </c>
      <c r="K42" s="27">
        <v>0.1915041782729805</v>
      </c>
      <c r="L42" s="27">
        <v>2.1587743732590527</v>
      </c>
      <c r="M42" s="27">
        <v>12.19533426183844</v>
      </c>
      <c r="N42" s="27">
        <v>6.3849233983286902E-2</v>
      </c>
      <c r="O42" s="27" t="s">
        <v>45</v>
      </c>
      <c r="P42" s="27">
        <v>0.1392757660167131</v>
      </c>
      <c r="Q42" s="27">
        <v>1.7740250696378829E-2</v>
      </c>
      <c r="R42" s="27">
        <v>73.911908077994426</v>
      </c>
      <c r="S42" s="27" t="s">
        <v>45</v>
      </c>
      <c r="T42" s="30">
        <v>3.6472841225626741E-4</v>
      </c>
      <c r="U42" s="27">
        <v>0.24373259052924787</v>
      </c>
      <c r="V42" s="27">
        <v>0.2785515320334262</v>
      </c>
      <c r="W42" s="30">
        <v>5.6841922005571033E-3</v>
      </c>
      <c r="X42" s="27">
        <v>0.86176880222841235</v>
      </c>
      <c r="Y42" s="27" t="s">
        <v>45</v>
      </c>
      <c r="Z42" s="27" t="s">
        <v>45</v>
      </c>
      <c r="AA42" s="27">
        <v>26.54073816155989</v>
      </c>
      <c r="AB42" s="29">
        <v>9.6709610027855154E-3</v>
      </c>
      <c r="AC42" s="27">
        <v>4.2305013927576596</v>
      </c>
      <c r="AD42" s="27">
        <v>0.84435933147632303</v>
      </c>
      <c r="AE42" s="27" t="s">
        <v>45</v>
      </c>
      <c r="AF42" s="27" t="s">
        <v>45</v>
      </c>
      <c r="AG42" s="27">
        <v>10.219359331476323</v>
      </c>
    </row>
    <row r="43" spans="1:33" x14ac:dyDescent="0.2">
      <c r="A43" s="1">
        <v>28</v>
      </c>
      <c r="B43" s="25" t="s">
        <v>76</v>
      </c>
      <c r="C43" s="26">
        <v>4.4871794871794872</v>
      </c>
      <c r="D43" s="27">
        <v>0.10508617065994116</v>
      </c>
      <c r="E43" s="27" t="s">
        <v>45</v>
      </c>
      <c r="F43" s="27" t="s">
        <v>45</v>
      </c>
      <c r="G43" s="27" t="s">
        <v>45</v>
      </c>
      <c r="H43" s="26">
        <v>0.10571668768390081</v>
      </c>
      <c r="I43" s="26">
        <v>0.10508617065994116</v>
      </c>
      <c r="J43" s="27" t="s">
        <v>45</v>
      </c>
      <c r="K43" s="27" t="s">
        <v>45</v>
      </c>
      <c r="L43" s="27">
        <v>1.1664564943253468</v>
      </c>
      <c r="M43" s="27">
        <v>3.3417402269861287</v>
      </c>
      <c r="N43" s="27">
        <v>8.5834384195039914E-2</v>
      </c>
      <c r="O43" s="27" t="s">
        <v>45</v>
      </c>
      <c r="P43" s="27">
        <v>0.16813787305590586</v>
      </c>
      <c r="Q43" s="27">
        <v>6.1664564943253473E-2</v>
      </c>
      <c r="R43" s="27">
        <v>40.500210172341319</v>
      </c>
      <c r="S43" s="27" t="s">
        <v>45</v>
      </c>
      <c r="T43" s="30">
        <v>1.0718789407313999E-4</v>
      </c>
      <c r="U43" s="27">
        <v>0.66204287515762927</v>
      </c>
      <c r="V43" s="27">
        <v>9.4577553593947039E-2</v>
      </c>
      <c r="W43" s="30">
        <v>6.5048339638503578E-3</v>
      </c>
      <c r="X43" s="27">
        <v>3.0369903320722988</v>
      </c>
      <c r="Y43" s="27" t="s">
        <v>45</v>
      </c>
      <c r="Z43" s="27" t="s">
        <v>45</v>
      </c>
      <c r="AA43" s="27">
        <v>26.944094157208912</v>
      </c>
      <c r="AB43" s="29">
        <v>1.0153425809163515E-2</v>
      </c>
      <c r="AC43" s="27">
        <v>9.4052122740647324</v>
      </c>
      <c r="AD43" s="27">
        <v>0.39932744850777641</v>
      </c>
      <c r="AE43" s="27" t="s">
        <v>45</v>
      </c>
      <c r="AF43" s="27" t="s">
        <v>45</v>
      </c>
      <c r="AG43" s="27">
        <v>3.3837746952501049</v>
      </c>
    </row>
    <row r="44" spans="1:33" x14ac:dyDescent="0.2">
      <c r="A44" s="1">
        <v>29</v>
      </c>
      <c r="B44" s="25" t="s">
        <v>77</v>
      </c>
      <c r="C44" s="26">
        <v>7.6106842297841206</v>
      </c>
      <c r="D44" s="27">
        <v>5.4884742041712405E-2</v>
      </c>
      <c r="E44" s="27" t="s">
        <v>45</v>
      </c>
      <c r="F44" s="27" t="s">
        <v>45</v>
      </c>
      <c r="G44" s="27" t="s">
        <v>45</v>
      </c>
      <c r="H44" s="26">
        <v>7.2639956092206359E-2</v>
      </c>
      <c r="I44" s="26">
        <v>7.3179656055616549E-2</v>
      </c>
      <c r="J44" s="27" t="s">
        <v>45</v>
      </c>
      <c r="K44" s="27">
        <v>2.7442371020856202E-2</v>
      </c>
      <c r="L44" s="27">
        <v>0.69520673252835719</v>
      </c>
      <c r="M44" s="27">
        <v>1.6008049762166121</v>
      </c>
      <c r="N44" s="27">
        <v>0.11260519575557995</v>
      </c>
      <c r="O44" s="27" t="s">
        <v>45</v>
      </c>
      <c r="P44" s="27">
        <v>0.10062202707647275</v>
      </c>
      <c r="Q44" s="27">
        <v>1.5120746432491767E-2</v>
      </c>
      <c r="R44" s="27">
        <v>26.07025246981339</v>
      </c>
      <c r="S44" s="27" t="s">
        <v>45</v>
      </c>
      <c r="T44" s="30">
        <v>1.1525795828759606E-4</v>
      </c>
      <c r="U44" s="27">
        <v>7.3179656055616549E-2</v>
      </c>
      <c r="V44" s="27">
        <v>6.4032199048664473E-2</v>
      </c>
      <c r="W44" s="30">
        <v>1.5825100622027077E-3</v>
      </c>
      <c r="X44" s="27">
        <v>2.0764727405781196</v>
      </c>
      <c r="Y44" s="27" t="s">
        <v>45</v>
      </c>
      <c r="Z44" s="27" t="s">
        <v>45</v>
      </c>
      <c r="AA44" s="27">
        <v>2.5246981339187706</v>
      </c>
      <c r="AB44" s="29">
        <v>5.2003293084522508E-3</v>
      </c>
      <c r="AC44" s="27">
        <v>4.5554335894621296</v>
      </c>
      <c r="AD44" s="27">
        <v>0.19209659714599342</v>
      </c>
      <c r="AE44" s="27" t="s">
        <v>45</v>
      </c>
      <c r="AF44" s="27" t="s">
        <v>45</v>
      </c>
      <c r="AG44" s="27">
        <v>3.4760336626417856</v>
      </c>
    </row>
    <row r="45" spans="1:33" x14ac:dyDescent="0.2">
      <c r="A45" s="1">
        <v>30</v>
      </c>
      <c r="B45" s="25" t="s">
        <v>78</v>
      </c>
      <c r="C45" s="26">
        <v>102.39572989076464</v>
      </c>
      <c r="D45" s="27" t="s">
        <v>45</v>
      </c>
      <c r="E45" s="27" t="s">
        <v>45</v>
      </c>
      <c r="F45" s="27" t="s">
        <v>45</v>
      </c>
      <c r="G45" s="27" t="s">
        <v>45</v>
      </c>
      <c r="H45" s="26">
        <v>0.23286991062562068</v>
      </c>
      <c r="I45" s="26">
        <v>0.40963257199602782</v>
      </c>
      <c r="J45" s="27" t="s">
        <v>45</v>
      </c>
      <c r="K45" s="27">
        <v>0.45928500496524333</v>
      </c>
      <c r="L45" s="27">
        <v>2.8550148957298904</v>
      </c>
      <c r="M45" s="27">
        <v>41.53426017874876</v>
      </c>
      <c r="N45" s="27">
        <v>1.4039225422045682E-2</v>
      </c>
      <c r="O45" s="27" t="s">
        <v>45</v>
      </c>
      <c r="P45" s="27">
        <v>9.9304865938430992E-2</v>
      </c>
      <c r="Q45" s="27">
        <v>1.8247269116186692E-2</v>
      </c>
      <c r="R45" s="27">
        <v>104.22045680238332</v>
      </c>
      <c r="S45" s="27" t="s">
        <v>45</v>
      </c>
      <c r="T45" s="30">
        <v>1.4374379344587885E-3</v>
      </c>
      <c r="U45" s="27">
        <v>0.3227408142999007</v>
      </c>
      <c r="V45" s="27">
        <v>3.438430983118173</v>
      </c>
      <c r="W45" s="30">
        <v>7.9568023833167818E-3</v>
      </c>
      <c r="X45" s="27">
        <v>0.62065541211519371</v>
      </c>
      <c r="Y45" s="27" t="s">
        <v>45</v>
      </c>
      <c r="Z45" s="27" t="s">
        <v>45</v>
      </c>
      <c r="AA45" s="27">
        <v>87.984111221449851</v>
      </c>
      <c r="AB45" s="29">
        <v>1.9116186693147966E-2</v>
      </c>
      <c r="AC45" s="27">
        <v>10.327706057596822</v>
      </c>
      <c r="AD45" s="27">
        <v>2.7929493545183717</v>
      </c>
      <c r="AE45" s="27" t="s">
        <v>45</v>
      </c>
      <c r="AF45" s="27" t="s">
        <v>45</v>
      </c>
      <c r="AG45" s="27">
        <v>19.401688182720953</v>
      </c>
    </row>
    <row r="46" spans="1:33" x14ac:dyDescent="0.2">
      <c r="A46" s="1">
        <v>31</v>
      </c>
      <c r="B46" s="25" t="s">
        <v>79</v>
      </c>
      <c r="C46" s="26">
        <v>8.4267563527653202</v>
      </c>
      <c r="D46" s="27">
        <v>9.3423019431988046E-3</v>
      </c>
      <c r="E46" s="27" t="s">
        <v>45</v>
      </c>
      <c r="F46" s="27" t="s">
        <v>45</v>
      </c>
      <c r="G46" s="27" t="s">
        <v>45</v>
      </c>
      <c r="H46" s="26">
        <v>0.14088191330343799</v>
      </c>
      <c r="I46" s="26">
        <v>0.21487294469357249</v>
      </c>
      <c r="J46" s="27" t="s">
        <v>45</v>
      </c>
      <c r="K46" s="27">
        <v>9.3423019431988039E-2</v>
      </c>
      <c r="L46" s="27">
        <v>1.9245142002989537</v>
      </c>
      <c r="M46" s="27">
        <v>6.4835575485799701</v>
      </c>
      <c r="N46" s="27">
        <v>0.12677503736920778</v>
      </c>
      <c r="O46" s="27" t="s">
        <v>45</v>
      </c>
      <c r="P46" s="27">
        <v>0.18684603886397608</v>
      </c>
      <c r="Q46" s="27">
        <v>2.0898729446935726E-2</v>
      </c>
      <c r="R46" s="27">
        <v>53.671524663677133</v>
      </c>
      <c r="S46" s="27" t="s">
        <v>45</v>
      </c>
      <c r="T46" s="30">
        <v>8.0810911808669656E-4</v>
      </c>
      <c r="U46" s="27">
        <v>0.52316890881913292</v>
      </c>
      <c r="V46" s="27">
        <v>0.20553064275037369</v>
      </c>
      <c r="W46" s="30">
        <v>2.8447309417040357E-3</v>
      </c>
      <c r="X46" s="27">
        <v>1.4200298953662183</v>
      </c>
      <c r="Y46" s="27" t="s">
        <v>45</v>
      </c>
      <c r="Z46" s="27" t="s">
        <v>45</v>
      </c>
      <c r="AA46" s="27">
        <v>9.1834828101644241</v>
      </c>
      <c r="AB46" s="29">
        <v>7.9017189835575482E-3</v>
      </c>
      <c r="AC46" s="27">
        <v>10.650224215246636</v>
      </c>
      <c r="AD46" s="27">
        <v>0.41106128550074739</v>
      </c>
      <c r="AE46" s="27" t="s">
        <v>45</v>
      </c>
      <c r="AF46" s="27" t="s">
        <v>45</v>
      </c>
      <c r="AG46" s="27">
        <v>6.2406576980568005</v>
      </c>
    </row>
    <row r="47" spans="1:33" x14ac:dyDescent="0.2">
      <c r="A47" s="1">
        <v>32</v>
      </c>
      <c r="B47" s="25" t="s">
        <v>80</v>
      </c>
      <c r="C47" s="26">
        <v>14.134972170686455</v>
      </c>
      <c r="D47" s="27">
        <v>4.6382189239332093E-2</v>
      </c>
      <c r="E47" s="27" t="s">
        <v>45</v>
      </c>
      <c r="F47" s="27" t="s">
        <v>45</v>
      </c>
      <c r="G47" s="27" t="s">
        <v>45</v>
      </c>
      <c r="H47" s="26">
        <v>0.26495825602968459</v>
      </c>
      <c r="I47" s="26">
        <v>6.9573283858998136E-2</v>
      </c>
      <c r="J47" s="27" t="s">
        <v>45</v>
      </c>
      <c r="K47" s="27">
        <v>0.24350649350649348</v>
      </c>
      <c r="L47" s="27">
        <v>2.1683673469387754</v>
      </c>
      <c r="M47" s="27">
        <v>11.989795918367346</v>
      </c>
      <c r="N47" s="27">
        <v>8.2224025974025963E-2</v>
      </c>
      <c r="O47" s="27" t="s">
        <v>45</v>
      </c>
      <c r="P47" s="27">
        <v>0.24350649350649348</v>
      </c>
      <c r="Q47" s="27">
        <v>3.0820964749536175E-2</v>
      </c>
      <c r="R47" s="27">
        <v>78.849721706864557</v>
      </c>
      <c r="S47" s="27" t="s">
        <v>45</v>
      </c>
      <c r="T47" s="30">
        <v>4.8817254174397025E-4</v>
      </c>
      <c r="U47" s="27">
        <v>1.3218923933209648</v>
      </c>
      <c r="V47" s="27">
        <v>0.68413729128014833</v>
      </c>
      <c r="W47" s="30">
        <v>1.441326530612245E-2</v>
      </c>
      <c r="X47" s="27">
        <v>2.8872912801484225</v>
      </c>
      <c r="Y47" s="27" t="s">
        <v>45</v>
      </c>
      <c r="Z47" s="27" t="s">
        <v>45</v>
      </c>
      <c r="AA47" s="27">
        <v>365.02782931354358</v>
      </c>
      <c r="AB47" s="29">
        <v>1.9399350649350649E-2</v>
      </c>
      <c r="AC47" s="27">
        <v>17.312152133580703</v>
      </c>
      <c r="AD47" s="27">
        <v>1.1131725417439702</v>
      </c>
      <c r="AE47" s="27" t="s">
        <v>45</v>
      </c>
      <c r="AF47" s="27" t="s">
        <v>45</v>
      </c>
      <c r="AG47" s="27">
        <v>4.2323747680890538</v>
      </c>
    </row>
    <row r="48" spans="1:33" x14ac:dyDescent="0.2">
      <c r="A48" s="1">
        <v>33</v>
      </c>
      <c r="B48" s="25" t="s">
        <v>81</v>
      </c>
      <c r="C48" s="26">
        <v>6.0918114143920592</v>
      </c>
      <c r="D48" s="27" t="s">
        <v>45</v>
      </c>
      <c r="E48" s="27" t="s">
        <v>45</v>
      </c>
      <c r="F48" s="27" t="s">
        <v>45</v>
      </c>
      <c r="G48" s="27" t="s">
        <v>45</v>
      </c>
      <c r="H48" s="26">
        <v>3.983870967741935E-2</v>
      </c>
      <c r="I48" s="26">
        <v>3.7220843672456573E-2</v>
      </c>
      <c r="J48" s="27" t="s">
        <v>45</v>
      </c>
      <c r="K48" s="27" t="s">
        <v>45</v>
      </c>
      <c r="L48" s="27">
        <v>0.79404466501240689</v>
      </c>
      <c r="M48" s="27">
        <v>3.8585607940446645</v>
      </c>
      <c r="N48" s="27">
        <v>7.7679900744416872E-2</v>
      </c>
      <c r="O48" s="27" t="s">
        <v>45</v>
      </c>
      <c r="P48" s="27">
        <v>0.22332506203473942</v>
      </c>
      <c r="Q48" s="27">
        <v>8.526054590570719E-3</v>
      </c>
      <c r="R48" s="27">
        <v>16.40198511166253</v>
      </c>
      <c r="S48" s="27" t="s">
        <v>45</v>
      </c>
      <c r="T48" s="30" t="s">
        <v>45</v>
      </c>
      <c r="U48" s="27">
        <v>7.4441687344913146E-2</v>
      </c>
      <c r="V48" s="27">
        <v>0.12406947890818859</v>
      </c>
      <c r="W48" s="30">
        <v>6.4888337468982631E-4</v>
      </c>
      <c r="X48" s="27">
        <v>1.5384615384615383</v>
      </c>
      <c r="Y48" s="27" t="s">
        <v>45</v>
      </c>
      <c r="Z48" s="27" t="s">
        <v>45</v>
      </c>
      <c r="AA48" s="27">
        <v>5.2729528535980146</v>
      </c>
      <c r="AB48" s="29">
        <v>4.4689826302729526E-3</v>
      </c>
      <c r="AC48" s="27">
        <v>2.6426799007444166</v>
      </c>
      <c r="AD48" s="27">
        <v>0.74441687344913143</v>
      </c>
      <c r="AE48" s="27" t="s">
        <v>45</v>
      </c>
      <c r="AF48" s="27" t="s">
        <v>45</v>
      </c>
      <c r="AG48" s="27">
        <v>2.8039702233250616</v>
      </c>
    </row>
    <row r="49" spans="1:33" x14ac:dyDescent="0.2">
      <c r="A49" s="1">
        <v>34</v>
      </c>
      <c r="B49" s="25" t="s">
        <v>82</v>
      </c>
      <c r="C49" s="26">
        <v>8.1960784313725483</v>
      </c>
      <c r="D49" s="27">
        <v>0.11764705882352941</v>
      </c>
      <c r="E49" s="27" t="s">
        <v>45</v>
      </c>
      <c r="F49" s="27" t="s">
        <v>45</v>
      </c>
      <c r="G49" s="27" t="s">
        <v>45</v>
      </c>
      <c r="H49" s="26">
        <v>0.22813725490196077</v>
      </c>
      <c r="I49" s="26">
        <v>9.8039215686274508E-2</v>
      </c>
      <c r="J49" s="27">
        <v>4.9019607843137254E-2</v>
      </c>
      <c r="K49" s="27">
        <v>0.16666666666666666</v>
      </c>
      <c r="L49" s="27">
        <v>1.3627450980392155</v>
      </c>
      <c r="M49" s="27">
        <v>2.5</v>
      </c>
      <c r="N49" s="27">
        <v>2.5205882352941179E-2</v>
      </c>
      <c r="O49" s="27" t="s">
        <v>45</v>
      </c>
      <c r="P49" s="27">
        <v>0.14705882352941177</v>
      </c>
      <c r="Q49" s="27">
        <v>4.5892156862745101E-2</v>
      </c>
      <c r="R49" s="27">
        <v>87.049019607843135</v>
      </c>
      <c r="S49" s="27" t="s">
        <v>45</v>
      </c>
      <c r="T49" s="30">
        <v>5.4705882352941177E-4</v>
      </c>
      <c r="U49" s="27">
        <v>0.1764705882352941</v>
      </c>
      <c r="V49" s="27">
        <v>0.40196078431372551</v>
      </c>
      <c r="W49" s="30">
        <v>3.0882352941176468E-3</v>
      </c>
      <c r="X49" s="27">
        <v>0.46078431372549022</v>
      </c>
      <c r="Y49" s="27" t="s">
        <v>45</v>
      </c>
      <c r="Z49" s="27" t="s">
        <v>45</v>
      </c>
      <c r="AA49" s="27">
        <v>4.7254901960784315</v>
      </c>
      <c r="AB49" s="29">
        <v>8.8303921568627444E-3</v>
      </c>
      <c r="AC49" s="27">
        <v>11.313725490196079</v>
      </c>
      <c r="AD49" s="27">
        <v>0.39215686274509803</v>
      </c>
      <c r="AE49" s="27" t="s">
        <v>45</v>
      </c>
      <c r="AF49" s="27" t="s">
        <v>45</v>
      </c>
      <c r="AG49" s="27">
        <v>6.6862745098039209</v>
      </c>
    </row>
    <row r="50" spans="1:33" x14ac:dyDescent="0.2">
      <c r="A50" s="1">
        <v>35</v>
      </c>
      <c r="B50" s="25" t="s">
        <v>83</v>
      </c>
      <c r="C50" s="26">
        <v>4.4295862933556203</v>
      </c>
      <c r="D50" s="27" t="s">
        <v>45</v>
      </c>
      <c r="E50" s="27" t="s">
        <v>45</v>
      </c>
      <c r="F50" s="27" t="s">
        <v>45</v>
      </c>
      <c r="G50" s="27" t="s">
        <v>45</v>
      </c>
      <c r="H50" s="26">
        <v>3.6011282908483072E-2</v>
      </c>
      <c r="I50" s="26">
        <v>7.3129962390305045E-2</v>
      </c>
      <c r="J50" s="27" t="s">
        <v>45</v>
      </c>
      <c r="K50" s="27">
        <v>3.1341412452987875E-2</v>
      </c>
      <c r="L50" s="27">
        <v>0.86711241119933125</v>
      </c>
      <c r="M50" s="27">
        <v>4.3877977434183038</v>
      </c>
      <c r="N50" s="27">
        <v>6.2755954868366062E-2</v>
      </c>
      <c r="O50" s="27" t="s">
        <v>45</v>
      </c>
      <c r="P50" s="27">
        <v>0.27162557459256165</v>
      </c>
      <c r="Q50" s="27">
        <v>8.2699540325950685E-3</v>
      </c>
      <c r="R50" s="27">
        <v>16.391558712912662</v>
      </c>
      <c r="S50" s="27" t="s">
        <v>45</v>
      </c>
      <c r="T50" s="30" t="s">
        <v>45</v>
      </c>
      <c r="U50" s="27" t="s">
        <v>45</v>
      </c>
      <c r="V50" s="27">
        <v>0.11491851232762222</v>
      </c>
      <c r="W50" s="30">
        <v>5.2183451734224822E-3</v>
      </c>
      <c r="X50" s="27">
        <v>0.92979523610530712</v>
      </c>
      <c r="Y50" s="27" t="s">
        <v>45</v>
      </c>
      <c r="Z50" s="27" t="s">
        <v>45</v>
      </c>
      <c r="AA50" s="27">
        <v>8.8173840367739231</v>
      </c>
      <c r="AB50" s="29">
        <v>4.3000417885499373E-3</v>
      </c>
      <c r="AC50" s="27">
        <v>2.298370246552444</v>
      </c>
      <c r="AD50" s="27">
        <v>0.64772252402841612</v>
      </c>
      <c r="AE50" s="27" t="s">
        <v>45</v>
      </c>
      <c r="AF50" s="27" t="s">
        <v>45</v>
      </c>
      <c r="AG50" s="27">
        <v>3.760969494358545</v>
      </c>
    </row>
    <row r="51" spans="1:33" x14ac:dyDescent="0.2">
      <c r="A51" s="1">
        <v>36</v>
      </c>
      <c r="B51" s="25" t="s">
        <v>84</v>
      </c>
      <c r="C51" s="26">
        <v>92.814437555358722</v>
      </c>
      <c r="D51" s="27" t="s">
        <v>45</v>
      </c>
      <c r="E51" s="27" t="s">
        <v>45</v>
      </c>
      <c r="F51" s="27" t="s">
        <v>45</v>
      </c>
      <c r="G51" s="27" t="s">
        <v>45</v>
      </c>
      <c r="H51" s="26">
        <v>0.34078830823737821</v>
      </c>
      <c r="I51" s="26">
        <v>0.47608503100088573</v>
      </c>
      <c r="J51" s="27">
        <v>1.1071744906997343E-2</v>
      </c>
      <c r="K51" s="27">
        <v>5.8458813108945975</v>
      </c>
      <c r="L51" s="27">
        <v>2.9229406554472988</v>
      </c>
      <c r="M51" s="27">
        <v>54.140832595217006</v>
      </c>
      <c r="N51" s="27">
        <v>7.2752435783879549E-2</v>
      </c>
      <c r="O51" s="27" t="s">
        <v>45</v>
      </c>
      <c r="P51" s="27">
        <v>0.28786536758193093</v>
      </c>
      <c r="Q51" s="27">
        <v>3.8319309123117803E-2</v>
      </c>
      <c r="R51" s="27">
        <v>103.29937998228522</v>
      </c>
      <c r="S51" s="27" t="s">
        <v>45</v>
      </c>
      <c r="T51" s="30">
        <v>4.4286979627989372E-4</v>
      </c>
      <c r="U51" s="27">
        <v>0.62001771479185108</v>
      </c>
      <c r="V51" s="27">
        <v>1.9596988485385296</v>
      </c>
      <c r="W51" s="30">
        <v>1.2632860938883968E-2</v>
      </c>
      <c r="X51" s="27">
        <v>1.4614703277236494</v>
      </c>
      <c r="Y51" s="27" t="s">
        <v>45</v>
      </c>
      <c r="Z51" s="27" t="s">
        <v>45</v>
      </c>
      <c r="AA51" s="27">
        <v>52.900797165633307</v>
      </c>
      <c r="AB51" s="29">
        <v>1.8954827280779452E-2</v>
      </c>
      <c r="AC51" s="27">
        <v>15.732949512843225</v>
      </c>
      <c r="AD51" s="27">
        <v>1.7604074402125776</v>
      </c>
      <c r="AE51" s="27" t="s">
        <v>45</v>
      </c>
      <c r="AF51" s="27" t="s">
        <v>45</v>
      </c>
      <c r="AG51" s="27">
        <v>31.166961913197518</v>
      </c>
    </row>
    <row r="52" spans="1:33" x14ac:dyDescent="0.2">
      <c r="A52" s="1">
        <v>37</v>
      </c>
      <c r="B52" s="25" t="s">
        <v>85</v>
      </c>
      <c r="C52" s="26">
        <v>10.279353993889131</v>
      </c>
      <c r="D52" s="27">
        <v>0.94936708860759478</v>
      </c>
      <c r="E52" s="27">
        <v>0.28371890004364908</v>
      </c>
      <c r="F52" s="27" t="s">
        <v>45</v>
      </c>
      <c r="G52" s="27" t="s">
        <v>45</v>
      </c>
      <c r="H52" s="26">
        <v>6.7263203841117419E-2</v>
      </c>
      <c r="I52" s="26">
        <v>0.75294631165429937</v>
      </c>
      <c r="J52" s="27">
        <v>0.42557835006547357</v>
      </c>
      <c r="K52" s="27">
        <v>0.32736796158882581</v>
      </c>
      <c r="L52" s="27">
        <v>1.4295067656045395</v>
      </c>
      <c r="M52" s="27">
        <v>7.824094281972938</v>
      </c>
      <c r="N52" s="27">
        <v>0.10440855521606286</v>
      </c>
      <c r="O52" s="27" t="s">
        <v>45</v>
      </c>
      <c r="P52" s="27">
        <v>0.49105194238323874</v>
      </c>
      <c r="Q52" s="27">
        <v>1.8408991706678306E-2</v>
      </c>
      <c r="R52" s="27">
        <v>30.117852466171978</v>
      </c>
      <c r="S52" s="27">
        <v>1.7241379310344829</v>
      </c>
      <c r="T52" s="30">
        <v>6.3945875163683987E-4</v>
      </c>
      <c r="U52" s="27">
        <v>0.46922741161065035</v>
      </c>
      <c r="V52" s="27">
        <v>1.7459624618070713</v>
      </c>
      <c r="W52" s="30">
        <v>2.2206460061108685E-3</v>
      </c>
      <c r="X52" s="27">
        <v>1.9205587079877784</v>
      </c>
      <c r="Y52" s="27">
        <v>1.7568747271933651</v>
      </c>
      <c r="Z52" s="27" t="s">
        <v>45</v>
      </c>
      <c r="AA52" s="27">
        <v>14.720646006110867</v>
      </c>
      <c r="AB52" s="29">
        <v>6.212352684417285E-3</v>
      </c>
      <c r="AC52" s="27">
        <v>3.7756438236577914</v>
      </c>
      <c r="AD52" s="27">
        <v>1.3094718463553032</v>
      </c>
      <c r="AE52" s="27" t="s">
        <v>45</v>
      </c>
      <c r="AF52" s="27">
        <v>0.1636839807944129</v>
      </c>
      <c r="AG52" s="27">
        <v>4.8886948930597987</v>
      </c>
    </row>
    <row r="53" spans="1:33" x14ac:dyDescent="0.2">
      <c r="A53" s="1">
        <v>38</v>
      </c>
      <c r="B53" s="25" t="s">
        <v>86</v>
      </c>
      <c r="C53" s="26">
        <v>3.8348623853211006</v>
      </c>
      <c r="D53" s="27">
        <v>0.14678899082568805</v>
      </c>
      <c r="E53" s="27">
        <v>9.1743119266055034E-3</v>
      </c>
      <c r="F53" s="27" t="s">
        <v>45</v>
      </c>
      <c r="G53" s="27" t="s">
        <v>45</v>
      </c>
      <c r="H53" s="26">
        <v>8.9045871559633019E-2</v>
      </c>
      <c r="I53" s="26">
        <v>0.14678899082568805</v>
      </c>
      <c r="J53" s="27">
        <v>8.2568807339449532E-2</v>
      </c>
      <c r="K53" s="27">
        <v>0.11009174311926605</v>
      </c>
      <c r="L53" s="27">
        <v>1.1192660550458715</v>
      </c>
      <c r="M53" s="27">
        <v>2.8073394495412844</v>
      </c>
      <c r="N53" s="27">
        <v>3.81651376146789E-2</v>
      </c>
      <c r="O53" s="27" t="s">
        <v>45</v>
      </c>
      <c r="P53" s="27">
        <v>0.19266055045871558</v>
      </c>
      <c r="Q53" s="27">
        <v>4.6605504587155962E-2</v>
      </c>
      <c r="R53" s="27">
        <v>32.311926605504581</v>
      </c>
      <c r="S53" s="27" t="s">
        <v>45</v>
      </c>
      <c r="T53" s="30">
        <v>1.5229357798165135E-4</v>
      </c>
      <c r="U53" s="27">
        <v>0.44036697247706419</v>
      </c>
      <c r="V53" s="27">
        <v>0.21100917431192656</v>
      </c>
      <c r="W53" s="30">
        <v>3.9844036697247705E-3</v>
      </c>
      <c r="X53" s="27">
        <v>1.5688073394495412</v>
      </c>
      <c r="Y53" s="27" t="s">
        <v>45</v>
      </c>
      <c r="Z53" s="27" t="s">
        <v>45</v>
      </c>
      <c r="AA53" s="27">
        <v>11.064220183486238</v>
      </c>
      <c r="AB53" s="29">
        <v>7.4816513761467888E-3</v>
      </c>
      <c r="AC53" s="27">
        <v>10.330275229357797</v>
      </c>
      <c r="AD53" s="27">
        <v>0.38532110091743116</v>
      </c>
      <c r="AE53" s="27" t="s">
        <v>45</v>
      </c>
      <c r="AF53" s="27" t="s">
        <v>45</v>
      </c>
      <c r="AG53" s="27">
        <v>2.4311926605504586</v>
      </c>
    </row>
    <row r="54" spans="1:33" x14ac:dyDescent="0.2">
      <c r="A54" s="1">
        <v>39</v>
      </c>
      <c r="B54" s="25" t="s">
        <v>87</v>
      </c>
      <c r="C54" s="26">
        <v>11.705653021442494</v>
      </c>
      <c r="D54" s="27">
        <v>3.8986354775828458E-2</v>
      </c>
      <c r="E54" s="27" t="s">
        <v>45</v>
      </c>
      <c r="F54" s="27" t="s">
        <v>45</v>
      </c>
      <c r="G54" s="27" t="s">
        <v>45</v>
      </c>
      <c r="H54" s="26">
        <v>0.18430799220272906</v>
      </c>
      <c r="I54" s="26">
        <v>0.11695906432748537</v>
      </c>
      <c r="J54" s="27">
        <v>5.8479532163742687E-2</v>
      </c>
      <c r="K54" s="27">
        <v>0.17543859649122806</v>
      </c>
      <c r="L54" s="27">
        <v>2.2709551656920079</v>
      </c>
      <c r="M54" s="27">
        <v>9.5224171539961002</v>
      </c>
      <c r="N54" s="27">
        <v>0.10380116959064328</v>
      </c>
      <c r="O54" s="27" t="s">
        <v>45</v>
      </c>
      <c r="P54" s="27">
        <v>0.26315789473684209</v>
      </c>
      <c r="Q54" s="27">
        <v>2.127680311890838E-2</v>
      </c>
      <c r="R54" s="27">
        <v>58.382066276803116</v>
      </c>
      <c r="S54" s="27" t="s">
        <v>45</v>
      </c>
      <c r="T54" s="30">
        <v>6.734892787524366E-4</v>
      </c>
      <c r="U54" s="27">
        <v>0.51656920077972712</v>
      </c>
      <c r="V54" s="27">
        <v>0.36062378167641324</v>
      </c>
      <c r="W54" s="30">
        <v>2.6978557504873293E-2</v>
      </c>
      <c r="X54" s="27">
        <v>2.6705653021442495</v>
      </c>
      <c r="Y54" s="27" t="s">
        <v>45</v>
      </c>
      <c r="Z54" s="27" t="s">
        <v>45</v>
      </c>
      <c r="AA54" s="27">
        <v>344.05458089668616</v>
      </c>
      <c r="AB54" s="29">
        <v>1.9580896686159845E-2</v>
      </c>
      <c r="AC54" s="27">
        <v>10.847953216374268</v>
      </c>
      <c r="AD54" s="27">
        <v>0.49707602339181284</v>
      </c>
      <c r="AE54" s="27" t="s">
        <v>45</v>
      </c>
      <c r="AF54" s="27" t="s">
        <v>45</v>
      </c>
      <c r="AG54" s="27">
        <v>4.2300194931773873</v>
      </c>
    </row>
    <row r="55" spans="1:33" x14ac:dyDescent="0.2">
      <c r="A55" s="1">
        <v>40</v>
      </c>
      <c r="B55" s="25" t="s">
        <v>88</v>
      </c>
      <c r="C55" s="26">
        <v>10.37618335824614</v>
      </c>
      <c r="D55" s="27">
        <v>0.24912805181863482</v>
      </c>
      <c r="E55" s="27" t="s">
        <v>45</v>
      </c>
      <c r="F55" s="27" t="s">
        <v>45</v>
      </c>
      <c r="G55" s="27" t="s">
        <v>45</v>
      </c>
      <c r="H55" s="26">
        <v>9.2937219730941725E-2</v>
      </c>
      <c r="I55" s="26">
        <v>0.51071250622820141</v>
      </c>
      <c r="J55" s="27">
        <v>8.7194818136522162E-2</v>
      </c>
      <c r="K55" s="27">
        <v>0.18684603886397608</v>
      </c>
      <c r="L55" s="27">
        <v>1.3452914798206279</v>
      </c>
      <c r="M55" s="27">
        <v>12.96711509715994</v>
      </c>
      <c r="N55" s="27">
        <v>4.4494270054808174E-2</v>
      </c>
      <c r="O55" s="27" t="s">
        <v>45</v>
      </c>
      <c r="P55" s="27">
        <v>0.12456402590931741</v>
      </c>
      <c r="Q55" s="27">
        <v>2.4900348779272548E-2</v>
      </c>
      <c r="R55" s="27">
        <v>37.356751370204286</v>
      </c>
      <c r="S55" s="27" t="s">
        <v>45</v>
      </c>
      <c r="T55" s="30">
        <v>2.8400597907324369E-4</v>
      </c>
      <c r="U55" s="27">
        <v>0.17438963627304432</v>
      </c>
      <c r="V55" s="27">
        <v>0.44843049327354262</v>
      </c>
      <c r="W55" s="30">
        <v>1.3714499252615844E-3</v>
      </c>
      <c r="X55" s="27">
        <v>1.0463378176382661</v>
      </c>
      <c r="Y55" s="27" t="s">
        <v>45</v>
      </c>
      <c r="Z55" s="27" t="s">
        <v>45</v>
      </c>
      <c r="AA55" s="27">
        <v>10.762331838565023</v>
      </c>
      <c r="AB55" s="29">
        <v>7.1499750871948176E-3</v>
      </c>
      <c r="AC55" s="27">
        <v>7.2620827105132042</v>
      </c>
      <c r="AD55" s="27">
        <v>0.7847533632286996</v>
      </c>
      <c r="AE55" s="27" t="s">
        <v>45</v>
      </c>
      <c r="AF55" s="27" t="s">
        <v>45</v>
      </c>
      <c r="AG55" s="27">
        <v>6.0039860488290993</v>
      </c>
    </row>
    <row r="56" spans="1:33" x14ac:dyDescent="0.2">
      <c r="A56" s="1">
        <v>41</v>
      </c>
      <c r="B56" s="25" t="s">
        <v>89</v>
      </c>
      <c r="C56" s="26">
        <v>10.5732635585157</v>
      </c>
      <c r="D56" s="27">
        <v>8.3254043767840138E-2</v>
      </c>
      <c r="E56" s="27" t="s">
        <v>45</v>
      </c>
      <c r="F56" s="27" t="s">
        <v>45</v>
      </c>
      <c r="G56" s="27" t="s">
        <v>45</v>
      </c>
      <c r="H56" s="26">
        <v>7.987630827783064E-2</v>
      </c>
      <c r="I56" s="26">
        <v>0.19029495718363465</v>
      </c>
      <c r="J56" s="27">
        <v>5.9467174119885828E-2</v>
      </c>
      <c r="K56" s="27" t="s">
        <v>45</v>
      </c>
      <c r="L56" s="27">
        <v>1.9862036156041865</v>
      </c>
      <c r="M56" s="27">
        <v>6.3035204567078971</v>
      </c>
      <c r="N56" s="27">
        <v>0.14985727878211227</v>
      </c>
      <c r="O56" s="27" t="s">
        <v>45</v>
      </c>
      <c r="P56" s="27">
        <v>8.3254043767840138E-2</v>
      </c>
      <c r="Q56" s="27">
        <v>1.585394862036156E-2</v>
      </c>
      <c r="R56" s="27">
        <v>31.493815413891529</v>
      </c>
      <c r="S56" s="27" t="s">
        <v>45</v>
      </c>
      <c r="T56" s="30" t="s">
        <v>45</v>
      </c>
      <c r="U56" s="27">
        <v>0.17840152235965748</v>
      </c>
      <c r="V56" s="27">
        <v>0.26165556612749763</v>
      </c>
      <c r="W56" s="30">
        <v>8.3955756422454814E-3</v>
      </c>
      <c r="X56" s="27">
        <v>4.4362511893434826</v>
      </c>
      <c r="Y56" s="27" t="s">
        <v>45</v>
      </c>
      <c r="Z56" s="27" t="s">
        <v>45</v>
      </c>
      <c r="AA56" s="27">
        <v>8.68220742150333</v>
      </c>
      <c r="AB56" s="29">
        <v>7.9091341579448152E-3</v>
      </c>
      <c r="AC56" s="27">
        <v>4.709800190294958</v>
      </c>
      <c r="AD56" s="27">
        <v>0.45195052331113228</v>
      </c>
      <c r="AE56" s="27" t="s">
        <v>45</v>
      </c>
      <c r="AF56" s="27" t="s">
        <v>45</v>
      </c>
      <c r="AG56" s="27">
        <v>6.2797335870599431</v>
      </c>
    </row>
    <row r="57" spans="1:33" x14ac:dyDescent="0.2">
      <c r="A57" s="1">
        <v>42</v>
      </c>
      <c r="B57" s="25" t="s">
        <v>90</v>
      </c>
      <c r="C57" s="26">
        <v>32.63239875389408</v>
      </c>
      <c r="D57" s="27">
        <v>0.18914107699154425</v>
      </c>
      <c r="E57" s="27" t="s">
        <v>45</v>
      </c>
      <c r="F57" s="27" t="s">
        <v>45</v>
      </c>
      <c r="G57" s="27" t="s">
        <v>45</v>
      </c>
      <c r="H57" s="26">
        <v>0.12961726746773475</v>
      </c>
      <c r="I57" s="26">
        <v>0.28927458834000891</v>
      </c>
      <c r="J57" s="27">
        <v>8.9007565643079656E-2</v>
      </c>
      <c r="K57" s="27">
        <v>0.20026702269692923</v>
      </c>
      <c r="L57" s="27">
        <v>2.1139296840231419</v>
      </c>
      <c r="M57" s="27">
        <v>11.860258121940365</v>
      </c>
      <c r="N57" s="27">
        <v>3.9786381842456607E-2</v>
      </c>
      <c r="O57" s="27" t="s">
        <v>45</v>
      </c>
      <c r="P57" s="27">
        <v>0.26702269692923897</v>
      </c>
      <c r="Q57" s="27">
        <v>2.0149087672452159E-2</v>
      </c>
      <c r="R57" s="27">
        <v>36.392968402314196</v>
      </c>
      <c r="S57" s="27" t="s">
        <v>45</v>
      </c>
      <c r="T57" s="30">
        <v>4.3057409879839782E-4</v>
      </c>
      <c r="U57" s="27">
        <v>0.3115264797507788</v>
      </c>
      <c r="V57" s="27">
        <v>0.73431241655540724</v>
      </c>
      <c r="W57" s="30">
        <v>6.6266132621272808E-3</v>
      </c>
      <c r="X57" s="27">
        <v>0.91232754784156656</v>
      </c>
      <c r="Y57" s="27" t="s">
        <v>45</v>
      </c>
      <c r="Z57" s="27" t="s">
        <v>45</v>
      </c>
      <c r="AA57" s="27">
        <v>22.085002225189143</v>
      </c>
      <c r="AB57" s="29">
        <v>9.5772140631953731E-3</v>
      </c>
      <c r="AC57" s="27">
        <v>6.5086782376502006</v>
      </c>
      <c r="AD57" s="27">
        <v>0.78994214508233207</v>
      </c>
      <c r="AE57" s="27" t="s">
        <v>45</v>
      </c>
      <c r="AF57" s="27" t="s">
        <v>45</v>
      </c>
      <c r="AG57" s="27">
        <v>14.207832665776591</v>
      </c>
    </row>
    <row r="58" spans="1:33" x14ac:dyDescent="0.2">
      <c r="A58" s="1">
        <v>43</v>
      </c>
      <c r="B58" s="25" t="s">
        <v>91</v>
      </c>
      <c r="C58" s="26">
        <v>11.10843373493976</v>
      </c>
      <c r="D58" s="27">
        <v>0.10843373493975904</v>
      </c>
      <c r="E58" s="27" t="s">
        <v>45</v>
      </c>
      <c r="F58" s="27" t="s">
        <v>45</v>
      </c>
      <c r="G58" s="27" t="s">
        <v>45</v>
      </c>
      <c r="H58" s="26">
        <v>4.9301204819277106E-2</v>
      </c>
      <c r="I58" s="26">
        <v>0.12048192771084339</v>
      </c>
      <c r="J58" s="27">
        <v>3.614457831325301E-2</v>
      </c>
      <c r="K58" s="27">
        <v>0.10843373493975904</v>
      </c>
      <c r="L58" s="27">
        <v>0.86746987951807231</v>
      </c>
      <c r="M58" s="27">
        <v>4.3493975903614457</v>
      </c>
      <c r="N58" s="27">
        <v>6.5253012048192782E-2</v>
      </c>
      <c r="O58" s="27" t="s">
        <v>45</v>
      </c>
      <c r="P58" s="27">
        <v>0.14457831325301204</v>
      </c>
      <c r="Q58" s="27">
        <v>1.3963855421686749E-2</v>
      </c>
      <c r="R58" s="27">
        <v>25.433734939759038</v>
      </c>
      <c r="S58" s="27" t="s">
        <v>45</v>
      </c>
      <c r="T58" s="30">
        <v>1.7228915662650604E-4</v>
      </c>
      <c r="U58" s="27">
        <v>0.21686746987951808</v>
      </c>
      <c r="V58" s="27">
        <v>0.45783132530120485</v>
      </c>
      <c r="W58" s="30">
        <v>1.3084337349397591E-3</v>
      </c>
      <c r="X58" s="27">
        <v>1.2771084337349399</v>
      </c>
      <c r="Y58" s="27" t="s">
        <v>45</v>
      </c>
      <c r="Z58" s="27" t="s">
        <v>45</v>
      </c>
      <c r="AA58" s="27">
        <v>7.3975903614457845</v>
      </c>
      <c r="AB58" s="29">
        <v>4.8987951807228924E-3</v>
      </c>
      <c r="AC58" s="27">
        <v>2.7228915662650599</v>
      </c>
      <c r="AD58" s="27">
        <v>0.74698795180722899</v>
      </c>
      <c r="AE58" s="27" t="s">
        <v>45</v>
      </c>
      <c r="AF58" s="27" t="s">
        <v>45</v>
      </c>
      <c r="AG58" s="27">
        <v>2.6987951807228914</v>
      </c>
    </row>
    <row r="59" spans="1:33" x14ac:dyDescent="0.2">
      <c r="A59" s="1">
        <v>44</v>
      </c>
      <c r="B59" s="25" t="s">
        <v>92</v>
      </c>
      <c r="C59" s="26">
        <v>13.798157453936348</v>
      </c>
      <c r="D59" s="27">
        <v>9.4221105527638183E-2</v>
      </c>
      <c r="E59" s="27" t="s">
        <v>45</v>
      </c>
      <c r="F59" s="27" t="s">
        <v>45</v>
      </c>
      <c r="G59" s="27" t="s">
        <v>45</v>
      </c>
      <c r="H59" s="26">
        <v>8.3134422110552747E-2</v>
      </c>
      <c r="I59" s="26">
        <v>9.4221105527638183E-2</v>
      </c>
      <c r="J59" s="27">
        <v>4.1876046901172526E-2</v>
      </c>
      <c r="K59" s="27">
        <v>0.11515912897822445</v>
      </c>
      <c r="L59" s="27">
        <v>1.1515912897822445</v>
      </c>
      <c r="M59" s="27">
        <v>14.038944723618091</v>
      </c>
      <c r="N59" s="27">
        <v>0.13201423785594638</v>
      </c>
      <c r="O59" s="27" t="s">
        <v>45</v>
      </c>
      <c r="P59" s="27">
        <v>5.2345058626465664E-2</v>
      </c>
      <c r="Q59" s="27">
        <v>2.1377721943048572E-2</v>
      </c>
      <c r="R59" s="27">
        <v>28.653685092127304</v>
      </c>
      <c r="S59" s="27" t="s">
        <v>45</v>
      </c>
      <c r="T59" s="30">
        <v>1.7996231155778895E-3</v>
      </c>
      <c r="U59" s="27">
        <v>0.18844221105527637</v>
      </c>
      <c r="V59" s="27">
        <v>5.2345058626465664E-2</v>
      </c>
      <c r="W59" s="30">
        <v>7.8203517587939703E-4</v>
      </c>
      <c r="X59" s="27">
        <v>2.4288107202680065</v>
      </c>
      <c r="Y59" s="27" t="s">
        <v>45</v>
      </c>
      <c r="Z59" s="27" t="s">
        <v>45</v>
      </c>
      <c r="AA59" s="27">
        <v>16.907453936348411</v>
      </c>
      <c r="AB59" s="29">
        <v>5.3287269681742038E-3</v>
      </c>
      <c r="AC59" s="27">
        <v>5.1612227805695134</v>
      </c>
      <c r="AD59" s="27">
        <v>0.30360134003350081</v>
      </c>
      <c r="AE59" s="27" t="s">
        <v>45</v>
      </c>
      <c r="AF59" s="27" t="s">
        <v>45</v>
      </c>
      <c r="AG59" s="27">
        <v>3.3186767169179228</v>
      </c>
    </row>
    <row r="60" spans="1:33" x14ac:dyDescent="0.2">
      <c r="A60" s="1">
        <v>45</v>
      </c>
      <c r="B60" s="25" t="s">
        <v>93</v>
      </c>
      <c r="C60" s="26">
        <v>9.4244604316546763</v>
      </c>
      <c r="D60" s="27">
        <v>7.1942446043165464E-2</v>
      </c>
      <c r="E60" s="27" t="s">
        <v>45</v>
      </c>
      <c r="F60" s="27" t="s">
        <v>45</v>
      </c>
      <c r="G60" s="27" t="s">
        <v>45</v>
      </c>
      <c r="H60" s="26">
        <v>9.2182254196642693E-2</v>
      </c>
      <c r="I60" s="26">
        <v>7.1942446043165464E-2</v>
      </c>
      <c r="J60" s="27">
        <v>4.7961630695443645E-2</v>
      </c>
      <c r="K60" s="27">
        <v>0.95923261390887304</v>
      </c>
      <c r="L60" s="27">
        <v>1.4268585131894487</v>
      </c>
      <c r="M60" s="27">
        <v>43.477218225419662</v>
      </c>
      <c r="N60" s="27">
        <v>3.7613908872901683E-2</v>
      </c>
      <c r="O60" s="27" t="s">
        <v>45</v>
      </c>
      <c r="P60" s="27">
        <v>8.3932853717026371E-2</v>
      </c>
      <c r="Q60" s="27">
        <v>4.316546762589929E-2</v>
      </c>
      <c r="R60" s="27">
        <v>28.741007194244606</v>
      </c>
      <c r="S60" s="27" t="s">
        <v>45</v>
      </c>
      <c r="T60" s="30">
        <v>1.6882494004796167E-3</v>
      </c>
      <c r="U60" s="27">
        <v>0.53956834532374098</v>
      </c>
      <c r="V60" s="27">
        <v>0.20383693045563547</v>
      </c>
      <c r="W60" s="30">
        <v>4.5599520383693051E-3</v>
      </c>
      <c r="X60" s="27">
        <v>1.7266187050359711</v>
      </c>
      <c r="Y60" s="27" t="s">
        <v>45</v>
      </c>
      <c r="Z60" s="27" t="s">
        <v>45</v>
      </c>
      <c r="AA60" s="27">
        <v>24.232613908872903</v>
      </c>
      <c r="AB60" s="29">
        <v>8.8045563549160669E-3</v>
      </c>
      <c r="AC60" s="27">
        <v>7.9256594724220628</v>
      </c>
      <c r="AD60" s="27">
        <v>0.76738609112709832</v>
      </c>
      <c r="AE60" s="27" t="s">
        <v>45</v>
      </c>
      <c r="AF60" s="27" t="s">
        <v>45</v>
      </c>
      <c r="AG60" s="27">
        <v>2.4460431654676262</v>
      </c>
    </row>
    <row r="61" spans="1:33" x14ac:dyDescent="0.2">
      <c r="A61" s="1">
        <v>46</v>
      </c>
      <c r="B61" s="25" t="s">
        <v>94</v>
      </c>
      <c r="C61" s="26">
        <v>6.8950177935943051</v>
      </c>
      <c r="D61" s="27">
        <v>0.13345195729537365</v>
      </c>
      <c r="E61" s="27" t="s">
        <v>45</v>
      </c>
      <c r="F61" s="27" t="s">
        <v>45</v>
      </c>
      <c r="G61" s="27" t="s">
        <v>45</v>
      </c>
      <c r="H61" s="26">
        <v>8.1841637010676149E-2</v>
      </c>
      <c r="I61" s="26">
        <v>0.12455516014234873</v>
      </c>
      <c r="J61" s="27">
        <v>5.3380782918149461E-2</v>
      </c>
      <c r="K61" s="27" t="s">
        <v>45</v>
      </c>
      <c r="L61" s="27">
        <v>1.3790035587188612</v>
      </c>
      <c r="M61" s="27">
        <v>3.3807829181494657</v>
      </c>
      <c r="N61" s="27">
        <v>0.12153024911032027</v>
      </c>
      <c r="O61" s="27" t="s">
        <v>45</v>
      </c>
      <c r="P61" s="27">
        <v>7.1174377224199281E-2</v>
      </c>
      <c r="Q61" s="27">
        <v>1.6272241992882561E-2</v>
      </c>
      <c r="R61" s="27">
        <v>59.857651245551594</v>
      </c>
      <c r="S61" s="27" t="s">
        <v>45</v>
      </c>
      <c r="T61" s="30" t="s">
        <v>45</v>
      </c>
      <c r="U61" s="27">
        <v>1.8327402135231314</v>
      </c>
      <c r="V61" s="27">
        <v>0.20462633451957291</v>
      </c>
      <c r="W61" s="30">
        <v>4.0729537366548038E-3</v>
      </c>
      <c r="X61" s="27">
        <v>3.8345195729537358</v>
      </c>
      <c r="Y61" s="27" t="s">
        <v>45</v>
      </c>
      <c r="Z61" s="27" t="s">
        <v>45</v>
      </c>
      <c r="AA61" s="27">
        <v>14.999999999999998</v>
      </c>
      <c r="AB61" s="29">
        <v>8.1752669039145912E-3</v>
      </c>
      <c r="AC61" s="27">
        <v>7.7046263345195722</v>
      </c>
      <c r="AD61" s="27">
        <v>0.39145907473309605</v>
      </c>
      <c r="AE61" s="27" t="s">
        <v>45</v>
      </c>
      <c r="AF61" s="27" t="s">
        <v>45</v>
      </c>
      <c r="AG61" s="27">
        <v>6.1832740213523136</v>
      </c>
    </row>
    <row r="62" spans="1:33" x14ac:dyDescent="0.2">
      <c r="A62" s="1">
        <v>47</v>
      </c>
      <c r="B62" s="25" t="s">
        <v>95</v>
      </c>
      <c r="C62" s="26">
        <v>51.52182619142971</v>
      </c>
      <c r="D62" s="27">
        <v>0.12014417300760913</v>
      </c>
      <c r="E62" s="27" t="s">
        <v>45</v>
      </c>
      <c r="F62" s="27" t="s">
        <v>45</v>
      </c>
      <c r="G62" s="27" t="s">
        <v>45</v>
      </c>
      <c r="H62" s="26">
        <v>0.11003203844613536</v>
      </c>
      <c r="I62" s="26">
        <v>0.30036043251902284</v>
      </c>
      <c r="J62" s="27" t="s">
        <v>45</v>
      </c>
      <c r="K62" s="27">
        <v>0.23027633159791747</v>
      </c>
      <c r="L62" s="27">
        <v>3.1137364837805364</v>
      </c>
      <c r="M62" s="27">
        <v>11.463756507809371</v>
      </c>
      <c r="N62" s="27">
        <v>0.1170404485382459</v>
      </c>
      <c r="O62" s="27" t="s">
        <v>45</v>
      </c>
      <c r="P62" s="27">
        <v>0.12014417300760913</v>
      </c>
      <c r="Q62" s="27">
        <v>2.1195434521425711E-2</v>
      </c>
      <c r="R62" s="27">
        <v>98.027633159791748</v>
      </c>
      <c r="S62" s="27" t="s">
        <v>45</v>
      </c>
      <c r="T62" s="30">
        <v>1.1914297156587906E-4</v>
      </c>
      <c r="U62" s="27">
        <v>3.0036043251902282E-2</v>
      </c>
      <c r="V62" s="27">
        <v>0.23027633159791747</v>
      </c>
      <c r="W62" s="30">
        <v>1.5378454144973968E-2</v>
      </c>
      <c r="X62" s="27">
        <v>2.7733279935923107</v>
      </c>
      <c r="Y62" s="27" t="s">
        <v>45</v>
      </c>
      <c r="Z62" s="27" t="s">
        <v>45</v>
      </c>
      <c r="AA62" s="27">
        <v>26.551862234681618</v>
      </c>
      <c r="AB62" s="29">
        <v>1.1453744493392069E-2</v>
      </c>
      <c r="AC62" s="27">
        <v>5.5666800160192222</v>
      </c>
      <c r="AD62" s="27">
        <v>0.73087705246295553</v>
      </c>
      <c r="AE62" s="27" t="s">
        <v>45</v>
      </c>
      <c r="AF62" s="27" t="s">
        <v>45</v>
      </c>
      <c r="AG62" s="27">
        <v>10.592711253504206</v>
      </c>
    </row>
    <row r="63" spans="1:33" x14ac:dyDescent="0.2">
      <c r="A63" s="1">
        <v>48</v>
      </c>
      <c r="B63" s="25" t="s">
        <v>96</v>
      </c>
      <c r="C63" s="26">
        <v>25.213675213675209</v>
      </c>
      <c r="D63" s="27">
        <v>9.2902266815310303E-2</v>
      </c>
      <c r="E63" s="27" t="s">
        <v>45</v>
      </c>
      <c r="F63" s="27" t="s">
        <v>45</v>
      </c>
      <c r="G63" s="27" t="s">
        <v>45</v>
      </c>
      <c r="H63" s="26">
        <v>0.3026755852842809</v>
      </c>
      <c r="I63" s="26">
        <v>0.14864362690449648</v>
      </c>
      <c r="J63" s="27">
        <v>2.7870680044593088E-2</v>
      </c>
      <c r="K63" s="27">
        <v>0.2601263470828688</v>
      </c>
      <c r="L63" s="27">
        <v>5.0538833147528797</v>
      </c>
      <c r="M63" s="27">
        <v>11.464139725009289</v>
      </c>
      <c r="N63" s="27">
        <v>2.1302489780750652E-2</v>
      </c>
      <c r="O63" s="27" t="s">
        <v>45</v>
      </c>
      <c r="P63" s="27">
        <v>0.24154589371980675</v>
      </c>
      <c r="Q63" s="27">
        <v>2.7331846897064291E-2</v>
      </c>
      <c r="R63" s="27">
        <v>124.5819397993311</v>
      </c>
      <c r="S63" s="27" t="s">
        <v>45</v>
      </c>
      <c r="T63" s="30" t="s">
        <v>45</v>
      </c>
      <c r="U63" s="27">
        <v>0.49238201412114457</v>
      </c>
      <c r="V63" s="27">
        <v>1.3842437755481234</v>
      </c>
      <c r="W63" s="30">
        <v>1.3415087328130806E-2</v>
      </c>
      <c r="X63" s="27">
        <v>0.53883314752879963</v>
      </c>
      <c r="Y63" s="27" t="s">
        <v>45</v>
      </c>
      <c r="Z63" s="27" t="s">
        <v>45</v>
      </c>
      <c r="AA63" s="27">
        <v>463.489409141583</v>
      </c>
      <c r="AB63" s="29">
        <v>1.9435154217762915E-2</v>
      </c>
      <c r="AC63" s="27">
        <v>18.0230397621702</v>
      </c>
      <c r="AD63" s="27">
        <v>0.72463768115942018</v>
      </c>
      <c r="AE63" s="27" t="s">
        <v>45</v>
      </c>
      <c r="AF63" s="27" t="s">
        <v>45</v>
      </c>
      <c r="AG63" s="27">
        <v>9.615384615384615</v>
      </c>
    </row>
    <row r="64" spans="1:33" x14ac:dyDescent="0.2">
      <c r="A64" s="1">
        <v>49</v>
      </c>
      <c r="B64" s="25" t="s">
        <v>97</v>
      </c>
      <c r="C64" s="26">
        <v>74.751491053677938</v>
      </c>
      <c r="D64" s="27" t="s">
        <v>45</v>
      </c>
      <c r="E64" s="27" t="s">
        <v>45</v>
      </c>
      <c r="F64" s="27" t="s">
        <v>45</v>
      </c>
      <c r="G64" s="27" t="s">
        <v>45</v>
      </c>
      <c r="H64" s="26">
        <v>0.14135188866799206</v>
      </c>
      <c r="I64" s="26">
        <v>0.4671968190854871</v>
      </c>
      <c r="J64" s="27">
        <v>9.9403578528827041E-3</v>
      </c>
      <c r="K64" s="27">
        <v>0.21868787276341947</v>
      </c>
      <c r="L64" s="27">
        <v>3.3300198807157058</v>
      </c>
      <c r="M64" s="27">
        <v>15.248508946322069</v>
      </c>
      <c r="N64" s="27">
        <v>0.13260437375745526</v>
      </c>
      <c r="O64" s="27" t="s">
        <v>45</v>
      </c>
      <c r="P64" s="27">
        <v>0.16898608349900596</v>
      </c>
      <c r="Q64" s="27">
        <v>2.4910536779324054E-2</v>
      </c>
      <c r="R64" s="27">
        <v>125.74552683896619</v>
      </c>
      <c r="S64" s="27" t="s">
        <v>45</v>
      </c>
      <c r="T64" s="30">
        <v>6.9284294234592443E-4</v>
      </c>
      <c r="U64" s="27">
        <v>0.31809145129224653</v>
      </c>
      <c r="V64" s="27">
        <v>0.36779324055666002</v>
      </c>
      <c r="W64" s="30">
        <v>1.8568588469184893E-2</v>
      </c>
      <c r="X64" s="27">
        <v>2.7534791252485089</v>
      </c>
      <c r="Y64" s="27" t="s">
        <v>45</v>
      </c>
      <c r="Z64" s="27" t="s">
        <v>45</v>
      </c>
      <c r="AA64" s="27">
        <v>42.037773359840955</v>
      </c>
      <c r="AB64" s="29">
        <v>1.4294234592445328E-2</v>
      </c>
      <c r="AC64" s="27">
        <v>7.0477137176938376</v>
      </c>
      <c r="AD64" s="27">
        <v>0.95427435387673953</v>
      </c>
      <c r="AE64" s="27" t="s">
        <v>45</v>
      </c>
      <c r="AF64" s="27" t="s">
        <v>45</v>
      </c>
      <c r="AG64" s="27">
        <v>13.230616302186878</v>
      </c>
    </row>
    <row r="65" spans="1:33" x14ac:dyDescent="0.2">
      <c r="A65" s="1">
        <v>50</v>
      </c>
      <c r="B65" s="25" t="s">
        <v>98</v>
      </c>
      <c r="C65" s="26">
        <v>16.261950286806883</v>
      </c>
      <c r="D65" s="27">
        <v>7.6481835564053538E-2</v>
      </c>
      <c r="E65" s="27" t="s">
        <v>45</v>
      </c>
      <c r="F65" s="27" t="s">
        <v>45</v>
      </c>
      <c r="G65" s="27" t="s">
        <v>45</v>
      </c>
      <c r="H65" s="26">
        <v>0.10783938814531548</v>
      </c>
      <c r="I65" s="26">
        <v>0.18164435946462715</v>
      </c>
      <c r="J65" s="27" t="s">
        <v>45</v>
      </c>
      <c r="K65" s="27">
        <v>9.5602294455066919E-2</v>
      </c>
      <c r="L65" s="27">
        <v>1.9885277246653918</v>
      </c>
      <c r="M65" s="27">
        <v>10.181644359464627</v>
      </c>
      <c r="N65" s="27">
        <v>4.4311663479923512E-2</v>
      </c>
      <c r="O65" s="27" t="s">
        <v>45</v>
      </c>
      <c r="P65" s="27">
        <v>0.25812619502868067</v>
      </c>
      <c r="Q65" s="27">
        <v>1.3326959847036328E-2</v>
      </c>
      <c r="R65" s="27">
        <v>30.602294455066918</v>
      </c>
      <c r="S65" s="27" t="s">
        <v>45</v>
      </c>
      <c r="T65" s="30">
        <v>1.5009560229445505E-4</v>
      </c>
      <c r="U65" s="27">
        <v>3.8240917782026769E-2</v>
      </c>
      <c r="V65" s="27">
        <v>0.16252390057361374</v>
      </c>
      <c r="W65" s="30">
        <v>4.7944550669216058E-3</v>
      </c>
      <c r="X65" s="27">
        <v>1.0516252390057359</v>
      </c>
      <c r="Y65" s="27" t="s">
        <v>45</v>
      </c>
      <c r="Z65" s="27" t="s">
        <v>45</v>
      </c>
      <c r="AA65" s="27">
        <v>27.504780114722752</v>
      </c>
      <c r="AB65" s="29">
        <v>8.5219885277246655E-3</v>
      </c>
      <c r="AC65" s="27">
        <v>6.6252390057361374</v>
      </c>
      <c r="AD65" s="27">
        <v>1.8929254302103251</v>
      </c>
      <c r="AE65" s="27" t="s">
        <v>45</v>
      </c>
      <c r="AF65" s="27" t="s">
        <v>45</v>
      </c>
      <c r="AG65" s="27">
        <v>6.281070745697896</v>
      </c>
    </row>
    <row r="66" spans="1:33" x14ac:dyDescent="0.2">
      <c r="A66" s="1">
        <v>51</v>
      </c>
      <c r="B66" s="25" t="s">
        <v>99</v>
      </c>
      <c r="C66" s="26">
        <v>7.3703445875391571</v>
      </c>
      <c r="D66" s="27">
        <v>1.7403411068569439E-2</v>
      </c>
      <c r="E66" s="27" t="s">
        <v>45</v>
      </c>
      <c r="F66" s="27" t="s">
        <v>45</v>
      </c>
      <c r="G66" s="27" t="s">
        <v>45</v>
      </c>
      <c r="H66" s="26">
        <v>7.8489383919248173E-2</v>
      </c>
      <c r="I66" s="26">
        <v>9.5718760877131923E-2</v>
      </c>
      <c r="J66" s="27">
        <v>3.4806822137138878E-2</v>
      </c>
      <c r="K66" s="27">
        <v>0.13052558301427078</v>
      </c>
      <c r="L66" s="27">
        <v>1.148625130525583</v>
      </c>
      <c r="M66" s="27">
        <v>24.791159067177166</v>
      </c>
      <c r="N66" s="27">
        <v>7.0379394361294811E-2</v>
      </c>
      <c r="O66" s="27" t="s">
        <v>45</v>
      </c>
      <c r="P66" s="27">
        <v>0.17403411068569441</v>
      </c>
      <c r="Q66" s="27">
        <v>2.6757744517925515E-2</v>
      </c>
      <c r="R66" s="27">
        <v>55.734423947093624</v>
      </c>
      <c r="S66" s="27" t="s">
        <v>45</v>
      </c>
      <c r="T66" s="30">
        <v>7.7445179255133999E-5</v>
      </c>
      <c r="U66" s="27">
        <v>0.87887225896275667</v>
      </c>
      <c r="V66" s="27">
        <v>0.12182387747998606</v>
      </c>
      <c r="W66" s="30">
        <v>4.8842673163940128E-3</v>
      </c>
      <c r="X66" s="27">
        <v>2.3929690219282977</v>
      </c>
      <c r="Y66" s="27" t="s">
        <v>45</v>
      </c>
      <c r="Z66" s="27" t="s">
        <v>45</v>
      </c>
      <c r="AA66" s="27">
        <v>15.306300034806823</v>
      </c>
      <c r="AB66" s="29">
        <v>7.1971806474068903E-3</v>
      </c>
      <c r="AC66" s="27">
        <v>7.1005917159763312</v>
      </c>
      <c r="AD66" s="27">
        <v>2.6627218934911241</v>
      </c>
      <c r="AE66" s="27" t="s">
        <v>45</v>
      </c>
      <c r="AF66" s="27" t="s">
        <v>45</v>
      </c>
      <c r="AG66" s="27">
        <v>2.2450400278454579</v>
      </c>
    </row>
    <row r="67" spans="1:33" x14ac:dyDescent="0.2">
      <c r="A67" s="1">
        <v>52</v>
      </c>
      <c r="B67" s="25" t="s">
        <v>100</v>
      </c>
      <c r="C67" s="26">
        <v>48.180991359708962</v>
      </c>
      <c r="D67" s="27" t="s">
        <v>45</v>
      </c>
      <c r="E67" s="27" t="s">
        <v>45</v>
      </c>
      <c r="F67" s="27" t="s">
        <v>45</v>
      </c>
      <c r="G67" s="27" t="s">
        <v>45</v>
      </c>
      <c r="H67" s="26">
        <v>0.13892678490222829</v>
      </c>
      <c r="I67" s="26">
        <v>0.20463847203274213</v>
      </c>
      <c r="J67" s="27">
        <v>3.4106412005457019E-2</v>
      </c>
      <c r="K67" s="27">
        <v>0.37517053206002726</v>
      </c>
      <c r="L67" s="27">
        <v>3.0695770804911322</v>
      </c>
      <c r="M67" s="27">
        <v>22.180536607548884</v>
      </c>
      <c r="N67" s="27">
        <v>4.0757162346521145E-2</v>
      </c>
      <c r="O67" s="27" t="s">
        <v>45</v>
      </c>
      <c r="P67" s="27">
        <v>0.1591632560254661</v>
      </c>
      <c r="Q67" s="27">
        <v>2.0259208731241471E-2</v>
      </c>
      <c r="R67" s="27">
        <v>68.042291950886764</v>
      </c>
      <c r="S67" s="27" t="s">
        <v>45</v>
      </c>
      <c r="T67" s="30">
        <v>1.2357889949977262E-3</v>
      </c>
      <c r="U67" s="27">
        <v>0.54570259208731231</v>
      </c>
      <c r="V67" s="27">
        <v>0.1591632560254661</v>
      </c>
      <c r="W67" s="30">
        <v>8.1832651205093216E-3</v>
      </c>
      <c r="X67" s="27">
        <v>0.79581628012733063</v>
      </c>
      <c r="Y67" s="27" t="s">
        <v>45</v>
      </c>
      <c r="Z67" s="27" t="s">
        <v>45</v>
      </c>
      <c r="AA67" s="27">
        <v>56.161891768985896</v>
      </c>
      <c r="AB67" s="29">
        <v>1.1448385629831741E-2</v>
      </c>
      <c r="AC67" s="27">
        <v>5.843565256934971</v>
      </c>
      <c r="AD67" s="27">
        <v>1.6712141882673941</v>
      </c>
      <c r="AE67" s="27" t="s">
        <v>45</v>
      </c>
      <c r="AF67" s="27" t="s">
        <v>45</v>
      </c>
      <c r="AG67" s="27">
        <v>9.1291496134606636</v>
      </c>
    </row>
    <row r="68" spans="1:33" x14ac:dyDescent="0.2">
      <c r="A68" s="1">
        <v>53</v>
      </c>
      <c r="B68" s="25" t="s">
        <v>101</v>
      </c>
      <c r="C68" s="26">
        <v>72.181252048508696</v>
      </c>
      <c r="D68" s="27" t="s">
        <v>45</v>
      </c>
      <c r="E68" s="27" t="s">
        <v>45</v>
      </c>
      <c r="F68" s="27" t="s">
        <v>45</v>
      </c>
      <c r="G68" s="27" t="s">
        <v>45</v>
      </c>
      <c r="H68" s="26">
        <v>0.20190101606030811</v>
      </c>
      <c r="I68" s="26">
        <v>0.36873156342182889</v>
      </c>
      <c r="J68" s="27" t="s">
        <v>45</v>
      </c>
      <c r="K68" s="27">
        <v>0.44247787610619477</v>
      </c>
      <c r="L68" s="27">
        <v>3.6545394952474601</v>
      </c>
      <c r="M68" s="27">
        <v>26.630612913798757</v>
      </c>
      <c r="N68" s="27">
        <v>6.5658800393313677E-2</v>
      </c>
      <c r="O68" s="27" t="s">
        <v>45</v>
      </c>
      <c r="P68" s="27">
        <v>0.19665683382497542</v>
      </c>
      <c r="Q68" s="27">
        <v>3.2792527040314656E-2</v>
      </c>
      <c r="R68" s="27">
        <v>79.818092428711893</v>
      </c>
      <c r="S68" s="27" t="s">
        <v>45</v>
      </c>
      <c r="T68" s="30">
        <v>5.9078990494919694E-4</v>
      </c>
      <c r="U68" s="27">
        <v>0.47525401507702392</v>
      </c>
      <c r="V68" s="27">
        <v>0.73746312684365778</v>
      </c>
      <c r="W68" s="30">
        <v>1.3266142248443134E-2</v>
      </c>
      <c r="X68" s="27">
        <v>1.7617174696820714</v>
      </c>
      <c r="Y68" s="27" t="s">
        <v>45</v>
      </c>
      <c r="Z68" s="27" t="s">
        <v>45</v>
      </c>
      <c r="AA68" s="27">
        <v>63.495575221238951</v>
      </c>
      <c r="AB68" s="29">
        <v>1.8469354310062278E-2</v>
      </c>
      <c r="AC68" s="27">
        <v>9.2756473287446752</v>
      </c>
      <c r="AD68" s="27">
        <v>1.8682399213372667</v>
      </c>
      <c r="AE68" s="27" t="s">
        <v>45</v>
      </c>
      <c r="AF68" s="27" t="s">
        <v>45</v>
      </c>
      <c r="AG68" s="27">
        <v>14.667322189446082</v>
      </c>
    </row>
    <row r="69" spans="1:33" x14ac:dyDescent="0.2">
      <c r="A69" s="1">
        <v>54</v>
      </c>
      <c r="B69" s="25" t="s">
        <v>102</v>
      </c>
      <c r="C69" s="26">
        <v>18.122977346278315</v>
      </c>
      <c r="D69" s="27">
        <v>3.5958288385472853E-2</v>
      </c>
      <c r="E69" s="27" t="s">
        <v>45</v>
      </c>
      <c r="F69" s="27" t="s">
        <v>45</v>
      </c>
      <c r="G69" s="27" t="s">
        <v>45</v>
      </c>
      <c r="H69" s="26">
        <v>0.1266630708378281</v>
      </c>
      <c r="I69" s="26">
        <v>5.3937432578209273E-2</v>
      </c>
      <c r="J69" s="27">
        <v>2.6968716289104636E-2</v>
      </c>
      <c r="K69" s="27">
        <v>2.6968716289104636E-2</v>
      </c>
      <c r="L69" s="27">
        <v>1.5282272563825963</v>
      </c>
      <c r="M69" s="27">
        <v>6.9129809421071551</v>
      </c>
      <c r="N69" s="27">
        <v>0.15327220424307803</v>
      </c>
      <c r="O69" s="27" t="s">
        <v>45</v>
      </c>
      <c r="P69" s="27">
        <v>0.11686443725278677</v>
      </c>
      <c r="Q69" s="27">
        <v>2.6510248112189858E-2</v>
      </c>
      <c r="R69" s="27">
        <v>36.299892125134846</v>
      </c>
      <c r="S69" s="27" t="s">
        <v>45</v>
      </c>
      <c r="T69" s="30">
        <v>5.7236605537576415E-3</v>
      </c>
      <c r="U69" s="27">
        <v>0.32362459546925565</v>
      </c>
      <c r="V69" s="27">
        <v>0.13484358144552319</v>
      </c>
      <c r="W69" s="30">
        <v>6.1821287306724195E-3</v>
      </c>
      <c r="X69" s="27">
        <v>4.8363897878460982</v>
      </c>
      <c r="Y69" s="27" t="s">
        <v>45</v>
      </c>
      <c r="Z69" s="27" t="s">
        <v>45</v>
      </c>
      <c r="AA69" s="27">
        <v>16.199208917655518</v>
      </c>
      <c r="AB69" s="29">
        <v>1.237864077669903E-2</v>
      </c>
      <c r="AC69" s="27">
        <v>10.51779935275081</v>
      </c>
      <c r="AD69" s="27">
        <v>0.94390507011866231</v>
      </c>
      <c r="AE69" s="27" t="s">
        <v>45</v>
      </c>
      <c r="AF69" s="27" t="s">
        <v>45</v>
      </c>
      <c r="AG69" s="27">
        <v>7.0298453793599425</v>
      </c>
    </row>
    <row r="70" spans="1:33" x14ac:dyDescent="0.2">
      <c r="A70" s="1">
        <v>55</v>
      </c>
      <c r="B70" s="25" t="s">
        <v>103</v>
      </c>
      <c r="C70" s="26">
        <v>16.83920704845815</v>
      </c>
      <c r="D70" s="27">
        <v>0.13215859030837004</v>
      </c>
      <c r="E70" s="27" t="s">
        <v>45</v>
      </c>
      <c r="F70" s="27" t="s">
        <v>45</v>
      </c>
      <c r="G70" s="27" t="s">
        <v>45</v>
      </c>
      <c r="H70" s="26">
        <v>0.17345814977973567</v>
      </c>
      <c r="I70" s="26">
        <v>0.67180616740088106</v>
      </c>
      <c r="J70" s="27" t="s">
        <v>45</v>
      </c>
      <c r="K70" s="27">
        <v>0.18722466960352421</v>
      </c>
      <c r="L70" s="27">
        <v>3.0066079295154182</v>
      </c>
      <c r="M70" s="27">
        <v>9.9008810572687231</v>
      </c>
      <c r="N70" s="27">
        <v>8.5176211453744481E-3</v>
      </c>
      <c r="O70" s="27" t="s">
        <v>45</v>
      </c>
      <c r="P70" s="27">
        <v>0.24229074889867841</v>
      </c>
      <c r="Q70" s="27">
        <v>2.8469162995594714E-2</v>
      </c>
      <c r="R70" s="27">
        <v>73.975770925110126</v>
      </c>
      <c r="S70" s="27" t="s">
        <v>45</v>
      </c>
      <c r="T70" s="30">
        <v>5.2422907488986782E-4</v>
      </c>
      <c r="U70" s="27">
        <v>0.13215859030837004</v>
      </c>
      <c r="V70" s="27">
        <v>0.29735682819383263</v>
      </c>
      <c r="W70" s="30">
        <v>2.201541850220264E-3</v>
      </c>
      <c r="X70" s="27">
        <v>0.36343612334801761</v>
      </c>
      <c r="Y70" s="27" t="s">
        <v>45</v>
      </c>
      <c r="Z70" s="27" t="s">
        <v>45</v>
      </c>
      <c r="AA70" s="27">
        <v>16.464757709251099</v>
      </c>
      <c r="AB70" s="29">
        <v>9.8127753303964751E-3</v>
      </c>
      <c r="AC70" s="27">
        <v>11.541850220264317</v>
      </c>
      <c r="AD70" s="27">
        <v>1.2885462555066078</v>
      </c>
      <c r="AE70" s="27" t="s">
        <v>45</v>
      </c>
      <c r="AF70" s="27" t="s">
        <v>45</v>
      </c>
      <c r="AG70" s="27">
        <v>10.93612334801762</v>
      </c>
    </row>
    <row r="71" spans="1:33" x14ac:dyDescent="0.2">
      <c r="A71" s="1">
        <v>56</v>
      </c>
      <c r="B71" s="25" t="s">
        <v>104</v>
      </c>
      <c r="C71" s="26">
        <v>3.6691542288557213</v>
      </c>
      <c r="D71" s="27">
        <v>0.11401326699834163</v>
      </c>
      <c r="E71" s="27" t="s">
        <v>45</v>
      </c>
      <c r="F71" s="27" t="s">
        <v>45</v>
      </c>
      <c r="G71" s="27" t="s">
        <v>45</v>
      </c>
      <c r="H71" s="26">
        <v>0.20791873963515756</v>
      </c>
      <c r="I71" s="26">
        <v>6.2189054726368161E-2</v>
      </c>
      <c r="J71" s="27">
        <v>4.1459369817578771E-2</v>
      </c>
      <c r="K71" s="27">
        <v>0.22802653399668327</v>
      </c>
      <c r="L71" s="27">
        <v>1.3992537313432838</v>
      </c>
      <c r="M71" s="27">
        <v>8.5924543946932008</v>
      </c>
      <c r="N71" s="27">
        <v>0.31063432835820898</v>
      </c>
      <c r="O71" s="27" t="s">
        <v>45</v>
      </c>
      <c r="P71" s="27">
        <v>0.33167495854063017</v>
      </c>
      <c r="Q71" s="27">
        <v>4.6817993366500832E-2</v>
      </c>
      <c r="R71" s="27">
        <v>134.74295190713102</v>
      </c>
      <c r="S71" s="27" t="s">
        <v>45</v>
      </c>
      <c r="T71" s="30">
        <v>4.477611940298508E-4</v>
      </c>
      <c r="U71" s="27">
        <v>1.2645107794361525</v>
      </c>
      <c r="V71" s="27">
        <v>0.24875621890547264</v>
      </c>
      <c r="W71" s="30">
        <v>6.3992537313432834E-3</v>
      </c>
      <c r="X71" s="27">
        <v>12.914593698175789</v>
      </c>
      <c r="Y71" s="27" t="s">
        <v>45</v>
      </c>
      <c r="Z71" s="27" t="s">
        <v>45</v>
      </c>
      <c r="AA71" s="27">
        <v>30.182421227197349</v>
      </c>
      <c r="AB71" s="29">
        <v>1.5018656716417911E-2</v>
      </c>
      <c r="AC71" s="27">
        <v>12.116500829187398</v>
      </c>
      <c r="AD71" s="27">
        <v>0.57006633499170811</v>
      </c>
      <c r="AE71" s="27" t="s">
        <v>45</v>
      </c>
      <c r="AF71" s="27" t="s">
        <v>45</v>
      </c>
      <c r="AG71" s="27">
        <v>2.8399668325041461</v>
      </c>
    </row>
    <row r="72" spans="1:33" x14ac:dyDescent="0.2">
      <c r="A72" s="1">
        <v>57</v>
      </c>
      <c r="B72" s="25" t="s">
        <v>105</v>
      </c>
      <c r="C72" s="26">
        <v>34.180432020330372</v>
      </c>
      <c r="D72" s="27" t="s">
        <v>45</v>
      </c>
      <c r="E72" s="27" t="s">
        <v>45</v>
      </c>
      <c r="F72" s="27" t="s">
        <v>45</v>
      </c>
      <c r="G72" s="27" t="s">
        <v>45</v>
      </c>
      <c r="H72" s="26">
        <v>0.18985599322321048</v>
      </c>
      <c r="I72" s="26">
        <v>8.4709868699703511E-2</v>
      </c>
      <c r="J72" s="27">
        <v>3.1766200762388813E-2</v>
      </c>
      <c r="K72" s="27">
        <v>2.1177467174925878E-2</v>
      </c>
      <c r="L72" s="27">
        <v>1.217704362558238</v>
      </c>
      <c r="M72" s="27">
        <v>14.220669207962727</v>
      </c>
      <c r="N72" s="27">
        <v>9.2916137229987303E-2</v>
      </c>
      <c r="O72" s="27" t="s">
        <v>45</v>
      </c>
      <c r="P72" s="27">
        <v>0.29648454044896227</v>
      </c>
      <c r="Q72" s="27">
        <v>3.2528589580686149E-2</v>
      </c>
      <c r="R72" s="27">
        <v>64.665396018636173</v>
      </c>
      <c r="S72" s="27" t="s">
        <v>45</v>
      </c>
      <c r="T72" s="30">
        <v>7.8356628547225762E-5</v>
      </c>
      <c r="U72" s="27">
        <v>0.88945362134688688</v>
      </c>
      <c r="V72" s="27">
        <v>0.54002541296060991</v>
      </c>
      <c r="W72" s="30">
        <v>7.1971622193985601E-3</v>
      </c>
      <c r="X72" s="27">
        <v>3.5472257518000849</v>
      </c>
      <c r="Y72" s="27" t="s">
        <v>45</v>
      </c>
      <c r="Z72" s="27" t="s">
        <v>45</v>
      </c>
      <c r="AA72" s="27">
        <v>89.930114358322754</v>
      </c>
      <c r="AB72" s="29">
        <v>1.6020753917831428E-2</v>
      </c>
      <c r="AC72" s="27">
        <v>11.827615417196103</v>
      </c>
      <c r="AD72" s="27">
        <v>2.5624735281660311</v>
      </c>
      <c r="AE72" s="27" t="s">
        <v>45</v>
      </c>
      <c r="AF72" s="27" t="s">
        <v>45</v>
      </c>
      <c r="AG72" s="27">
        <v>5.707327403642525</v>
      </c>
    </row>
    <row r="73" spans="1:33" x14ac:dyDescent="0.2">
      <c r="A73" s="1">
        <v>58</v>
      </c>
      <c r="B73" s="25" t="s">
        <v>106</v>
      </c>
      <c r="C73" s="26">
        <v>14.432395016151359</v>
      </c>
      <c r="D73" s="27">
        <v>1.1536686663590217E-2</v>
      </c>
      <c r="E73" s="27" t="s">
        <v>45</v>
      </c>
      <c r="F73" s="27" t="s">
        <v>45</v>
      </c>
      <c r="G73" s="27" t="s">
        <v>45</v>
      </c>
      <c r="H73" s="26">
        <v>0.43412551915089986</v>
      </c>
      <c r="I73" s="26">
        <v>0.2076603599446239</v>
      </c>
      <c r="J73" s="27">
        <v>0.44993077988001839</v>
      </c>
      <c r="K73" s="27">
        <v>0.53068758652514991</v>
      </c>
      <c r="L73" s="27">
        <v>1.7420396862021228</v>
      </c>
      <c r="M73" s="27">
        <v>132.09506229810799</v>
      </c>
      <c r="N73" s="27">
        <v>6.583987078910937E-2</v>
      </c>
      <c r="O73" s="27" t="s">
        <v>45</v>
      </c>
      <c r="P73" s="27">
        <v>0.38071065989847719</v>
      </c>
      <c r="Q73" s="27">
        <v>0.13717120443008768</v>
      </c>
      <c r="R73" s="27">
        <v>326.9497000461468</v>
      </c>
      <c r="S73" s="27" t="s">
        <v>45</v>
      </c>
      <c r="T73" s="30">
        <v>1.4905399169358562E-3</v>
      </c>
      <c r="U73" s="27">
        <v>1.5805260729118598</v>
      </c>
      <c r="V73" s="27">
        <v>0.23073373327180435</v>
      </c>
      <c r="W73" s="30">
        <v>1.8724042455006923E-3</v>
      </c>
      <c r="X73" s="27">
        <v>2.3419473927088137</v>
      </c>
      <c r="Y73" s="27" t="s">
        <v>45</v>
      </c>
      <c r="Z73" s="27" t="s">
        <v>45</v>
      </c>
      <c r="AA73" s="27">
        <v>50.680664513151818</v>
      </c>
      <c r="AB73" s="29">
        <v>2.5080756806645128E-2</v>
      </c>
      <c r="AC73" s="27">
        <v>29.672358098754035</v>
      </c>
      <c r="AD73" s="27">
        <v>1.2805722196585141</v>
      </c>
      <c r="AE73" s="27">
        <v>14.963082602676511</v>
      </c>
      <c r="AF73" s="27" t="s">
        <v>45</v>
      </c>
      <c r="AG73" s="27">
        <v>4.8569450853714811</v>
      </c>
    </row>
    <row r="74" spans="1:33" x14ac:dyDescent="0.2">
      <c r="A74" s="1">
        <v>59</v>
      </c>
      <c r="B74" s="25" t="s">
        <v>107</v>
      </c>
      <c r="C74" s="26">
        <v>5.969887955182072</v>
      </c>
      <c r="D74" s="27" t="s">
        <v>45</v>
      </c>
      <c r="E74" s="27" t="s">
        <v>45</v>
      </c>
      <c r="F74" s="27" t="s">
        <v>45</v>
      </c>
      <c r="G74" s="27" t="s">
        <v>45</v>
      </c>
      <c r="H74" s="26">
        <v>0.21314775910364145</v>
      </c>
      <c r="I74" s="26">
        <v>0.13130252100840334</v>
      </c>
      <c r="J74" s="27">
        <v>5.2521008403361338E-2</v>
      </c>
      <c r="K74" s="27">
        <v>7.8781512605042014E-2</v>
      </c>
      <c r="L74" s="27">
        <v>1.4968487394957981</v>
      </c>
      <c r="M74" s="27">
        <v>9.8739495798319314</v>
      </c>
      <c r="N74" s="27">
        <v>3.2808123249299721E-2</v>
      </c>
      <c r="O74" s="27" t="s">
        <v>45</v>
      </c>
      <c r="P74" s="27">
        <v>0.17507002801120447</v>
      </c>
      <c r="Q74" s="27">
        <v>0.11922268907563023</v>
      </c>
      <c r="R74" s="27">
        <v>63.559173669467782</v>
      </c>
      <c r="S74" s="27" t="s">
        <v>45</v>
      </c>
      <c r="T74" s="30">
        <v>3.9565826330532211E-4</v>
      </c>
      <c r="U74" s="27">
        <v>0.56897759103641454</v>
      </c>
      <c r="V74" s="27">
        <v>0.10504201680672268</v>
      </c>
      <c r="W74" s="30">
        <v>1.1099439775910363E-2</v>
      </c>
      <c r="X74" s="27">
        <v>0.82282913165266103</v>
      </c>
      <c r="Y74" s="27" t="s">
        <v>45</v>
      </c>
      <c r="Z74" s="27" t="s">
        <v>45</v>
      </c>
      <c r="AA74" s="27">
        <v>19.765406162464984</v>
      </c>
      <c r="AB74" s="29">
        <v>1.2981442577030813E-2</v>
      </c>
      <c r="AC74" s="27">
        <v>15.152310924369745</v>
      </c>
      <c r="AD74" s="27">
        <v>1.1292016806722689</v>
      </c>
      <c r="AE74" s="27">
        <v>10.302871148459383</v>
      </c>
      <c r="AF74" s="27" t="s">
        <v>45</v>
      </c>
      <c r="AG74" s="27">
        <v>3.615196078431373</v>
      </c>
    </row>
    <row r="75" spans="1:33" x14ac:dyDescent="0.2">
      <c r="A75" s="1">
        <v>60</v>
      </c>
      <c r="B75" s="25" t="s">
        <v>108</v>
      </c>
      <c r="C75" s="26">
        <v>16.998327759197327</v>
      </c>
      <c r="D75" s="27">
        <v>3.3444816053511711E-2</v>
      </c>
      <c r="E75" s="27" t="s">
        <v>45</v>
      </c>
      <c r="F75" s="27" t="s">
        <v>45</v>
      </c>
      <c r="G75" s="27" t="s">
        <v>45</v>
      </c>
      <c r="H75" s="26">
        <v>5.5794314381270901E-2</v>
      </c>
      <c r="I75" s="26">
        <v>8.3612040133779278E-2</v>
      </c>
      <c r="J75" s="27" t="s">
        <v>45</v>
      </c>
      <c r="K75" s="27">
        <v>6.6889632107023422E-2</v>
      </c>
      <c r="L75" s="27">
        <v>0.88628762541806028</v>
      </c>
      <c r="M75" s="27">
        <v>2.9849498327759201</v>
      </c>
      <c r="N75" s="27">
        <v>9.3561872909699001E-2</v>
      </c>
      <c r="O75" s="27" t="s">
        <v>45</v>
      </c>
      <c r="P75" s="27">
        <v>0.17558528428093645</v>
      </c>
      <c r="Q75" s="27">
        <v>1.588628762541806E-2</v>
      </c>
      <c r="R75" s="27">
        <v>30.409698996655525</v>
      </c>
      <c r="S75" s="27" t="s">
        <v>45</v>
      </c>
      <c r="T75" s="30" t="s">
        <v>45</v>
      </c>
      <c r="U75" s="27">
        <v>0.1254180602006689</v>
      </c>
      <c r="V75" s="27">
        <v>0.41806020066889632</v>
      </c>
      <c r="W75" s="30">
        <v>1.3712374581939801E-3</v>
      </c>
      <c r="X75" s="27">
        <v>1.6053511705685619</v>
      </c>
      <c r="Y75" s="27" t="s">
        <v>45</v>
      </c>
      <c r="Z75" s="27" t="s">
        <v>45</v>
      </c>
      <c r="AA75" s="27">
        <v>90.384615384615387</v>
      </c>
      <c r="AB75" s="29">
        <v>4.7700668896321075E-3</v>
      </c>
      <c r="AC75" s="27">
        <v>3.1605351170568565</v>
      </c>
      <c r="AD75" s="27">
        <v>1.8478260869565217</v>
      </c>
      <c r="AE75" s="27" t="s">
        <v>45</v>
      </c>
      <c r="AF75" s="27" t="s">
        <v>45</v>
      </c>
      <c r="AG75" s="27">
        <v>3.0183946488294313</v>
      </c>
    </row>
    <row r="76" spans="1:33" x14ac:dyDescent="0.2">
      <c r="A76" s="1">
        <v>61</v>
      </c>
      <c r="B76" s="25" t="s">
        <v>109</v>
      </c>
      <c r="C76" s="26">
        <v>7.2358900144717797</v>
      </c>
      <c r="D76" s="27">
        <v>0.14471780028943559</v>
      </c>
      <c r="E76" s="27" t="s">
        <v>45</v>
      </c>
      <c r="F76" s="27" t="s">
        <v>45</v>
      </c>
      <c r="G76" s="27" t="s">
        <v>45</v>
      </c>
      <c r="H76" s="26">
        <v>5.473950795947901E-2</v>
      </c>
      <c r="I76" s="26">
        <v>4.8239266763145196E-2</v>
      </c>
      <c r="J76" s="27" t="s">
        <v>45</v>
      </c>
      <c r="K76" s="27">
        <v>9.6478533526290391E-2</v>
      </c>
      <c r="L76" s="27">
        <v>1.0733236854799806</v>
      </c>
      <c r="M76" s="27">
        <v>3.4249879401833092</v>
      </c>
      <c r="N76" s="27">
        <v>0.13820549927641099</v>
      </c>
      <c r="O76" s="27" t="s">
        <v>45</v>
      </c>
      <c r="P76" s="27">
        <v>0.33767486734201635</v>
      </c>
      <c r="Q76" s="27">
        <v>1.2252773757838882E-2</v>
      </c>
      <c r="R76" s="27">
        <v>20.164013506994692</v>
      </c>
      <c r="S76" s="27" t="s">
        <v>45</v>
      </c>
      <c r="T76" s="30" t="s">
        <v>45</v>
      </c>
      <c r="U76" s="27">
        <v>0.14471780028943559</v>
      </c>
      <c r="V76" s="27">
        <v>0.1085383502170767</v>
      </c>
      <c r="W76" s="30">
        <v>7.5735648818137959E-4</v>
      </c>
      <c r="X76" s="27">
        <v>2.6893391220453449</v>
      </c>
      <c r="Y76" s="27" t="s">
        <v>45</v>
      </c>
      <c r="Z76" s="27" t="s">
        <v>45</v>
      </c>
      <c r="AA76" s="27">
        <v>22.202122527737576</v>
      </c>
      <c r="AB76" s="29">
        <v>5.1700434153400861E-3</v>
      </c>
      <c r="AC76" s="27">
        <v>3.4973468403280275</v>
      </c>
      <c r="AD76" s="27">
        <v>0.73564881813796423</v>
      </c>
      <c r="AE76" s="27" t="s">
        <v>45</v>
      </c>
      <c r="AF76" s="27" t="s">
        <v>45</v>
      </c>
      <c r="AG76" s="27">
        <v>2.9787747226242156</v>
      </c>
    </row>
    <row r="77" spans="1:33" x14ac:dyDescent="0.2">
      <c r="A77" s="1">
        <v>62</v>
      </c>
      <c r="B77" s="25" t="s">
        <v>110</v>
      </c>
      <c r="C77" s="26">
        <v>13.565465729349736</v>
      </c>
      <c r="D77" s="27">
        <v>2.1968365553602813E-2</v>
      </c>
      <c r="E77" s="27" t="s">
        <v>45</v>
      </c>
      <c r="F77" s="27" t="s">
        <v>45</v>
      </c>
      <c r="G77" s="27" t="s">
        <v>45</v>
      </c>
      <c r="H77" s="26">
        <v>8.0338312829525485E-2</v>
      </c>
      <c r="I77" s="26">
        <v>0.12082601054481547</v>
      </c>
      <c r="J77" s="27" t="s">
        <v>45</v>
      </c>
      <c r="K77" s="27">
        <v>0.23066783831282953</v>
      </c>
      <c r="L77" s="27">
        <v>1.5487697715289981</v>
      </c>
      <c r="M77" s="27">
        <v>6.2060632688927946</v>
      </c>
      <c r="N77" s="27">
        <v>5.8919156414762745E-2</v>
      </c>
      <c r="O77" s="27" t="s">
        <v>45</v>
      </c>
      <c r="P77" s="27">
        <v>0.13181019332161686</v>
      </c>
      <c r="Q77" s="27">
        <v>1.5795254833040423E-2</v>
      </c>
      <c r="R77" s="27">
        <v>38.170035149384887</v>
      </c>
      <c r="S77" s="27" t="s">
        <v>45</v>
      </c>
      <c r="T77" s="30">
        <v>1.186291739894552E-4</v>
      </c>
      <c r="U77" s="27" t="s">
        <v>45</v>
      </c>
      <c r="V77" s="27">
        <v>0.21968365553602814</v>
      </c>
      <c r="W77" s="30">
        <v>1.3598418277680139E-3</v>
      </c>
      <c r="X77" s="27">
        <v>1.7464850615114236</v>
      </c>
      <c r="Y77" s="27" t="s">
        <v>45</v>
      </c>
      <c r="Z77" s="27" t="s">
        <v>45</v>
      </c>
      <c r="AA77" s="27">
        <v>10.138400702987697</v>
      </c>
      <c r="AB77" s="29">
        <v>7.583479789103691E-3</v>
      </c>
      <c r="AC77" s="27">
        <v>4.3497363796133577</v>
      </c>
      <c r="AD77" s="27">
        <v>1.9442003514938488</v>
      </c>
      <c r="AE77" s="27" t="s">
        <v>45</v>
      </c>
      <c r="AF77" s="27" t="s">
        <v>45</v>
      </c>
      <c r="AG77" s="27">
        <v>4.4815465729349739</v>
      </c>
    </row>
    <row r="78" spans="1:33" x14ac:dyDescent="0.2">
      <c r="A78" s="1">
        <v>63</v>
      </c>
      <c r="B78" s="25" t="s">
        <v>111</v>
      </c>
      <c r="C78" s="26">
        <v>7.725102319236016</v>
      </c>
      <c r="D78" s="27" t="s">
        <v>45</v>
      </c>
      <c r="E78" s="27" t="s">
        <v>45</v>
      </c>
      <c r="F78" s="27" t="s">
        <v>45</v>
      </c>
      <c r="G78" s="27" t="s">
        <v>45</v>
      </c>
      <c r="H78" s="26">
        <v>1.0905525238744884</v>
      </c>
      <c r="I78" s="26">
        <v>0.11937244201909958</v>
      </c>
      <c r="J78" s="27">
        <v>5.9686221009549789E-2</v>
      </c>
      <c r="K78" s="27">
        <v>0.11937244201909958</v>
      </c>
      <c r="L78" s="27">
        <v>1.3983628922237381</v>
      </c>
      <c r="M78" s="27">
        <v>15.612210095497955</v>
      </c>
      <c r="N78" s="27">
        <v>0.23081514324693039</v>
      </c>
      <c r="O78" s="27" t="s">
        <v>45</v>
      </c>
      <c r="P78" s="27">
        <v>0.37517053206002726</v>
      </c>
      <c r="Q78" s="27">
        <v>0.10231923601637107</v>
      </c>
      <c r="R78" s="27">
        <v>90.040927694406548</v>
      </c>
      <c r="S78" s="27" t="s">
        <v>45</v>
      </c>
      <c r="T78" s="30" t="s">
        <v>45</v>
      </c>
      <c r="U78" s="27">
        <v>0.92087312414733968</v>
      </c>
      <c r="V78" s="27">
        <v>0.11084583901773533</v>
      </c>
      <c r="W78" s="30">
        <v>9.5924283765347878E-3</v>
      </c>
      <c r="X78" s="27">
        <v>8.9358799454297415</v>
      </c>
      <c r="Y78" s="27" t="s">
        <v>45</v>
      </c>
      <c r="Z78" s="27" t="s">
        <v>45</v>
      </c>
      <c r="AA78" s="27">
        <v>15.322305593451567</v>
      </c>
      <c r="AB78" s="29">
        <v>2.1256821282401091E-2</v>
      </c>
      <c r="AC78" s="27">
        <v>41.891200545702588</v>
      </c>
      <c r="AD78" s="27">
        <v>0.1534788540245566</v>
      </c>
      <c r="AE78" s="27">
        <v>8.7141882673942703</v>
      </c>
      <c r="AF78" s="27" t="s">
        <v>45</v>
      </c>
      <c r="AG78" s="27">
        <v>4.9539563437926324</v>
      </c>
    </row>
    <row r="79" spans="1:33" x14ac:dyDescent="0.2">
      <c r="A79" s="1">
        <v>64</v>
      </c>
      <c r="B79" s="25" t="s">
        <v>112</v>
      </c>
      <c r="C79" s="26">
        <v>5.9903047091412738</v>
      </c>
      <c r="D79" s="27" t="s">
        <v>45</v>
      </c>
      <c r="E79" s="27" t="s">
        <v>45</v>
      </c>
      <c r="F79" s="27" t="s">
        <v>45</v>
      </c>
      <c r="G79" s="27" t="s">
        <v>45</v>
      </c>
      <c r="H79" s="26">
        <v>0.12811634349030473</v>
      </c>
      <c r="I79" s="26">
        <v>7.790858725761772E-2</v>
      </c>
      <c r="J79" s="27">
        <v>6.9252077562326875E-2</v>
      </c>
      <c r="K79" s="27">
        <v>0.121191135734072</v>
      </c>
      <c r="L79" s="27">
        <v>1.1599722991689752</v>
      </c>
      <c r="M79" s="27">
        <v>3.358725761772853</v>
      </c>
      <c r="N79" s="27">
        <v>0.11080332409972299</v>
      </c>
      <c r="O79" s="27" t="s">
        <v>45</v>
      </c>
      <c r="P79" s="27">
        <v>0.19044321329639891</v>
      </c>
      <c r="Q79" s="27">
        <v>4.8917936288088638E-2</v>
      </c>
      <c r="R79" s="27">
        <v>89.248614958448755</v>
      </c>
      <c r="S79" s="27" t="s">
        <v>45</v>
      </c>
      <c r="T79" s="30">
        <v>2.4497922437673132E-4</v>
      </c>
      <c r="U79" s="27">
        <v>2.0775623268698058</v>
      </c>
      <c r="V79" s="27">
        <v>8.6565096952908593E-2</v>
      </c>
      <c r="W79" s="30">
        <v>7.6030124653739609E-3</v>
      </c>
      <c r="X79" s="27">
        <v>2.2853185595567869</v>
      </c>
      <c r="Y79" s="27" t="s">
        <v>45</v>
      </c>
      <c r="Z79" s="27" t="s">
        <v>45</v>
      </c>
      <c r="AA79" s="27">
        <v>101.28116343490305</v>
      </c>
      <c r="AB79" s="29">
        <v>1.1971952908587258E-2</v>
      </c>
      <c r="AC79" s="27">
        <v>11.469875346260388</v>
      </c>
      <c r="AD79" s="27">
        <v>1.8092105263157894</v>
      </c>
      <c r="AE79" s="27" t="s">
        <v>45</v>
      </c>
      <c r="AF79" s="27" t="s">
        <v>45</v>
      </c>
      <c r="AG79" s="27">
        <v>1.8698060941828256</v>
      </c>
    </row>
    <row r="80" spans="1:33" x14ac:dyDescent="0.2">
      <c r="A80" s="1">
        <v>65</v>
      </c>
      <c r="B80" s="25" t="s">
        <v>113</v>
      </c>
      <c r="C80" s="26">
        <v>7.8384111068260696</v>
      </c>
      <c r="D80" s="27">
        <v>3.8565368299267259E-2</v>
      </c>
      <c r="E80" s="27" t="s">
        <v>45</v>
      </c>
      <c r="F80" s="27" t="s">
        <v>45</v>
      </c>
      <c r="G80" s="27" t="s">
        <v>45</v>
      </c>
      <c r="H80" s="26">
        <v>6.9976860779020447E-2</v>
      </c>
      <c r="I80" s="26">
        <v>0.1349787890474354</v>
      </c>
      <c r="J80" s="27" t="s">
        <v>45</v>
      </c>
      <c r="K80" s="27">
        <v>0.12533744697261862</v>
      </c>
      <c r="L80" s="27">
        <v>1.195526417277285</v>
      </c>
      <c r="M80" s="27">
        <v>3.8565368299267262</v>
      </c>
      <c r="N80" s="27">
        <v>0.15734670266101045</v>
      </c>
      <c r="O80" s="27" t="s">
        <v>45</v>
      </c>
      <c r="P80" s="27">
        <v>0.17354415734670267</v>
      </c>
      <c r="Q80" s="27">
        <v>1.5686463555726959E-2</v>
      </c>
      <c r="R80" s="27">
        <v>31.758580794446594</v>
      </c>
      <c r="S80" s="27" t="s">
        <v>45</v>
      </c>
      <c r="T80" s="30" t="s">
        <v>45</v>
      </c>
      <c r="U80" s="27">
        <v>6.7489394523717702E-2</v>
      </c>
      <c r="V80" s="27">
        <v>5.7848052448900893E-2</v>
      </c>
      <c r="W80" s="30">
        <v>1.4789818742768997E-3</v>
      </c>
      <c r="X80" s="27">
        <v>3.0659467797917475</v>
      </c>
      <c r="Y80" s="27" t="s">
        <v>45</v>
      </c>
      <c r="Z80" s="27" t="s">
        <v>45</v>
      </c>
      <c r="AA80" s="27">
        <v>15.946779791747012</v>
      </c>
      <c r="AB80" s="29">
        <v>5.8850752024681846E-3</v>
      </c>
      <c r="AC80" s="27">
        <v>4.7146162745854223</v>
      </c>
      <c r="AD80" s="27">
        <v>0.31816428846895495</v>
      </c>
      <c r="AE80" s="27" t="s">
        <v>45</v>
      </c>
      <c r="AF80" s="27" t="s">
        <v>45</v>
      </c>
      <c r="AG80" s="27">
        <v>3.924026224450444</v>
      </c>
    </row>
    <row r="81" spans="1:33" x14ac:dyDescent="0.2">
      <c r="A81" s="1">
        <v>66</v>
      </c>
      <c r="B81" s="25" t="s">
        <v>114</v>
      </c>
      <c r="C81" s="26">
        <v>7.9982706441850402</v>
      </c>
      <c r="D81" s="27">
        <v>2.1616947686986597E-2</v>
      </c>
      <c r="E81" s="27" t="s">
        <v>45</v>
      </c>
      <c r="F81" s="27" t="s">
        <v>45</v>
      </c>
      <c r="G81" s="27" t="s">
        <v>45</v>
      </c>
      <c r="H81" s="26">
        <v>0.20881971465629054</v>
      </c>
      <c r="I81" s="26">
        <v>6.4850843060959784E-2</v>
      </c>
      <c r="J81" s="27">
        <v>1.0808473843493299E-2</v>
      </c>
      <c r="K81" s="27">
        <v>7.5659316904453086E-2</v>
      </c>
      <c r="L81" s="27">
        <v>2.9074794638996972</v>
      </c>
      <c r="M81" s="27">
        <v>6.6255944660613917</v>
      </c>
      <c r="N81" s="27">
        <v>0.13283614353653264</v>
      </c>
      <c r="O81" s="27" t="s">
        <v>45</v>
      </c>
      <c r="P81" s="27">
        <v>0.15131863380890617</v>
      </c>
      <c r="Q81" s="27">
        <v>2.2622135754431474E-2</v>
      </c>
      <c r="R81" s="27">
        <v>99.189364461737995</v>
      </c>
      <c r="S81" s="27" t="s">
        <v>45</v>
      </c>
      <c r="T81" s="30" t="s">
        <v>45</v>
      </c>
      <c r="U81" s="27">
        <v>0.45395590142671854</v>
      </c>
      <c r="V81" s="27">
        <v>0.59446606139213132</v>
      </c>
      <c r="W81" s="30">
        <v>3.0587980977086038E-2</v>
      </c>
      <c r="X81" s="27">
        <v>3.2425421530479897</v>
      </c>
      <c r="Y81" s="27" t="s">
        <v>45</v>
      </c>
      <c r="Z81" s="27" t="s">
        <v>45</v>
      </c>
      <c r="AA81" s="27">
        <v>329.44228274967577</v>
      </c>
      <c r="AB81" s="29">
        <v>1.7769130998702982E-2</v>
      </c>
      <c r="AC81" s="27">
        <v>11.997405966277562</v>
      </c>
      <c r="AD81" s="27">
        <v>0.34587116299178555</v>
      </c>
      <c r="AE81" s="27" t="s">
        <v>45</v>
      </c>
      <c r="AF81" s="27" t="s">
        <v>45</v>
      </c>
      <c r="AG81" s="27">
        <v>5.0475572849113703</v>
      </c>
    </row>
    <row r="82" spans="1:33" x14ac:dyDescent="0.2">
      <c r="A82" s="1">
        <v>67</v>
      </c>
      <c r="B82" s="25" t="s">
        <v>115</v>
      </c>
      <c r="C82" s="26">
        <v>5.680256527714155</v>
      </c>
      <c r="D82" s="27">
        <v>8.0164910673385242E-2</v>
      </c>
      <c r="E82" s="27" t="s">
        <v>45</v>
      </c>
      <c r="F82" s="27" t="s">
        <v>45</v>
      </c>
      <c r="G82" s="27" t="s">
        <v>45</v>
      </c>
      <c r="H82" s="26">
        <v>0.1060696289509849</v>
      </c>
      <c r="I82" s="26">
        <v>0.10306917086578103</v>
      </c>
      <c r="J82" s="27">
        <v>1.1452130096197893E-2</v>
      </c>
      <c r="K82" s="27">
        <v>6.8712780577187355E-2</v>
      </c>
      <c r="L82" s="27">
        <v>3.905176362803481</v>
      </c>
      <c r="M82" s="27">
        <v>23.419606046724692</v>
      </c>
      <c r="N82" s="27">
        <v>5.6619331195602383E-2</v>
      </c>
      <c r="O82" s="27" t="s">
        <v>45</v>
      </c>
      <c r="P82" s="27">
        <v>0.12597343105817682</v>
      </c>
      <c r="Q82" s="27">
        <v>7.5618415025194688E-2</v>
      </c>
      <c r="R82" s="27">
        <v>46.312414109024274</v>
      </c>
      <c r="S82" s="27" t="s">
        <v>45</v>
      </c>
      <c r="T82" s="30">
        <v>2.412963811268896E-3</v>
      </c>
      <c r="U82" s="27">
        <v>0.81310123683005053</v>
      </c>
      <c r="V82" s="27">
        <v>0.27485112230874942</v>
      </c>
      <c r="W82" s="30">
        <v>5.6138341731562071E-3</v>
      </c>
      <c r="X82" s="27">
        <v>2.0842876775080166</v>
      </c>
      <c r="Y82" s="27" t="s">
        <v>45</v>
      </c>
      <c r="Z82" s="27" t="s">
        <v>45</v>
      </c>
      <c r="AA82" s="27">
        <v>22.297297297297302</v>
      </c>
      <c r="AB82" s="29">
        <v>1.0360742098030234E-2</v>
      </c>
      <c r="AC82" s="27">
        <v>9.1158955565735234</v>
      </c>
      <c r="AD82" s="27">
        <v>0.45808520384791573</v>
      </c>
      <c r="AE82" s="27" t="s">
        <v>45</v>
      </c>
      <c r="AF82" s="27" t="s">
        <v>45</v>
      </c>
      <c r="AG82" s="27">
        <v>2.3591387998167659</v>
      </c>
    </row>
    <row r="83" spans="1:33" x14ac:dyDescent="0.2">
      <c r="A83" s="1">
        <v>68</v>
      </c>
      <c r="B83" s="25" t="s">
        <v>116</v>
      </c>
      <c r="C83" s="26">
        <v>104.54702032380295</v>
      </c>
      <c r="D83" s="27">
        <v>1.722356183258698E-2</v>
      </c>
      <c r="E83" s="27" t="s">
        <v>45</v>
      </c>
      <c r="F83" s="27" t="s">
        <v>45</v>
      </c>
      <c r="G83" s="27" t="s">
        <v>45</v>
      </c>
      <c r="H83" s="26">
        <v>0.32371684464347233</v>
      </c>
      <c r="I83" s="26">
        <v>0.34447123665173962</v>
      </c>
      <c r="J83" s="27">
        <v>8.6117809162934902E-3</v>
      </c>
      <c r="K83" s="27">
        <v>0.36169479848432656</v>
      </c>
      <c r="L83" s="27">
        <v>3.5308301756803311</v>
      </c>
      <c r="M83" s="27">
        <v>79.262831553565277</v>
      </c>
      <c r="N83" s="27">
        <v>5.9834653806407165E-2</v>
      </c>
      <c r="O83" s="27" t="s">
        <v>45</v>
      </c>
      <c r="P83" s="27">
        <v>0.18945918015845678</v>
      </c>
      <c r="Q83" s="27">
        <v>0.11849810540819841</v>
      </c>
      <c r="R83" s="27">
        <v>282.29417843610059</v>
      </c>
      <c r="S83" s="27" t="s">
        <v>45</v>
      </c>
      <c r="T83" s="30">
        <v>3.5187736823975198E-3</v>
      </c>
      <c r="U83" s="27">
        <v>0.71477781605235957</v>
      </c>
      <c r="V83" s="27">
        <v>1.0420254908715121</v>
      </c>
      <c r="W83" s="30">
        <v>2.0857733379262833E-2</v>
      </c>
      <c r="X83" s="27">
        <v>1.7998622115053391</v>
      </c>
      <c r="Y83" s="27" t="s">
        <v>45</v>
      </c>
      <c r="Z83" s="27" t="s">
        <v>45</v>
      </c>
      <c r="AA83" s="27">
        <v>170.16879090595936</v>
      </c>
      <c r="AB83" s="29">
        <v>2.95039614192215E-2</v>
      </c>
      <c r="AC83" s="27">
        <v>22.209782983120913</v>
      </c>
      <c r="AD83" s="27">
        <v>5.1842921116086806</v>
      </c>
      <c r="AE83" s="27">
        <v>13.158801240096452</v>
      </c>
      <c r="AF83" s="27">
        <v>5.1670685497760938E-2</v>
      </c>
      <c r="AG83" s="27">
        <v>5.9851877368239759</v>
      </c>
    </row>
    <row r="84" spans="1:33" x14ac:dyDescent="0.2">
      <c r="A84" s="1">
        <v>69</v>
      </c>
      <c r="B84" s="25" t="s">
        <v>117</v>
      </c>
      <c r="C84" s="26">
        <v>6.1709373986376903</v>
      </c>
      <c r="D84" s="27" t="s">
        <v>45</v>
      </c>
      <c r="E84" s="27" t="s">
        <v>45</v>
      </c>
      <c r="F84" s="27" t="s">
        <v>45</v>
      </c>
      <c r="G84" s="27" t="s">
        <v>45</v>
      </c>
      <c r="H84" s="26">
        <v>6.2917612714888091E-2</v>
      </c>
      <c r="I84" s="26">
        <v>4.8653908530651956E-2</v>
      </c>
      <c r="J84" s="27" t="s">
        <v>45</v>
      </c>
      <c r="K84" s="27">
        <v>4.05449237755433E-2</v>
      </c>
      <c r="L84" s="27">
        <v>0.7298086279597793</v>
      </c>
      <c r="M84" s="27">
        <v>2.7732727862471616</v>
      </c>
      <c r="N84" s="27">
        <v>7.8567953292247805E-2</v>
      </c>
      <c r="O84" s="27" t="s">
        <v>45</v>
      </c>
      <c r="P84" s="27">
        <v>0.12163477132662989</v>
      </c>
      <c r="Q84" s="27">
        <v>1.6290950373013299E-2</v>
      </c>
      <c r="R84" s="27">
        <v>21.034706454751866</v>
      </c>
      <c r="S84" s="27" t="s">
        <v>45</v>
      </c>
      <c r="T84" s="30">
        <v>9.2442426208238726E-5</v>
      </c>
      <c r="U84" s="27" t="s">
        <v>45</v>
      </c>
      <c r="V84" s="27">
        <v>0.34868634446967239</v>
      </c>
      <c r="W84" s="30">
        <v>1.0736295815763864E-3</v>
      </c>
      <c r="X84" s="27">
        <v>1.3460914693480375</v>
      </c>
      <c r="Y84" s="27" t="s">
        <v>45</v>
      </c>
      <c r="Z84" s="27" t="s">
        <v>45</v>
      </c>
      <c r="AA84" s="27">
        <v>7.5656827765163799</v>
      </c>
      <c r="AB84" s="29">
        <v>5.2675964969185855E-3</v>
      </c>
      <c r="AC84" s="27">
        <v>4.4518326305546534</v>
      </c>
      <c r="AD84" s="27">
        <v>0.36490431397988965</v>
      </c>
      <c r="AE84" s="27" t="s">
        <v>45</v>
      </c>
      <c r="AF84" s="27" t="s">
        <v>45</v>
      </c>
      <c r="AG84" s="27">
        <v>2.3597145637366204</v>
      </c>
    </row>
    <row r="85" spans="1:33" x14ac:dyDescent="0.2">
      <c r="A85" s="1">
        <v>70</v>
      </c>
      <c r="B85" s="25" t="s">
        <v>118</v>
      </c>
      <c r="C85" s="26">
        <v>26.04628261939931</v>
      </c>
      <c r="D85" s="27">
        <v>9.8473658296405711E-2</v>
      </c>
      <c r="E85" s="27" t="s">
        <v>45</v>
      </c>
      <c r="F85" s="27" t="s">
        <v>45</v>
      </c>
      <c r="G85" s="27" t="s">
        <v>45</v>
      </c>
      <c r="H85" s="26">
        <v>0.14327917282127031</v>
      </c>
      <c r="I85" s="26">
        <v>0.33234859675036932</v>
      </c>
      <c r="J85" s="27" t="s">
        <v>45</v>
      </c>
      <c r="K85" s="27">
        <v>0.25849335302806498</v>
      </c>
      <c r="L85" s="27">
        <v>2.0802560315115706</v>
      </c>
      <c r="M85" s="27">
        <v>12.961595273264402</v>
      </c>
      <c r="N85" s="27">
        <v>8.7986213687838502E-2</v>
      </c>
      <c r="O85" s="27" t="s">
        <v>45</v>
      </c>
      <c r="P85" s="27">
        <v>0.19694731659281142</v>
      </c>
      <c r="Q85" s="27">
        <v>2.535696701132447E-2</v>
      </c>
      <c r="R85" s="27">
        <v>50.283111767602158</v>
      </c>
      <c r="S85" s="27" t="s">
        <v>45</v>
      </c>
      <c r="T85" s="30">
        <v>4.1962087641555876E-3</v>
      </c>
      <c r="U85" s="27">
        <v>0.2461841457410143</v>
      </c>
      <c r="V85" s="27">
        <v>0.25849335302806498</v>
      </c>
      <c r="W85" s="30">
        <v>4.9532250123092069E-3</v>
      </c>
      <c r="X85" s="27">
        <v>1.9694731659281144</v>
      </c>
      <c r="Y85" s="27" t="s">
        <v>45</v>
      </c>
      <c r="Z85" s="27" t="s">
        <v>45</v>
      </c>
      <c r="AA85" s="27">
        <v>31.056129985228957</v>
      </c>
      <c r="AB85" s="29">
        <v>1.1723289020187102E-2</v>
      </c>
      <c r="AC85" s="27">
        <v>7.9025110782865573</v>
      </c>
      <c r="AD85" s="27">
        <v>0.99704579025110773</v>
      </c>
      <c r="AE85" s="27" t="s">
        <v>45</v>
      </c>
      <c r="AF85" s="27" t="s">
        <v>45</v>
      </c>
      <c r="AG85" s="27">
        <v>6.3023141309699655</v>
      </c>
    </row>
    <row r="86" spans="1:33" x14ac:dyDescent="0.2">
      <c r="A86" s="1">
        <v>71</v>
      </c>
      <c r="B86" s="25" t="s">
        <v>119</v>
      </c>
      <c r="C86" s="26">
        <v>12.544326241134751</v>
      </c>
      <c r="D86" s="27">
        <v>0.12411347517730496</v>
      </c>
      <c r="E86" s="27" t="s">
        <v>45</v>
      </c>
      <c r="F86" s="27" t="s">
        <v>45</v>
      </c>
      <c r="G86" s="27" t="s">
        <v>45</v>
      </c>
      <c r="H86" s="26">
        <v>0.23714539007092203</v>
      </c>
      <c r="I86" s="26">
        <v>9.7517730496453917E-2</v>
      </c>
      <c r="J86" s="27">
        <v>3.5460992907801421E-2</v>
      </c>
      <c r="K86" s="27">
        <v>7.0921985815602842E-2</v>
      </c>
      <c r="L86" s="27">
        <v>2.4202127659574471</v>
      </c>
      <c r="M86" s="27">
        <v>8.8031914893617031</v>
      </c>
      <c r="N86" s="27">
        <v>0.10824468085106385</v>
      </c>
      <c r="O86" s="27" t="s">
        <v>45</v>
      </c>
      <c r="P86" s="27">
        <v>0.18617021276595747</v>
      </c>
      <c r="Q86" s="27">
        <v>2.0567375886524825E-2</v>
      </c>
      <c r="R86" s="27">
        <v>94.592198581560282</v>
      </c>
      <c r="S86" s="27" t="s">
        <v>45</v>
      </c>
      <c r="T86" s="30">
        <v>3.4663120567375892E-4</v>
      </c>
      <c r="U86" s="27">
        <v>0.93085106382978733</v>
      </c>
      <c r="V86" s="27">
        <v>0.6914893617021276</v>
      </c>
      <c r="W86" s="30">
        <v>1.8874113475177305E-2</v>
      </c>
      <c r="X86" s="27">
        <v>2.792553191489362</v>
      </c>
      <c r="Y86" s="27" t="s">
        <v>45</v>
      </c>
      <c r="Z86" s="27" t="s">
        <v>45</v>
      </c>
      <c r="AA86" s="27">
        <v>521.54255319148933</v>
      </c>
      <c r="AB86" s="29">
        <v>1.7925531914893617E-2</v>
      </c>
      <c r="AC86" s="27">
        <v>16.099290780141846</v>
      </c>
      <c r="AD86" s="27">
        <v>0.54078014184397172</v>
      </c>
      <c r="AE86" s="27" t="s">
        <v>45</v>
      </c>
      <c r="AF86" s="27" t="s">
        <v>45</v>
      </c>
      <c r="AG86" s="27">
        <v>6.25</v>
      </c>
    </row>
    <row r="87" spans="1:33" x14ac:dyDescent="0.2">
      <c r="A87" s="1">
        <v>72</v>
      </c>
      <c r="B87" s="25" t="s">
        <v>120</v>
      </c>
      <c r="C87" s="26">
        <v>3.4046214355948869</v>
      </c>
      <c r="D87" s="27">
        <v>8.6037364798426733E-2</v>
      </c>
      <c r="E87" s="27" t="s">
        <v>45</v>
      </c>
      <c r="F87" s="27" t="s">
        <v>45</v>
      </c>
      <c r="G87" s="27" t="s">
        <v>45</v>
      </c>
      <c r="H87" s="26">
        <v>0.24139626352015736</v>
      </c>
      <c r="I87" s="26">
        <v>0.12291052114060964</v>
      </c>
      <c r="J87" s="27">
        <v>2.4582104228121928E-2</v>
      </c>
      <c r="K87" s="27">
        <v>0.13520157325467061</v>
      </c>
      <c r="L87" s="27">
        <v>1.8190757128810227</v>
      </c>
      <c r="M87" s="27">
        <v>7.7802359882005891</v>
      </c>
      <c r="N87" s="27">
        <v>0.153023598820059</v>
      </c>
      <c r="O87" s="27" t="s">
        <v>45</v>
      </c>
      <c r="P87" s="27">
        <v>0.29498525073746312</v>
      </c>
      <c r="Q87" s="27">
        <v>5.909537856440511E-2</v>
      </c>
      <c r="R87" s="27">
        <v>168.75614552605705</v>
      </c>
      <c r="S87" s="27" t="s">
        <v>45</v>
      </c>
      <c r="T87" s="30">
        <v>4.8918387413962637E-4</v>
      </c>
      <c r="U87" s="27">
        <v>1.0201573254670599</v>
      </c>
      <c r="V87" s="27">
        <v>0.19665683382497542</v>
      </c>
      <c r="W87" s="30">
        <v>9.2809734513274334E-3</v>
      </c>
      <c r="X87" s="27">
        <v>5.5063913470993109</v>
      </c>
      <c r="Y87" s="27" t="s">
        <v>45</v>
      </c>
      <c r="Z87" s="27" t="s">
        <v>45</v>
      </c>
      <c r="AA87" s="27">
        <v>18.190757128810226</v>
      </c>
      <c r="AB87" s="29">
        <v>1.5929203539823009E-2</v>
      </c>
      <c r="AC87" s="27">
        <v>15.744837758112093</v>
      </c>
      <c r="AD87" s="27">
        <v>0.33185840707964603</v>
      </c>
      <c r="AE87" s="27" t="s">
        <v>45</v>
      </c>
      <c r="AF87" s="27" t="s">
        <v>45</v>
      </c>
      <c r="AG87" s="27">
        <v>2.691740412979351</v>
      </c>
    </row>
    <row r="88" spans="1:33" x14ac:dyDescent="0.2">
      <c r="A88" s="1">
        <v>73</v>
      </c>
      <c r="B88" s="25" t="s">
        <v>121</v>
      </c>
      <c r="C88" s="26">
        <v>7.1827904715605255</v>
      </c>
      <c r="D88" s="27" t="s">
        <v>45</v>
      </c>
      <c r="E88" s="27" t="s">
        <v>45</v>
      </c>
      <c r="F88" s="27" t="s">
        <v>45</v>
      </c>
      <c r="G88" s="27" t="s">
        <v>45</v>
      </c>
      <c r="H88" s="26">
        <v>6.6346621293145364E-2</v>
      </c>
      <c r="I88" s="26">
        <v>3.6460865337870685E-2</v>
      </c>
      <c r="J88" s="27">
        <v>3.6460865337870685E-2</v>
      </c>
      <c r="K88" s="27">
        <v>0.15799708313077299</v>
      </c>
      <c r="L88" s="27">
        <v>0.81429265921244542</v>
      </c>
      <c r="M88" s="27">
        <v>3.5853184248906174</v>
      </c>
      <c r="N88" s="27">
        <v>0.19883325230918814</v>
      </c>
      <c r="O88" s="27" t="s">
        <v>45</v>
      </c>
      <c r="P88" s="27">
        <v>0.32814778804083622</v>
      </c>
      <c r="Q88" s="27">
        <v>1.8740884783665535E-2</v>
      </c>
      <c r="R88" s="27">
        <v>25.935828877005349</v>
      </c>
      <c r="S88" s="27" t="s">
        <v>45</v>
      </c>
      <c r="T88" s="30" t="s">
        <v>45</v>
      </c>
      <c r="U88" s="27">
        <v>0.18230432668935342</v>
      </c>
      <c r="V88" s="27">
        <v>0.21876519202722411</v>
      </c>
      <c r="W88" s="30">
        <v>1.6771998055420518E-3</v>
      </c>
      <c r="X88" s="27">
        <v>4.4846864365580945</v>
      </c>
      <c r="Y88" s="27" t="s">
        <v>45</v>
      </c>
      <c r="Z88" s="27" t="s">
        <v>45</v>
      </c>
      <c r="AA88" s="27">
        <v>20.077783179387463</v>
      </c>
      <c r="AB88" s="29">
        <v>5.4618376276130299E-3</v>
      </c>
      <c r="AC88" s="27">
        <v>3.9985415653864855</v>
      </c>
      <c r="AD88" s="27">
        <v>0.60768108896451145</v>
      </c>
      <c r="AE88" s="27" t="s">
        <v>45</v>
      </c>
      <c r="AF88" s="27" t="s">
        <v>45</v>
      </c>
      <c r="AG88" s="27">
        <v>3.9134662129314535</v>
      </c>
    </row>
    <row r="89" spans="1:33" x14ac:dyDescent="0.2">
      <c r="A89" s="1">
        <v>74</v>
      </c>
      <c r="B89" s="25" t="s">
        <v>122</v>
      </c>
      <c r="C89" s="26">
        <v>1.7809139784946237</v>
      </c>
      <c r="D89" s="27">
        <v>2.2401433691756272E-2</v>
      </c>
      <c r="E89" s="27" t="s">
        <v>45</v>
      </c>
      <c r="F89" s="27" t="s">
        <v>45</v>
      </c>
      <c r="G89" s="27" t="s">
        <v>45</v>
      </c>
      <c r="H89" s="26">
        <v>8.584229390681003E-2</v>
      </c>
      <c r="I89" s="26">
        <v>6.7204301075268813E-2</v>
      </c>
      <c r="J89" s="27" t="s">
        <v>45</v>
      </c>
      <c r="K89" s="27" t="s">
        <v>45</v>
      </c>
      <c r="L89" s="27">
        <v>1.1424731182795698</v>
      </c>
      <c r="M89" s="27">
        <v>8.3893369175627228</v>
      </c>
      <c r="N89" s="27">
        <v>6.6465053763440862E-2</v>
      </c>
      <c r="O89" s="27" t="s">
        <v>45</v>
      </c>
      <c r="P89" s="27">
        <v>0.14560931899641577</v>
      </c>
      <c r="Q89" s="27">
        <v>2.5795250896057345E-2</v>
      </c>
      <c r="R89" s="27">
        <v>54.054659498207883</v>
      </c>
      <c r="S89" s="27" t="s">
        <v>45</v>
      </c>
      <c r="T89" s="30">
        <v>1.2096774193548387E-4</v>
      </c>
      <c r="U89" s="27">
        <v>0.87365591397849451</v>
      </c>
      <c r="V89" s="27">
        <v>0.17921146953405018</v>
      </c>
      <c r="W89" s="30">
        <v>4.2865143369175624E-3</v>
      </c>
      <c r="X89" s="27">
        <v>2.251344086021505</v>
      </c>
      <c r="Y89" s="27" t="s">
        <v>45</v>
      </c>
      <c r="Z89" s="27" t="s">
        <v>45</v>
      </c>
      <c r="AA89" s="27">
        <v>16.353046594982079</v>
      </c>
      <c r="AB89" s="29">
        <v>6.9612455197132625E-3</v>
      </c>
      <c r="AC89" s="27">
        <v>6.2051971326164876</v>
      </c>
      <c r="AD89" s="27">
        <v>0.59363799283154117</v>
      </c>
      <c r="AE89" s="27" t="s">
        <v>45</v>
      </c>
      <c r="AF89" s="27" t="s">
        <v>45</v>
      </c>
      <c r="AG89" s="27">
        <v>1.6801075268817203</v>
      </c>
    </row>
    <row r="90" spans="1:33" x14ac:dyDescent="0.2">
      <c r="A90" s="1">
        <v>75</v>
      </c>
      <c r="B90" s="25" t="s">
        <v>123</v>
      </c>
      <c r="C90" s="26">
        <v>96.794280442804435</v>
      </c>
      <c r="D90" s="27">
        <v>0.28828413284132842</v>
      </c>
      <c r="E90" s="27" t="s">
        <v>45</v>
      </c>
      <c r="F90" s="27" t="s">
        <v>45</v>
      </c>
      <c r="G90" s="27" t="s">
        <v>45</v>
      </c>
      <c r="H90" s="26">
        <v>0.3081180811808118</v>
      </c>
      <c r="I90" s="26">
        <v>0.69188191881918815</v>
      </c>
      <c r="J90" s="27" t="s">
        <v>45</v>
      </c>
      <c r="K90" s="27">
        <v>0.2767527675276753</v>
      </c>
      <c r="L90" s="27">
        <v>3.5862546125461257</v>
      </c>
      <c r="M90" s="27">
        <v>52.652214022140228</v>
      </c>
      <c r="N90" s="27">
        <v>1.1750461254612547E-2</v>
      </c>
      <c r="O90" s="27" t="s">
        <v>45</v>
      </c>
      <c r="P90" s="27">
        <v>0.11531365313653137</v>
      </c>
      <c r="Q90" s="27">
        <v>1.8173431734317343E-2</v>
      </c>
      <c r="R90" s="27">
        <v>105.88099630996311</v>
      </c>
      <c r="S90" s="27" t="s">
        <v>45</v>
      </c>
      <c r="T90" s="30">
        <v>3.9898523985239855E-4</v>
      </c>
      <c r="U90" s="27">
        <v>0.36900369003690037</v>
      </c>
      <c r="V90" s="27">
        <v>5.0392066420664205</v>
      </c>
      <c r="W90" s="30">
        <v>7.5369003690036905E-3</v>
      </c>
      <c r="X90" s="27">
        <v>0.48431734317343172</v>
      </c>
      <c r="Y90" s="27" t="s">
        <v>45</v>
      </c>
      <c r="Z90" s="27" t="s">
        <v>45</v>
      </c>
      <c r="AA90" s="27">
        <v>109.22509225092251</v>
      </c>
      <c r="AB90" s="29">
        <v>1.9695571955719561E-2</v>
      </c>
      <c r="AC90" s="27">
        <v>15.106088560885611</v>
      </c>
      <c r="AD90" s="27">
        <v>3.0212177121771222</v>
      </c>
      <c r="AE90" s="27" t="s">
        <v>45</v>
      </c>
      <c r="AF90" s="27" t="s">
        <v>45</v>
      </c>
      <c r="AG90" s="27">
        <v>23.639298892988929</v>
      </c>
    </row>
    <row r="91" spans="1:33" x14ac:dyDescent="0.2">
      <c r="A91" s="1">
        <v>76</v>
      </c>
      <c r="B91" s="25" t="s">
        <v>124</v>
      </c>
      <c r="C91" s="26">
        <v>44.536163522012579</v>
      </c>
      <c r="D91" s="27">
        <v>6.8789308176100614E-2</v>
      </c>
      <c r="E91" s="27" t="s">
        <v>45</v>
      </c>
      <c r="F91" s="27" t="s">
        <v>45</v>
      </c>
      <c r="G91" s="27" t="s">
        <v>45</v>
      </c>
      <c r="H91" s="26">
        <v>0.17413522012578614</v>
      </c>
      <c r="I91" s="26">
        <v>0.23584905660377356</v>
      </c>
      <c r="J91" s="27">
        <v>9.8270440251572323E-3</v>
      </c>
      <c r="K91" s="27">
        <v>2.2012578616352196</v>
      </c>
      <c r="L91" s="27">
        <v>2.6827830188679243</v>
      </c>
      <c r="M91" s="27">
        <v>28.714622641509436</v>
      </c>
      <c r="N91" s="27">
        <v>7.0135613207547173E-2</v>
      </c>
      <c r="O91" s="27" t="s">
        <v>45</v>
      </c>
      <c r="P91" s="27">
        <v>0.26533018867924529</v>
      </c>
      <c r="Q91" s="27">
        <v>1.7786949685534591E-2</v>
      </c>
      <c r="R91" s="27">
        <v>72.651336477987414</v>
      </c>
      <c r="S91" s="27" t="s">
        <v>45</v>
      </c>
      <c r="T91" s="30">
        <v>2.2897012578616355E-4</v>
      </c>
      <c r="U91" s="27">
        <v>0.41273584905660371</v>
      </c>
      <c r="V91" s="27">
        <v>0.57979559748427667</v>
      </c>
      <c r="W91" s="30">
        <v>1.2244496855345911E-2</v>
      </c>
      <c r="X91" s="27">
        <v>1.1792452830188678</v>
      </c>
      <c r="Y91" s="27" t="s">
        <v>45</v>
      </c>
      <c r="Z91" s="27" t="s">
        <v>45</v>
      </c>
      <c r="AA91" s="27">
        <v>53.488600628930811</v>
      </c>
      <c r="AB91" s="29">
        <v>1.2853773584905661E-2</v>
      </c>
      <c r="AC91" s="27">
        <v>7.8223270440251573</v>
      </c>
      <c r="AD91" s="27">
        <v>1.4150943396226414</v>
      </c>
      <c r="AE91" s="27" t="s">
        <v>45</v>
      </c>
      <c r="AF91" s="27" t="s">
        <v>45</v>
      </c>
      <c r="AG91" s="27">
        <v>11.930031446540879</v>
      </c>
    </row>
    <row r="92" spans="1:33" x14ac:dyDescent="0.2">
      <c r="A92" s="1">
        <v>77</v>
      </c>
      <c r="B92" s="25" t="s">
        <v>125</v>
      </c>
      <c r="C92" s="26">
        <v>3.8124452234881678</v>
      </c>
      <c r="D92" s="27">
        <v>0.17528483786152499</v>
      </c>
      <c r="E92" s="27" t="s">
        <v>45</v>
      </c>
      <c r="F92" s="27" t="s">
        <v>45</v>
      </c>
      <c r="G92" s="27" t="s">
        <v>45</v>
      </c>
      <c r="H92" s="26">
        <v>5.6299298860648564E-2</v>
      </c>
      <c r="I92" s="26">
        <v>6.5731814198071864E-2</v>
      </c>
      <c r="J92" s="27">
        <v>3.2865907099035932E-2</v>
      </c>
      <c r="K92" s="27" t="s">
        <v>45</v>
      </c>
      <c r="L92" s="27">
        <v>10.780017528483787</v>
      </c>
      <c r="M92" s="27">
        <v>1.7857142857142858</v>
      </c>
      <c r="N92" s="27">
        <v>7.9371165644171779E-2</v>
      </c>
      <c r="O92" s="27" t="s">
        <v>45</v>
      </c>
      <c r="P92" s="27">
        <v>0.36152497808939532</v>
      </c>
      <c r="Q92" s="27">
        <v>3.0598159509202461E-2</v>
      </c>
      <c r="R92" s="27">
        <v>27.651183172655568</v>
      </c>
      <c r="S92" s="27" t="s">
        <v>45</v>
      </c>
      <c r="T92" s="30" t="s">
        <v>45</v>
      </c>
      <c r="U92" s="27">
        <v>0.317703768624014</v>
      </c>
      <c r="V92" s="27">
        <v>8.7642418930762495E-2</v>
      </c>
      <c r="W92" s="30">
        <v>8.3840929009640665E-3</v>
      </c>
      <c r="X92" s="27">
        <v>2.3663453111305874</v>
      </c>
      <c r="Y92" s="27" t="s">
        <v>45</v>
      </c>
      <c r="Z92" s="27" t="s">
        <v>45</v>
      </c>
      <c r="AA92" s="27">
        <v>28.648115687992991</v>
      </c>
      <c r="AB92" s="29">
        <v>9.9517966695880818E-3</v>
      </c>
      <c r="AC92" s="27">
        <v>4.1739702015775642</v>
      </c>
      <c r="AD92" s="27">
        <v>9.8597721297107796E-2</v>
      </c>
      <c r="AE92" s="27" t="s">
        <v>45</v>
      </c>
      <c r="AF92" s="27" t="s">
        <v>45</v>
      </c>
      <c r="AG92" s="27">
        <v>7.0771253286590721</v>
      </c>
    </row>
    <row r="93" spans="1:33" x14ac:dyDescent="0.2">
      <c r="A93" s="1">
        <v>78</v>
      </c>
      <c r="B93" s="25" t="s">
        <v>126</v>
      </c>
      <c r="C93" s="26">
        <v>62.782081508925565</v>
      </c>
      <c r="D93" s="27">
        <v>8.4203435500168414E-3</v>
      </c>
      <c r="E93" s="27" t="s">
        <v>45</v>
      </c>
      <c r="F93" s="27" t="s">
        <v>45</v>
      </c>
      <c r="G93" s="27" t="s">
        <v>45</v>
      </c>
      <c r="H93" s="26">
        <v>0.13969349949477938</v>
      </c>
      <c r="I93" s="26">
        <v>0.44627820815089259</v>
      </c>
      <c r="J93" s="27" t="s">
        <v>45</v>
      </c>
      <c r="K93" s="27">
        <v>0.22734927585045472</v>
      </c>
      <c r="L93" s="27">
        <v>3.1828898619063661</v>
      </c>
      <c r="M93" s="27">
        <v>14.971370831929944</v>
      </c>
      <c r="N93" s="27">
        <v>0.10533849781071067</v>
      </c>
      <c r="O93" s="27" t="s">
        <v>45</v>
      </c>
      <c r="P93" s="27">
        <v>0.32839339845065674</v>
      </c>
      <c r="Q93" s="27">
        <v>2.2802290333445607E-2</v>
      </c>
      <c r="R93" s="27">
        <v>118.89525092623778</v>
      </c>
      <c r="S93" s="27" t="s">
        <v>45</v>
      </c>
      <c r="T93" s="30">
        <v>2.2734927585045471E-4</v>
      </c>
      <c r="U93" s="27">
        <v>0.16840687100033683</v>
      </c>
      <c r="V93" s="27">
        <v>0.21892893230043786</v>
      </c>
      <c r="W93" s="30">
        <v>1.3826204109127653E-2</v>
      </c>
      <c r="X93" s="27">
        <v>2.3997979117547996</v>
      </c>
      <c r="Y93" s="27" t="s">
        <v>45</v>
      </c>
      <c r="Z93" s="27" t="s">
        <v>45</v>
      </c>
      <c r="AA93" s="27">
        <v>32.595149882115194</v>
      </c>
      <c r="AB93" s="29">
        <v>1.2116874368474233E-2</v>
      </c>
      <c r="AC93" s="27">
        <v>6.7531155271135059</v>
      </c>
      <c r="AD93" s="27">
        <v>0.89255641630178517</v>
      </c>
      <c r="AE93" s="27" t="s">
        <v>45</v>
      </c>
      <c r="AF93" s="27" t="s">
        <v>45</v>
      </c>
      <c r="AG93" s="27">
        <v>13.110474907376222</v>
      </c>
    </row>
    <row r="94" spans="1:33" x14ac:dyDescent="0.2">
      <c r="A94" s="1">
        <v>79</v>
      </c>
      <c r="B94" s="25" t="s">
        <v>127</v>
      </c>
      <c r="C94" s="26">
        <v>34.32963279248505</v>
      </c>
      <c r="D94" s="27">
        <v>0.20281810418445773</v>
      </c>
      <c r="E94" s="27" t="s">
        <v>45</v>
      </c>
      <c r="F94" s="27" t="s">
        <v>45</v>
      </c>
      <c r="G94" s="27" t="s">
        <v>45</v>
      </c>
      <c r="H94" s="26">
        <v>9.8217335610589249E-2</v>
      </c>
      <c r="I94" s="26">
        <v>0.34158838599487618</v>
      </c>
      <c r="J94" s="27" t="s">
        <v>45</v>
      </c>
      <c r="K94" s="27">
        <v>0.1174210076857387</v>
      </c>
      <c r="L94" s="27">
        <v>2.8928266438941077</v>
      </c>
      <c r="M94" s="27">
        <v>22.171221178479932</v>
      </c>
      <c r="N94" s="27">
        <v>4.3509820666097349E-2</v>
      </c>
      <c r="O94" s="27" t="s">
        <v>45</v>
      </c>
      <c r="P94" s="27">
        <v>0.19214346712211786</v>
      </c>
      <c r="Q94" s="27">
        <v>1.0728010247651579E-2</v>
      </c>
      <c r="R94" s="27">
        <v>43.424423569598638</v>
      </c>
      <c r="S94" s="27" t="s">
        <v>45</v>
      </c>
      <c r="T94" s="30">
        <v>2.0858240819812126E-3</v>
      </c>
      <c r="U94" s="27">
        <v>0.22416737830913749</v>
      </c>
      <c r="V94" s="27">
        <v>0.37361229718189587</v>
      </c>
      <c r="W94" s="30">
        <v>6.8808710503842864E-3</v>
      </c>
      <c r="X94" s="27">
        <v>1.1742100768573867</v>
      </c>
      <c r="Y94" s="27" t="s">
        <v>45</v>
      </c>
      <c r="Z94" s="27" t="s">
        <v>45</v>
      </c>
      <c r="AA94" s="27">
        <v>35.333048676345008</v>
      </c>
      <c r="AB94" s="29">
        <v>1.2948334756618277E-2</v>
      </c>
      <c r="AC94" s="27">
        <v>4.8569598633646454</v>
      </c>
      <c r="AD94" s="27">
        <v>0.59777967549103328</v>
      </c>
      <c r="AE94" s="27" t="s">
        <v>45</v>
      </c>
      <c r="AF94" s="27" t="s">
        <v>45</v>
      </c>
      <c r="AG94" s="27">
        <v>30.166524338172504</v>
      </c>
    </row>
    <row r="95" spans="1:33" x14ac:dyDescent="0.2">
      <c r="A95" s="1">
        <v>80</v>
      </c>
      <c r="B95" s="25" t="s">
        <v>128</v>
      </c>
      <c r="C95" s="26">
        <v>7.4475212148280487</v>
      </c>
      <c r="D95" s="27">
        <v>7.8159892809289852E-2</v>
      </c>
      <c r="E95" s="27" t="s">
        <v>45</v>
      </c>
      <c r="F95" s="27" t="s">
        <v>45</v>
      </c>
      <c r="G95" s="27" t="s">
        <v>45</v>
      </c>
      <c r="H95" s="26">
        <v>5.2903081732916489E-2</v>
      </c>
      <c r="I95" s="26">
        <v>0.12282268870031264</v>
      </c>
      <c r="J95" s="27" t="s">
        <v>45</v>
      </c>
      <c r="K95" s="27">
        <v>0.2121482804823582</v>
      </c>
      <c r="L95" s="27">
        <v>2.1438142027690934</v>
      </c>
      <c r="M95" s="27">
        <v>3.8410004466279593</v>
      </c>
      <c r="N95" s="27">
        <v>9.0330504689593569E-2</v>
      </c>
      <c r="O95" s="27" t="s">
        <v>45</v>
      </c>
      <c r="P95" s="27">
        <v>0.25681107637338096</v>
      </c>
      <c r="Q95" s="27">
        <v>1.1924966502903082E-2</v>
      </c>
      <c r="R95" s="27">
        <v>37.338097364895042</v>
      </c>
      <c r="S95" s="27" t="s">
        <v>45</v>
      </c>
      <c r="T95" s="30">
        <v>4.2764627065654319E-4</v>
      </c>
      <c r="U95" s="27">
        <v>0.26797677534613668</v>
      </c>
      <c r="V95" s="27">
        <v>0.26797677534613668</v>
      </c>
      <c r="W95" s="30">
        <v>1.7373827601607861E-3</v>
      </c>
      <c r="X95" s="27">
        <v>1.4738722644037519</v>
      </c>
      <c r="Y95" s="27" t="s">
        <v>45</v>
      </c>
      <c r="Z95" s="27" t="s">
        <v>45</v>
      </c>
      <c r="AA95" s="27">
        <v>6.3644484144707461</v>
      </c>
      <c r="AB95" s="29">
        <v>5.7190710138454665E-3</v>
      </c>
      <c r="AC95" s="27">
        <v>3.2380527020991519</v>
      </c>
      <c r="AD95" s="27">
        <v>0.51362215274676193</v>
      </c>
      <c r="AE95" s="27" t="s">
        <v>45</v>
      </c>
      <c r="AF95" s="27" t="s">
        <v>45</v>
      </c>
      <c r="AG95" s="27">
        <v>4.8905761500669946</v>
      </c>
    </row>
    <row r="96" spans="1:33" x14ac:dyDescent="0.2">
      <c r="A96" s="1">
        <v>81</v>
      </c>
      <c r="B96" s="25" t="s">
        <v>129</v>
      </c>
      <c r="C96" s="26">
        <v>26.152707275803724</v>
      </c>
      <c r="D96" s="27">
        <v>7.4027072758037216E-2</v>
      </c>
      <c r="E96" s="27" t="s">
        <v>45</v>
      </c>
      <c r="F96" s="27" t="s">
        <v>45</v>
      </c>
      <c r="G96" s="27" t="s">
        <v>45</v>
      </c>
      <c r="H96" s="26">
        <v>0.25412436548223349</v>
      </c>
      <c r="I96" s="26">
        <v>0.10575296108291032</v>
      </c>
      <c r="J96" s="27" t="s">
        <v>45</v>
      </c>
      <c r="K96" s="27">
        <v>0.14805414551607443</v>
      </c>
      <c r="L96" s="27">
        <v>1.9247038917089678</v>
      </c>
      <c r="M96" s="27">
        <v>17.829949238578681</v>
      </c>
      <c r="N96" s="27">
        <v>1.2796108291032149E-2</v>
      </c>
      <c r="O96" s="27" t="s">
        <v>45</v>
      </c>
      <c r="P96" s="27">
        <v>0.13747884940778343</v>
      </c>
      <c r="Q96" s="27">
        <v>3.7034686971235187E-2</v>
      </c>
      <c r="R96" s="27">
        <v>111.25211505922167</v>
      </c>
      <c r="S96" s="27" t="s">
        <v>45</v>
      </c>
      <c r="T96" s="30">
        <v>1.0067681895093064E-3</v>
      </c>
      <c r="U96" s="27">
        <v>0.58164128595600673</v>
      </c>
      <c r="V96" s="27">
        <v>0.51818950930626062</v>
      </c>
      <c r="W96" s="30">
        <v>7.5465313028764804E-3</v>
      </c>
      <c r="X96" s="27">
        <v>0.41243654822335019</v>
      </c>
      <c r="Y96" s="27" t="s">
        <v>45</v>
      </c>
      <c r="Z96" s="27" t="s">
        <v>45</v>
      </c>
      <c r="AA96" s="27">
        <v>78.405245346869719</v>
      </c>
      <c r="AB96" s="29">
        <v>1.8876903553299493E-2</v>
      </c>
      <c r="AC96" s="27">
        <v>17.861675126903553</v>
      </c>
      <c r="AD96" s="27">
        <v>1.4911167512690355</v>
      </c>
      <c r="AE96" s="27" t="s">
        <v>45</v>
      </c>
      <c r="AF96" s="27" t="s">
        <v>45</v>
      </c>
      <c r="AG96" s="27">
        <v>3.7225042301184432</v>
      </c>
    </row>
    <row r="97" spans="1:33" x14ac:dyDescent="0.2">
      <c r="A97" s="1">
        <v>82</v>
      </c>
      <c r="B97" s="25" t="s">
        <v>130</v>
      </c>
      <c r="C97" s="26">
        <v>6.5538391640163569</v>
      </c>
      <c r="D97" s="27">
        <v>0.14766015447523853</v>
      </c>
      <c r="E97" s="27" t="s">
        <v>45</v>
      </c>
      <c r="F97" s="27" t="s">
        <v>45</v>
      </c>
      <c r="G97" s="27" t="s">
        <v>45</v>
      </c>
      <c r="H97" s="26">
        <v>6.3187187641980919E-2</v>
      </c>
      <c r="I97" s="26">
        <v>0.26124488868696044</v>
      </c>
      <c r="J97" s="27" t="s">
        <v>45</v>
      </c>
      <c r="K97" s="27">
        <v>4.5433893684688781E-2</v>
      </c>
      <c r="L97" s="27">
        <v>1.2948659700136305</v>
      </c>
      <c r="M97" s="27">
        <v>2.850976828714221</v>
      </c>
      <c r="N97" s="27">
        <v>7.5658791458427993E-2</v>
      </c>
      <c r="O97" s="27" t="s">
        <v>45</v>
      </c>
      <c r="P97" s="27">
        <v>0.34075420263516581</v>
      </c>
      <c r="Q97" s="27">
        <v>1.5106769650159021E-2</v>
      </c>
      <c r="R97" s="27">
        <v>43.525670149931848</v>
      </c>
      <c r="S97" s="27" t="s">
        <v>45</v>
      </c>
      <c r="T97" s="30">
        <v>6.3607451158564286E-5</v>
      </c>
      <c r="U97" s="27">
        <v>3.4075420263516586E-2</v>
      </c>
      <c r="V97" s="27">
        <v>0.34075420263516581</v>
      </c>
      <c r="W97" s="30">
        <v>1.8832348932303498E-3</v>
      </c>
      <c r="X97" s="27">
        <v>1.749204906860518</v>
      </c>
      <c r="Y97" s="27" t="s">
        <v>45</v>
      </c>
      <c r="Z97" s="27" t="s">
        <v>45</v>
      </c>
      <c r="AA97" s="27">
        <v>10.313493866424354</v>
      </c>
      <c r="AB97" s="29">
        <v>5.870059064061791E-3</v>
      </c>
      <c r="AC97" s="27">
        <v>4.19127669241254</v>
      </c>
      <c r="AD97" s="27">
        <v>0.86324398000908686</v>
      </c>
      <c r="AE97" s="27" t="s">
        <v>45</v>
      </c>
      <c r="AF97" s="27" t="s">
        <v>45</v>
      </c>
      <c r="AG97" s="27">
        <v>7.2353475692866898</v>
      </c>
    </row>
    <row r="98" spans="1:33" x14ac:dyDescent="0.2">
      <c r="A98" s="1">
        <v>83</v>
      </c>
      <c r="B98" s="25" t="s">
        <v>131</v>
      </c>
      <c r="C98" s="26">
        <v>12.943731117824775</v>
      </c>
      <c r="D98" s="27" t="s">
        <v>45</v>
      </c>
      <c r="E98" s="27" t="s">
        <v>45</v>
      </c>
      <c r="F98" s="27" t="s">
        <v>45</v>
      </c>
      <c r="G98" s="27" t="s">
        <v>45</v>
      </c>
      <c r="H98" s="26">
        <v>0.20081193353474322</v>
      </c>
      <c r="I98" s="26">
        <v>9.4410876132930532E-2</v>
      </c>
      <c r="J98" s="27">
        <v>3.776435045317221E-2</v>
      </c>
      <c r="K98" s="27">
        <v>0.24546827794561937</v>
      </c>
      <c r="L98" s="27">
        <v>1.9259818731117826</v>
      </c>
      <c r="M98" s="27">
        <v>8.9312688821752282</v>
      </c>
      <c r="N98" s="27">
        <v>4.765861027190333E-2</v>
      </c>
      <c r="O98" s="27" t="s">
        <v>45</v>
      </c>
      <c r="P98" s="27">
        <v>0.12273413897280969</v>
      </c>
      <c r="Q98" s="27">
        <v>3.7339501510574025E-2</v>
      </c>
      <c r="R98" s="27">
        <v>101.96374622356497</v>
      </c>
      <c r="S98" s="27" t="s">
        <v>45</v>
      </c>
      <c r="T98" s="30">
        <v>2.360271903323263E-4</v>
      </c>
      <c r="U98" s="27">
        <v>0.67031722054380682</v>
      </c>
      <c r="V98" s="27">
        <v>0.52870090634441091</v>
      </c>
      <c r="W98" s="30">
        <v>1.9873489425981872E-2</v>
      </c>
      <c r="X98" s="27">
        <v>0.95354984894259831</v>
      </c>
      <c r="Y98" s="27" t="s">
        <v>45</v>
      </c>
      <c r="Z98" s="27" t="s">
        <v>45</v>
      </c>
      <c r="AA98" s="27">
        <v>378.02114803625381</v>
      </c>
      <c r="AB98" s="29">
        <v>1.7116691842900305E-2</v>
      </c>
      <c r="AC98" s="27">
        <v>14.180513595166163</v>
      </c>
      <c r="AD98" s="27">
        <v>0.59478851963746227</v>
      </c>
      <c r="AE98" s="27" t="s">
        <v>45</v>
      </c>
      <c r="AF98" s="27" t="s">
        <v>45</v>
      </c>
      <c r="AG98" s="27">
        <v>10.139728096676738</v>
      </c>
    </row>
    <row r="99" spans="1:33" x14ac:dyDescent="0.2">
      <c r="A99" s="1">
        <v>84</v>
      </c>
      <c r="B99" s="25" t="s">
        <v>132</v>
      </c>
      <c r="C99" s="26">
        <v>15.906210392902409</v>
      </c>
      <c r="D99" s="27">
        <v>0.10561892691170259</v>
      </c>
      <c r="E99" s="27" t="s">
        <v>45</v>
      </c>
      <c r="F99" s="27" t="s">
        <v>45</v>
      </c>
      <c r="G99" s="27" t="s">
        <v>45</v>
      </c>
      <c r="H99" s="26">
        <v>0.3028094634558513</v>
      </c>
      <c r="I99" s="26">
        <v>9.5057034220532313E-2</v>
      </c>
      <c r="J99" s="27">
        <v>6.3371356147021551E-2</v>
      </c>
      <c r="K99" s="27">
        <v>0.45416138572032111</v>
      </c>
      <c r="L99" s="27">
        <v>2.703844528939586</v>
      </c>
      <c r="M99" s="27">
        <v>12.896070975918885</v>
      </c>
      <c r="N99" s="27">
        <v>0.10487959442332066</v>
      </c>
      <c r="O99" s="27" t="s">
        <v>45</v>
      </c>
      <c r="P99" s="27">
        <v>3.1685678073510776E-2</v>
      </c>
      <c r="Q99" s="27">
        <v>2.8305872412336293E-2</v>
      </c>
      <c r="R99" s="27">
        <v>75.306294888043936</v>
      </c>
      <c r="S99" s="27" t="s">
        <v>45</v>
      </c>
      <c r="T99" s="30">
        <v>3.7283481199831006E-4</v>
      </c>
      <c r="U99" s="27">
        <v>0.78158005914659912</v>
      </c>
      <c r="V99" s="27">
        <v>0.67596113223489651</v>
      </c>
      <c r="W99" s="30">
        <v>2.7376425855513312E-2</v>
      </c>
      <c r="X99" s="27">
        <v>2.629911280101394</v>
      </c>
      <c r="Y99" s="27" t="s">
        <v>45</v>
      </c>
      <c r="Z99" s="27" t="s">
        <v>45</v>
      </c>
      <c r="AA99" s="27">
        <v>546.04985213350233</v>
      </c>
      <c r="AB99" s="29">
        <v>2.1387832699619774E-2</v>
      </c>
      <c r="AC99" s="27">
        <v>20.268272074355721</v>
      </c>
      <c r="AD99" s="27">
        <v>0.67596113223489651</v>
      </c>
      <c r="AE99" s="27" t="s">
        <v>45</v>
      </c>
      <c r="AF99" s="27" t="s">
        <v>45</v>
      </c>
      <c r="AG99" s="27">
        <v>7.2665821715251377</v>
      </c>
    </row>
    <row r="100" spans="1:33" x14ac:dyDescent="0.2">
      <c r="A100" s="1">
        <v>85</v>
      </c>
      <c r="B100" s="25" t="s">
        <v>133</v>
      </c>
      <c r="C100" s="26">
        <v>11.998361998361998</v>
      </c>
      <c r="D100" s="27">
        <v>6.142506142506142E-2</v>
      </c>
      <c r="E100" s="27" t="s">
        <v>45</v>
      </c>
      <c r="F100" s="27" t="s">
        <v>45</v>
      </c>
      <c r="G100" s="27" t="s">
        <v>45</v>
      </c>
      <c r="H100" s="26">
        <v>7.77027027027027E-2</v>
      </c>
      <c r="I100" s="26">
        <v>5.1187551187551188E-2</v>
      </c>
      <c r="J100" s="27">
        <v>1.0237510237510237E-2</v>
      </c>
      <c r="K100" s="27">
        <v>0.12285012285012284</v>
      </c>
      <c r="L100" s="27">
        <v>0.83947583947583959</v>
      </c>
      <c r="M100" s="27">
        <v>7.5859950859950862</v>
      </c>
      <c r="N100" s="27">
        <v>0.16011466011466013</v>
      </c>
      <c r="O100" s="27" t="s">
        <v>45</v>
      </c>
      <c r="P100" s="27">
        <v>0.28665028665028663</v>
      </c>
      <c r="Q100" s="27">
        <v>1.8703931203931205E-2</v>
      </c>
      <c r="R100" s="27">
        <v>32.217444717444714</v>
      </c>
      <c r="S100" s="27" t="s">
        <v>45</v>
      </c>
      <c r="T100" s="30" t="s">
        <v>45</v>
      </c>
      <c r="U100" s="27" t="s">
        <v>45</v>
      </c>
      <c r="V100" s="27">
        <v>0.28665028665028663</v>
      </c>
      <c r="W100" s="30">
        <v>1.9307944307944307E-3</v>
      </c>
      <c r="X100" s="27">
        <v>3.665028665028665</v>
      </c>
      <c r="Y100" s="27" t="s">
        <v>45</v>
      </c>
      <c r="Z100" s="27" t="s">
        <v>45</v>
      </c>
      <c r="AA100" s="27">
        <v>12.059787059787059</v>
      </c>
      <c r="AB100" s="29">
        <v>5.3245290745290745E-3</v>
      </c>
      <c r="AC100" s="27">
        <v>4.770679770679771</v>
      </c>
      <c r="AD100" s="27">
        <v>1.8120393120393121</v>
      </c>
      <c r="AE100" s="27" t="s">
        <v>45</v>
      </c>
      <c r="AF100" s="27" t="s">
        <v>45</v>
      </c>
      <c r="AG100" s="27">
        <v>3.4295659295659298</v>
      </c>
    </row>
    <row r="101" spans="1:33" x14ac:dyDescent="0.2">
      <c r="A101" s="1">
        <v>86</v>
      </c>
      <c r="B101" s="25" t="s">
        <v>134</v>
      </c>
      <c r="C101" s="26">
        <v>2.8335860500379075</v>
      </c>
      <c r="D101" s="27" t="s">
        <v>45</v>
      </c>
      <c r="E101" s="27" t="s">
        <v>45</v>
      </c>
      <c r="F101" s="27" t="s">
        <v>45</v>
      </c>
      <c r="G101" s="27" t="s">
        <v>45</v>
      </c>
      <c r="H101" s="26">
        <v>0.12670583775587566</v>
      </c>
      <c r="I101" s="26">
        <v>0.18953752843062929</v>
      </c>
      <c r="J101" s="27">
        <v>6.6338134950720246E-2</v>
      </c>
      <c r="K101" s="27">
        <v>4.7384382107657323E-2</v>
      </c>
      <c r="L101" s="27">
        <v>0.93821076573161499</v>
      </c>
      <c r="M101" s="27">
        <v>2.246019711902957</v>
      </c>
      <c r="N101" s="27">
        <v>5.4131918119787722E-2</v>
      </c>
      <c r="O101" s="27" t="s">
        <v>45</v>
      </c>
      <c r="P101" s="27">
        <v>5.6861258529188781E-2</v>
      </c>
      <c r="Q101" s="27">
        <v>3.6457543593631542E-2</v>
      </c>
      <c r="R101" s="27">
        <v>61.988248673237301</v>
      </c>
      <c r="S101" s="27" t="s">
        <v>45</v>
      </c>
      <c r="T101" s="30" t="s">
        <v>45</v>
      </c>
      <c r="U101" s="27">
        <v>1.4783927217589081</v>
      </c>
      <c r="V101" s="27">
        <v>1.8953752843062929E-2</v>
      </c>
      <c r="W101" s="30">
        <v>5.610310841546627E-3</v>
      </c>
      <c r="X101" s="27">
        <v>2.0375284306292647</v>
      </c>
      <c r="Y101" s="27" t="s">
        <v>45</v>
      </c>
      <c r="Z101" s="27" t="s">
        <v>45</v>
      </c>
      <c r="AA101" s="27">
        <v>6.9086429112964378</v>
      </c>
      <c r="AB101" s="29">
        <v>9.4863532979529951E-3</v>
      </c>
      <c r="AC101" s="27">
        <v>11.552312357846855</v>
      </c>
      <c r="AD101" s="27">
        <v>0.18953752843062929</v>
      </c>
      <c r="AE101" s="27" t="s">
        <v>45</v>
      </c>
      <c r="AF101" s="27" t="s">
        <v>45</v>
      </c>
      <c r="AG101" s="27">
        <v>2.8051554207733131</v>
      </c>
    </row>
    <row r="102" spans="1:33" x14ac:dyDescent="0.2">
      <c r="A102" s="1">
        <v>87</v>
      </c>
      <c r="B102" s="25" t="s">
        <v>135</v>
      </c>
      <c r="C102" s="26">
        <v>9.4449737970462113</v>
      </c>
      <c r="D102" s="27">
        <v>0.10719390185802763</v>
      </c>
      <c r="E102" s="27" t="s">
        <v>45</v>
      </c>
      <c r="F102" s="27" t="s">
        <v>45</v>
      </c>
      <c r="G102" s="27" t="s">
        <v>45</v>
      </c>
      <c r="H102" s="26">
        <v>0.23106241067174843</v>
      </c>
      <c r="I102" s="26">
        <v>8.3373034778465929E-2</v>
      </c>
      <c r="J102" s="27" t="s">
        <v>45</v>
      </c>
      <c r="K102" s="27">
        <v>0.13101476893758932</v>
      </c>
      <c r="L102" s="27">
        <v>2.5964745116722252</v>
      </c>
      <c r="M102" s="27">
        <v>9.1591233920914714</v>
      </c>
      <c r="N102" s="27">
        <v>0.12065269175798</v>
      </c>
      <c r="O102" s="27" t="s">
        <v>45</v>
      </c>
      <c r="P102" s="27">
        <v>0.13101476893758932</v>
      </c>
      <c r="Q102" s="27">
        <v>4.2532158170557416E-2</v>
      </c>
      <c r="R102" s="27">
        <v>91.912815626488808</v>
      </c>
      <c r="S102" s="27" t="s">
        <v>45</v>
      </c>
      <c r="T102" s="30" t="s">
        <v>45</v>
      </c>
      <c r="U102" s="27">
        <v>0.75035731300619346</v>
      </c>
      <c r="V102" s="27">
        <v>0.69080514530728909</v>
      </c>
      <c r="W102" s="30">
        <v>3.8006193425440683E-2</v>
      </c>
      <c r="X102" s="27">
        <v>3.3944735588375416</v>
      </c>
      <c r="Y102" s="27" t="s">
        <v>45</v>
      </c>
      <c r="Z102" s="27" t="s">
        <v>45</v>
      </c>
      <c r="AA102" s="27">
        <v>429.96665078608862</v>
      </c>
      <c r="AB102" s="29">
        <v>2.1557884707003337E-2</v>
      </c>
      <c r="AC102" s="27">
        <v>14.518818484992853</v>
      </c>
      <c r="AD102" s="27">
        <v>0.464506908051453</v>
      </c>
      <c r="AE102" s="27" t="s">
        <v>45</v>
      </c>
      <c r="AF102" s="27" t="s">
        <v>45</v>
      </c>
      <c r="AG102" s="27">
        <v>7.0628870890900428</v>
      </c>
    </row>
    <row r="103" spans="1:33" x14ac:dyDescent="0.2">
      <c r="A103" s="1">
        <v>88</v>
      </c>
      <c r="B103" s="25" t="s">
        <v>136</v>
      </c>
      <c r="C103" s="26">
        <v>15.301819795827784</v>
      </c>
      <c r="D103" s="27">
        <v>0.17754105636928541</v>
      </c>
      <c r="E103" s="27" t="s">
        <v>45</v>
      </c>
      <c r="F103" s="27" t="s">
        <v>45</v>
      </c>
      <c r="G103" s="27" t="s">
        <v>45</v>
      </c>
      <c r="H103" s="26">
        <v>0.2011762094984465</v>
      </c>
      <c r="I103" s="26">
        <v>0.22192632046160676</v>
      </c>
      <c r="J103" s="27" t="s">
        <v>45</v>
      </c>
      <c r="K103" s="27">
        <v>9.986684420772303E-2</v>
      </c>
      <c r="L103" s="27">
        <v>2.7518863737239236</v>
      </c>
      <c r="M103" s="27">
        <v>6.1806480248557483</v>
      </c>
      <c r="N103" s="27">
        <v>0.24178872614292052</v>
      </c>
      <c r="O103" s="27" t="s">
        <v>45</v>
      </c>
      <c r="P103" s="27">
        <v>0.1442521083000444</v>
      </c>
      <c r="Q103" s="27">
        <v>3.7172658677319136E-2</v>
      </c>
      <c r="R103" s="27">
        <v>36.329338659565025</v>
      </c>
      <c r="S103" s="27" t="s">
        <v>45</v>
      </c>
      <c r="T103" s="30">
        <v>9.2765201952951608E-4</v>
      </c>
      <c r="U103" s="27">
        <v>0.28850421660008879</v>
      </c>
      <c r="V103" s="27">
        <v>0.37727474478473144</v>
      </c>
      <c r="W103" s="30">
        <v>1.9940079893475365E-3</v>
      </c>
      <c r="X103" s="27">
        <v>5.3928095872170436</v>
      </c>
      <c r="Y103" s="27" t="s">
        <v>45</v>
      </c>
      <c r="Z103" s="27" t="s">
        <v>45</v>
      </c>
      <c r="AA103" s="27">
        <v>12.993786063027073</v>
      </c>
      <c r="AB103" s="29">
        <v>8.8459831335996452E-3</v>
      </c>
      <c r="AC103" s="27">
        <v>12.882822902796271</v>
      </c>
      <c r="AD103" s="27">
        <v>1.1207279183311141</v>
      </c>
      <c r="AE103" s="27" t="s">
        <v>45</v>
      </c>
      <c r="AF103" s="27" t="s">
        <v>45</v>
      </c>
      <c r="AG103" s="27">
        <v>4.2166000887705284</v>
      </c>
    </row>
    <row r="104" spans="1:33" x14ac:dyDescent="0.2">
      <c r="A104" s="1">
        <v>89</v>
      </c>
      <c r="B104" s="25" t="s">
        <v>137</v>
      </c>
      <c r="C104" s="26">
        <v>20.124938755512002</v>
      </c>
      <c r="D104" s="27" t="s">
        <v>45</v>
      </c>
      <c r="E104" s="27" t="s">
        <v>45</v>
      </c>
      <c r="F104" s="27" t="s">
        <v>45</v>
      </c>
      <c r="G104" s="27" t="s">
        <v>45</v>
      </c>
      <c r="H104" s="26">
        <v>7.845418912297894E-2</v>
      </c>
      <c r="I104" s="26">
        <v>0.13473787359137676</v>
      </c>
      <c r="J104" s="27">
        <v>2.4497795198432142E-2</v>
      </c>
      <c r="K104" s="27">
        <v>0.60019598236158744</v>
      </c>
      <c r="L104" s="27">
        <v>1.1881430671239588</v>
      </c>
      <c r="M104" s="27">
        <v>13.228809407153356</v>
      </c>
      <c r="N104" s="27">
        <v>0.22317491425771679</v>
      </c>
      <c r="O104" s="27" t="s">
        <v>45</v>
      </c>
      <c r="P104" s="27">
        <v>0.29397354238118567</v>
      </c>
      <c r="Q104" s="27">
        <v>1.7368936795688388E-2</v>
      </c>
      <c r="R104" s="27">
        <v>32.177853993140616</v>
      </c>
      <c r="S104" s="27" t="s">
        <v>45</v>
      </c>
      <c r="T104" s="30" t="s">
        <v>45</v>
      </c>
      <c r="U104" s="27">
        <v>0.23272905438510533</v>
      </c>
      <c r="V104" s="27" t="s">
        <v>45</v>
      </c>
      <c r="W104" s="30">
        <v>2.5220480156785889E-3</v>
      </c>
      <c r="X104" s="27">
        <v>4.593336599706026</v>
      </c>
      <c r="Y104" s="27" t="s">
        <v>45</v>
      </c>
      <c r="Z104" s="27" t="s">
        <v>45</v>
      </c>
      <c r="AA104" s="27">
        <v>28.343949044585987</v>
      </c>
      <c r="AB104" s="29">
        <v>6.1342479176874085E-3</v>
      </c>
      <c r="AC104" s="27">
        <v>5.781479666829985</v>
      </c>
      <c r="AD104" s="27">
        <v>7.655560999510044</v>
      </c>
      <c r="AE104" s="27" t="s">
        <v>45</v>
      </c>
      <c r="AF104" s="27" t="s">
        <v>45</v>
      </c>
      <c r="AG104" s="27">
        <v>3.6501714845663891</v>
      </c>
    </row>
    <row r="105" spans="1:33" x14ac:dyDescent="0.2">
      <c r="A105" s="1">
        <v>90</v>
      </c>
      <c r="B105" s="25" t="s">
        <v>138</v>
      </c>
      <c r="C105" s="26">
        <v>8.7628865979381452</v>
      </c>
      <c r="D105" s="27">
        <v>1.4761012183692597</v>
      </c>
      <c r="E105" s="27">
        <v>0.24601686972820991</v>
      </c>
      <c r="F105" s="27" t="s">
        <v>45</v>
      </c>
      <c r="G105" s="27" t="s">
        <v>45</v>
      </c>
      <c r="H105" s="26">
        <v>9.0053889409559523E-2</v>
      </c>
      <c r="I105" s="26">
        <v>0.97235238987816297</v>
      </c>
      <c r="J105" s="27">
        <v>0.63261480787253987</v>
      </c>
      <c r="K105" s="27">
        <v>0.33973758200562321</v>
      </c>
      <c r="L105" s="27">
        <v>1.6752577319587627</v>
      </c>
      <c r="M105" s="27">
        <v>8.4231490159325215</v>
      </c>
      <c r="N105" s="27">
        <v>6.2453139643861295E-2</v>
      </c>
      <c r="O105" s="27" t="s">
        <v>45</v>
      </c>
      <c r="P105" s="27">
        <v>0.56232427366447979</v>
      </c>
      <c r="Q105" s="27">
        <v>5.12066541705717E-2</v>
      </c>
      <c r="R105" s="27">
        <v>39.831302717900655</v>
      </c>
      <c r="S105" s="27">
        <v>2.4601686972820995</v>
      </c>
      <c r="T105" s="30">
        <v>1.186738519212746E-3</v>
      </c>
      <c r="U105" s="27">
        <v>3.9479850046860356</v>
      </c>
      <c r="V105" s="27">
        <v>1.007497656982193</v>
      </c>
      <c r="W105" s="30">
        <v>5.4674320524835986E-3</v>
      </c>
      <c r="X105" s="27">
        <v>2.1087160262417992</v>
      </c>
      <c r="Y105" s="27">
        <v>2.5890346766635424</v>
      </c>
      <c r="Z105" s="27">
        <v>3.5145267104029987E-2</v>
      </c>
      <c r="AA105" s="27">
        <v>21.602624179943767</v>
      </c>
      <c r="AB105" s="29">
        <v>1.1563964386129335E-2</v>
      </c>
      <c r="AC105" s="27">
        <v>5.9629803186504216</v>
      </c>
      <c r="AD105" s="27">
        <v>1.2300843486410498</v>
      </c>
      <c r="AE105" s="27" t="s">
        <v>45</v>
      </c>
      <c r="AF105" s="27">
        <v>0.21087160262417992</v>
      </c>
      <c r="AG105" s="27">
        <v>6.4081537019681347</v>
      </c>
    </row>
    <row r="106" spans="1:33" x14ac:dyDescent="0.2">
      <c r="A106" s="1">
        <v>91</v>
      </c>
      <c r="B106" s="25" t="s">
        <v>139</v>
      </c>
      <c r="C106" s="26">
        <v>66.924829157175395</v>
      </c>
      <c r="D106" s="27">
        <v>0.3872437357630979</v>
      </c>
      <c r="E106" s="27" t="s">
        <v>45</v>
      </c>
      <c r="F106" s="27" t="s">
        <v>45</v>
      </c>
      <c r="G106" s="27" t="s">
        <v>45</v>
      </c>
      <c r="H106" s="26">
        <v>0.16833712984054669</v>
      </c>
      <c r="I106" s="26">
        <v>0.41002277904328016</v>
      </c>
      <c r="J106" s="27">
        <v>6.8337129840546698E-2</v>
      </c>
      <c r="K106" s="27">
        <v>0.86560364464692485</v>
      </c>
      <c r="L106" s="27">
        <v>3.3940774487471526</v>
      </c>
      <c r="M106" s="27">
        <v>28.302961275626426</v>
      </c>
      <c r="N106" s="27">
        <v>9.1059225512528479E-3</v>
      </c>
      <c r="O106" s="27" t="s">
        <v>45</v>
      </c>
      <c r="P106" s="27">
        <v>0.39863325740318911</v>
      </c>
      <c r="Q106" s="27">
        <v>1.5535307517084283E-2</v>
      </c>
      <c r="R106" s="27">
        <v>81.64009111617311</v>
      </c>
      <c r="S106" s="27" t="s">
        <v>45</v>
      </c>
      <c r="T106" s="30">
        <v>9.6697038724373582E-4</v>
      </c>
      <c r="U106" s="27">
        <v>0.64920273348519364</v>
      </c>
      <c r="V106" s="27">
        <v>1.7767653758542139</v>
      </c>
      <c r="W106" s="30">
        <v>7.2995444191343972E-3</v>
      </c>
      <c r="X106" s="27">
        <v>0.68337129840546695</v>
      </c>
      <c r="Y106" s="27" t="s">
        <v>45</v>
      </c>
      <c r="Z106" s="27" t="s">
        <v>45</v>
      </c>
      <c r="AA106" s="27">
        <v>56.161731207289286</v>
      </c>
      <c r="AB106" s="29">
        <v>1.7027334851936221E-2</v>
      </c>
      <c r="AC106" s="27">
        <v>7.8132118451025052</v>
      </c>
      <c r="AD106" s="27">
        <v>1.7653758542141231</v>
      </c>
      <c r="AE106" s="27" t="s">
        <v>45</v>
      </c>
      <c r="AF106" s="27">
        <v>1.1389521640091117E-2</v>
      </c>
      <c r="AG106" s="27">
        <v>15.09111617312073</v>
      </c>
    </row>
    <row r="107" spans="1:33" x14ac:dyDescent="0.2">
      <c r="A107" s="1">
        <v>92</v>
      </c>
      <c r="B107" s="25" t="s">
        <v>140</v>
      </c>
      <c r="C107" s="26">
        <v>103.79419944378229</v>
      </c>
      <c r="D107" s="27">
        <v>1.9864918553833932E-2</v>
      </c>
      <c r="E107" s="27" t="s">
        <v>45</v>
      </c>
      <c r="F107" s="27" t="s">
        <v>45</v>
      </c>
      <c r="G107" s="27" t="s">
        <v>45</v>
      </c>
      <c r="H107" s="26">
        <v>0.1911005164878824</v>
      </c>
      <c r="I107" s="26">
        <v>0.34763607469209384</v>
      </c>
      <c r="J107" s="27">
        <v>9.9324592769169662E-3</v>
      </c>
      <c r="K107" s="27">
        <v>0.72506952721493845</v>
      </c>
      <c r="L107" s="27">
        <v>3.2876440206595152</v>
      </c>
      <c r="M107" s="27">
        <v>58.730631704410023</v>
      </c>
      <c r="N107" s="27">
        <v>2.1642828764402069E-2</v>
      </c>
      <c r="O107" s="27" t="s">
        <v>45</v>
      </c>
      <c r="P107" s="27">
        <v>0.26817640047675806</v>
      </c>
      <c r="Q107" s="27">
        <v>2.3480333730631704E-2</v>
      </c>
      <c r="R107" s="27">
        <v>84.167659912594374</v>
      </c>
      <c r="S107" s="27" t="s">
        <v>45</v>
      </c>
      <c r="T107" s="30">
        <v>2.7016289233214145E-4</v>
      </c>
      <c r="U107" s="27">
        <v>0.55621771950734999</v>
      </c>
      <c r="V107" s="27">
        <v>1.4203416765991259</v>
      </c>
      <c r="W107" s="30">
        <v>8.4078267779102121E-3</v>
      </c>
      <c r="X107" s="27">
        <v>0.85419149781485904</v>
      </c>
      <c r="Y107" s="27" t="s">
        <v>45</v>
      </c>
      <c r="Z107" s="27" t="s">
        <v>45</v>
      </c>
      <c r="AA107" s="27">
        <v>311.58124751688518</v>
      </c>
      <c r="AB107" s="29">
        <v>1.8305522447357964E-2</v>
      </c>
      <c r="AC107" s="27">
        <v>8.6015097338100919</v>
      </c>
      <c r="AD107" s="27">
        <v>7.5784664282876451</v>
      </c>
      <c r="AE107" s="27" t="s">
        <v>45</v>
      </c>
      <c r="AF107" s="27">
        <v>8.9392133492252682E-2</v>
      </c>
      <c r="AG107" s="27">
        <v>13.756456098529998</v>
      </c>
    </row>
    <row r="108" spans="1:33" x14ac:dyDescent="0.2">
      <c r="A108" s="1">
        <v>93</v>
      </c>
      <c r="B108" s="25" t="s">
        <v>141</v>
      </c>
      <c r="C108" s="26">
        <v>4.5748813120414331</v>
      </c>
      <c r="D108" s="27">
        <v>0.14026758739749678</v>
      </c>
      <c r="E108" s="27" t="s">
        <v>45</v>
      </c>
      <c r="F108" s="27" t="s">
        <v>45</v>
      </c>
      <c r="G108" s="27" t="s">
        <v>45</v>
      </c>
      <c r="H108" s="26">
        <v>0.22669400086318517</v>
      </c>
      <c r="I108" s="26">
        <v>0.14026758739749678</v>
      </c>
      <c r="J108" s="27">
        <v>0.1294777729823047</v>
      </c>
      <c r="K108" s="27">
        <v>7.5528700906344406E-2</v>
      </c>
      <c r="L108" s="27">
        <v>1.5213638325420802</v>
      </c>
      <c r="M108" s="27">
        <v>22.572291756581787</v>
      </c>
      <c r="N108" s="27">
        <v>0.10398144151920588</v>
      </c>
      <c r="O108" s="27" t="s">
        <v>45</v>
      </c>
      <c r="P108" s="27">
        <v>0.26974536037980146</v>
      </c>
      <c r="Q108" s="27">
        <v>6.0271903323262849E-2</v>
      </c>
      <c r="R108" s="27">
        <v>112.86145878290895</v>
      </c>
      <c r="S108" s="27" t="s">
        <v>45</v>
      </c>
      <c r="T108" s="30">
        <v>4.3051359516616314E-4</v>
      </c>
      <c r="U108" s="27">
        <v>2.1795425118687959</v>
      </c>
      <c r="V108" s="27">
        <v>0.75528700906344426</v>
      </c>
      <c r="W108" s="30">
        <v>4.1810530858869231E-3</v>
      </c>
      <c r="X108" s="27">
        <v>2.557186016400518</v>
      </c>
      <c r="Y108" s="27" t="s">
        <v>45</v>
      </c>
      <c r="Z108" s="27" t="s">
        <v>45</v>
      </c>
      <c r="AA108" s="27">
        <v>120.73802330599915</v>
      </c>
      <c r="AB108" s="29">
        <v>1.2246439361242988E-2</v>
      </c>
      <c r="AC108" s="27">
        <v>16.788951230038844</v>
      </c>
      <c r="AD108" s="27">
        <v>0.56107034958998714</v>
      </c>
      <c r="AE108" s="27" t="s">
        <v>45</v>
      </c>
      <c r="AF108" s="27" t="s">
        <v>45</v>
      </c>
      <c r="AG108" s="27">
        <v>4.2727665084160558</v>
      </c>
    </row>
    <row r="109" spans="1:33" x14ac:dyDescent="0.2">
      <c r="A109" s="1">
        <v>94</v>
      </c>
      <c r="B109" s="25" t="s">
        <v>142</v>
      </c>
      <c r="C109" s="26">
        <v>10.420393559928444</v>
      </c>
      <c r="D109" s="27">
        <v>1.1180679785330949E-2</v>
      </c>
      <c r="E109" s="27" t="s">
        <v>45</v>
      </c>
      <c r="F109" s="27" t="s">
        <v>45</v>
      </c>
      <c r="G109" s="27" t="s">
        <v>45</v>
      </c>
      <c r="H109" s="26">
        <v>0.10593694096601074</v>
      </c>
      <c r="I109" s="26">
        <v>0.17889087656529518</v>
      </c>
      <c r="J109" s="27">
        <v>0.12298747763864043</v>
      </c>
      <c r="K109" s="27">
        <v>6.7084078711985684E-2</v>
      </c>
      <c r="L109" s="27">
        <v>1.4758497316636852</v>
      </c>
      <c r="M109" s="27">
        <v>3.4324686940966016</v>
      </c>
      <c r="N109" s="27">
        <v>6.7240608228980328E-2</v>
      </c>
      <c r="O109" s="27" t="s">
        <v>45</v>
      </c>
      <c r="P109" s="27">
        <v>0.33542039355992842</v>
      </c>
      <c r="Q109" s="27">
        <v>7.8287119856887299E-2</v>
      </c>
      <c r="R109" s="27">
        <v>35.521019677996421</v>
      </c>
      <c r="S109" s="27" t="s">
        <v>45</v>
      </c>
      <c r="T109" s="30" t="s">
        <v>45</v>
      </c>
      <c r="U109" s="27">
        <v>0.8273703041144902</v>
      </c>
      <c r="V109" s="27">
        <v>0.16771019677996421</v>
      </c>
      <c r="W109" s="30">
        <v>5.9257602862254023E-3</v>
      </c>
      <c r="X109" s="27">
        <v>3.1082289803220036</v>
      </c>
      <c r="Y109" s="27" t="s">
        <v>45</v>
      </c>
      <c r="Z109" s="27" t="s">
        <v>45</v>
      </c>
      <c r="AA109" s="27">
        <v>10.711091234347048</v>
      </c>
      <c r="AB109" s="29">
        <v>9.2218246869409659E-3</v>
      </c>
      <c r="AC109" s="27">
        <v>12.175760286225403</v>
      </c>
      <c r="AD109" s="27">
        <v>0.62611806797853309</v>
      </c>
      <c r="AE109" s="27" t="s">
        <v>45</v>
      </c>
      <c r="AF109" s="27" t="s">
        <v>45</v>
      </c>
      <c r="AG109" s="27">
        <v>11.180679785330948</v>
      </c>
    </row>
    <row r="110" spans="1:33" x14ac:dyDescent="0.2">
      <c r="A110" s="1">
        <v>95</v>
      </c>
      <c r="B110" s="25" t="s">
        <v>143</v>
      </c>
      <c r="C110" s="26">
        <v>8.8659298414223944</v>
      </c>
      <c r="D110" s="27">
        <v>0.14416146083613646</v>
      </c>
      <c r="E110" s="27" t="s">
        <v>45</v>
      </c>
      <c r="F110" s="27" t="s">
        <v>45</v>
      </c>
      <c r="G110" s="27" t="s">
        <v>45</v>
      </c>
      <c r="H110" s="26">
        <v>7.0975492551657859E-2</v>
      </c>
      <c r="I110" s="26">
        <v>7.2080730418068228E-2</v>
      </c>
      <c r="J110" s="27">
        <v>4.8053820278712155E-2</v>
      </c>
      <c r="K110" s="27">
        <v>0.20422873618452664</v>
      </c>
      <c r="L110" s="27">
        <v>1.7299375300336375</v>
      </c>
      <c r="M110" s="27">
        <v>3.9884670831331088</v>
      </c>
      <c r="N110" s="27">
        <v>0.11367131186929361</v>
      </c>
      <c r="O110" s="27" t="s">
        <v>45</v>
      </c>
      <c r="P110" s="27">
        <v>0.19221528111484862</v>
      </c>
      <c r="Q110" s="27">
        <v>1.9509851033157135E-2</v>
      </c>
      <c r="R110" s="27">
        <v>23.125901009130224</v>
      </c>
      <c r="S110" s="27" t="s">
        <v>45</v>
      </c>
      <c r="T110" s="30" t="s">
        <v>45</v>
      </c>
      <c r="U110" s="27">
        <v>0.14416146083613646</v>
      </c>
      <c r="V110" s="27">
        <v>0.34839019702066309</v>
      </c>
      <c r="W110" s="30">
        <v>5.2859202306583368E-4</v>
      </c>
      <c r="X110" s="27">
        <v>2.126381547333013</v>
      </c>
      <c r="Y110" s="27" t="s">
        <v>45</v>
      </c>
      <c r="Z110" s="27" t="s">
        <v>45</v>
      </c>
      <c r="AA110" s="27">
        <v>9.0821720326765973</v>
      </c>
      <c r="AB110" s="29">
        <v>5.4961556943777029E-3</v>
      </c>
      <c r="AC110" s="27">
        <v>4.9255165785679962</v>
      </c>
      <c r="AD110" s="27">
        <v>0.57664584334454583</v>
      </c>
      <c r="AE110" s="27" t="s">
        <v>45</v>
      </c>
      <c r="AF110" s="27" t="s">
        <v>45</v>
      </c>
      <c r="AG110" s="27">
        <v>2.2465160980297934</v>
      </c>
    </row>
    <row r="111" spans="1:33" x14ac:dyDescent="0.2">
      <c r="A111" s="1">
        <v>96</v>
      </c>
      <c r="B111" s="25" t="s">
        <v>144</v>
      </c>
      <c r="C111" s="26">
        <v>11.482231219073324</v>
      </c>
      <c r="D111" s="27">
        <v>0.14619883040935674</v>
      </c>
      <c r="E111" s="27" t="s">
        <v>45</v>
      </c>
      <c r="F111" s="27" t="s">
        <v>45</v>
      </c>
      <c r="G111" s="27" t="s">
        <v>45</v>
      </c>
      <c r="H111" s="26">
        <v>0.32141250562303192</v>
      </c>
      <c r="I111" s="26">
        <v>0.12370670265407108</v>
      </c>
      <c r="J111" s="27">
        <v>5.6230319388214128E-2</v>
      </c>
      <c r="K111" s="27">
        <v>0.25865946918578497</v>
      </c>
      <c r="L111" s="27">
        <v>8.6932073774179042</v>
      </c>
      <c r="M111" s="27">
        <v>16.779127305443094</v>
      </c>
      <c r="N111" s="27">
        <v>0.31635177687809268</v>
      </c>
      <c r="O111" s="27" t="s">
        <v>45</v>
      </c>
      <c r="P111" s="27">
        <v>0.26990553306342779</v>
      </c>
      <c r="Q111" s="27">
        <v>5.8861898335582544E-2</v>
      </c>
      <c r="R111" s="27">
        <v>48.189383715699506</v>
      </c>
      <c r="S111" s="27" t="s">
        <v>45</v>
      </c>
      <c r="T111" s="30" t="s">
        <v>45</v>
      </c>
      <c r="U111" s="27">
        <v>0.78722447143499785</v>
      </c>
      <c r="V111" s="27">
        <v>0.14619883040935674</v>
      </c>
      <c r="W111" s="30">
        <v>6.8466036887089524E-3</v>
      </c>
      <c r="X111" s="27">
        <v>8.1309041835357636</v>
      </c>
      <c r="Y111" s="27" t="s">
        <v>45</v>
      </c>
      <c r="Z111" s="27" t="s">
        <v>45</v>
      </c>
      <c r="AA111" s="27">
        <v>107.97345928924875</v>
      </c>
      <c r="AB111" s="29">
        <v>1.1875843454790824E-2</v>
      </c>
      <c r="AC111" s="27">
        <v>15.901934322986955</v>
      </c>
      <c r="AD111" s="27">
        <v>2.2154745838956367</v>
      </c>
      <c r="AE111" s="27" t="s">
        <v>45</v>
      </c>
      <c r="AF111" s="27" t="s">
        <v>45</v>
      </c>
      <c r="AG111" s="27">
        <v>4.5659019343229863</v>
      </c>
    </row>
    <row r="112" spans="1:33" x14ac:dyDescent="0.2">
      <c r="A112" s="1">
        <v>97</v>
      </c>
      <c r="B112" s="25" t="s">
        <v>145</v>
      </c>
      <c r="C112" s="26">
        <v>28.653644925008717</v>
      </c>
      <c r="D112" s="27" t="s">
        <v>45</v>
      </c>
      <c r="E112" s="27" t="s">
        <v>45</v>
      </c>
      <c r="F112" s="27" t="s">
        <v>45</v>
      </c>
      <c r="G112" s="27" t="s">
        <v>45</v>
      </c>
      <c r="H112" s="26">
        <v>0.40896407394489009</v>
      </c>
      <c r="I112" s="26">
        <v>0.16567840948726892</v>
      </c>
      <c r="J112" s="27">
        <v>5.2319497732821761E-2</v>
      </c>
      <c r="K112" s="27">
        <v>0.38367631670735958</v>
      </c>
      <c r="L112" s="27">
        <v>2.9822113707708406</v>
      </c>
      <c r="M112" s="27">
        <v>18.128705964422739</v>
      </c>
      <c r="N112" s="27">
        <v>2.6037670038367631E-2</v>
      </c>
      <c r="O112" s="27" t="s">
        <v>45</v>
      </c>
      <c r="P112" s="27">
        <v>0.31391698639693055</v>
      </c>
      <c r="Q112" s="27">
        <v>3.2664806417858384E-2</v>
      </c>
      <c r="R112" s="27">
        <v>135.59469829089639</v>
      </c>
      <c r="S112" s="27" t="s">
        <v>45</v>
      </c>
      <c r="T112" s="30" t="s">
        <v>45</v>
      </c>
      <c r="U112" s="27">
        <v>0.87199162888036275</v>
      </c>
      <c r="V112" s="27">
        <v>1.0812696198116498</v>
      </c>
      <c r="W112" s="30">
        <v>2.2166027206138819E-2</v>
      </c>
      <c r="X112" s="27">
        <v>0.78479246599232633</v>
      </c>
      <c r="Y112" s="27" t="s">
        <v>45</v>
      </c>
      <c r="Z112" s="27" t="s">
        <v>45</v>
      </c>
      <c r="AA112" s="27">
        <v>424.74712242762467</v>
      </c>
      <c r="AB112" s="29">
        <v>2.7633414719218697E-2</v>
      </c>
      <c r="AC112" s="27">
        <v>21.808510638297872</v>
      </c>
      <c r="AD112" s="27">
        <v>0.88071154516916639</v>
      </c>
      <c r="AE112" s="27" t="s">
        <v>45</v>
      </c>
      <c r="AF112" s="27" t="s">
        <v>45</v>
      </c>
      <c r="AG112" s="27">
        <v>15.155214509940706</v>
      </c>
    </row>
    <row r="113" spans="1:33" x14ac:dyDescent="0.2">
      <c r="A113" s="1">
        <v>98</v>
      </c>
      <c r="B113" s="25" t="s">
        <v>146</v>
      </c>
      <c r="C113" s="26">
        <v>43.797537124230352</v>
      </c>
      <c r="D113" s="27">
        <v>2.7164070988772181E-2</v>
      </c>
      <c r="E113" s="27" t="s">
        <v>45</v>
      </c>
      <c r="F113" s="27" t="s">
        <v>45</v>
      </c>
      <c r="G113" s="27" t="s">
        <v>45</v>
      </c>
      <c r="H113" s="26">
        <v>0.2038210793190873</v>
      </c>
      <c r="I113" s="26">
        <v>0.28069540021731254</v>
      </c>
      <c r="J113" s="27" t="s">
        <v>45</v>
      </c>
      <c r="K113" s="27">
        <v>0.51611734878667148</v>
      </c>
      <c r="L113" s="27">
        <v>3.1691416153567551</v>
      </c>
      <c r="M113" s="27">
        <v>18.562115175660992</v>
      </c>
      <c r="N113" s="27">
        <v>9.2720028975009056E-2</v>
      </c>
      <c r="O113" s="27" t="s">
        <v>45</v>
      </c>
      <c r="P113" s="27">
        <v>0.19014849692140529</v>
      </c>
      <c r="Q113" s="27">
        <v>2.0961608113002534E-2</v>
      </c>
      <c r="R113" s="27">
        <v>68.308583846432441</v>
      </c>
      <c r="S113" s="27" t="s">
        <v>45</v>
      </c>
      <c r="T113" s="30">
        <v>9.3263310394784478E-4</v>
      </c>
      <c r="U113" s="27">
        <v>0.2625860195581311</v>
      </c>
      <c r="V113" s="27">
        <v>0.75153929735603031</v>
      </c>
      <c r="W113" s="30">
        <v>1.579137993480623E-2</v>
      </c>
      <c r="X113" s="27">
        <v>1.8381021369069175</v>
      </c>
      <c r="Y113" s="27" t="s">
        <v>45</v>
      </c>
      <c r="Z113" s="27" t="s">
        <v>45</v>
      </c>
      <c r="AA113" s="27">
        <v>31.944947482796088</v>
      </c>
      <c r="AB113" s="29">
        <v>1.4967403114813472E-2</v>
      </c>
      <c r="AC113" s="27">
        <v>10.910901847156826</v>
      </c>
      <c r="AD113" s="27">
        <v>0.93263310394784493</v>
      </c>
      <c r="AE113" s="27" t="s">
        <v>45</v>
      </c>
      <c r="AF113" s="27" t="s">
        <v>45</v>
      </c>
      <c r="AG113" s="27">
        <v>15.229989134371603</v>
      </c>
    </row>
    <row r="114" spans="1:33" x14ac:dyDescent="0.2">
      <c r="A114" s="1">
        <v>99</v>
      </c>
      <c r="B114" s="25" t="s">
        <v>147</v>
      </c>
      <c r="C114" s="26">
        <v>22.697507393324887</v>
      </c>
      <c r="D114" s="27">
        <v>0.17955217574989438</v>
      </c>
      <c r="E114" s="27" t="s">
        <v>45</v>
      </c>
      <c r="F114" s="27" t="s">
        <v>45</v>
      </c>
      <c r="G114" s="27" t="s">
        <v>45</v>
      </c>
      <c r="H114" s="26">
        <v>0.12790452049007181</v>
      </c>
      <c r="I114" s="26">
        <v>0.4435994930291508</v>
      </c>
      <c r="J114" s="27">
        <v>5.2809463455851295E-2</v>
      </c>
      <c r="K114" s="27">
        <v>0.28517110266159701</v>
      </c>
      <c r="L114" s="27">
        <v>1.9539501478664976</v>
      </c>
      <c r="M114" s="27">
        <v>12.28348119983101</v>
      </c>
      <c r="N114" s="27">
        <v>4.6271651880016904E-2</v>
      </c>
      <c r="O114" s="27" t="s">
        <v>45</v>
      </c>
      <c r="P114" s="27">
        <v>0.2006759611322349</v>
      </c>
      <c r="Q114" s="27">
        <v>2.20532319391635E-2</v>
      </c>
      <c r="R114" s="27">
        <v>45.817490494296585</v>
      </c>
      <c r="S114" s="27" t="s">
        <v>45</v>
      </c>
      <c r="T114" s="30">
        <v>5.471060414026194E-4</v>
      </c>
      <c r="U114" s="27">
        <v>0.16899028305872413</v>
      </c>
      <c r="V114" s="27">
        <v>0.36966624419095906</v>
      </c>
      <c r="W114" s="30">
        <v>2.1482889733840309E-3</v>
      </c>
      <c r="X114" s="27">
        <v>1.140684410646388</v>
      </c>
      <c r="Y114" s="27" t="s">
        <v>45</v>
      </c>
      <c r="Z114" s="27" t="s">
        <v>45</v>
      </c>
      <c r="AA114" s="27">
        <v>22.338403041825096</v>
      </c>
      <c r="AB114" s="29">
        <v>9.8405154203633303E-3</v>
      </c>
      <c r="AC114" s="27">
        <v>8.1115335868187586</v>
      </c>
      <c r="AD114" s="27">
        <v>2.1757498943810734</v>
      </c>
      <c r="AE114" s="27" t="s">
        <v>45</v>
      </c>
      <c r="AF114" s="27" t="s">
        <v>45</v>
      </c>
      <c r="AG114" s="27">
        <v>7.4672581326573724</v>
      </c>
    </row>
    <row r="115" spans="1:33" x14ac:dyDescent="0.2">
      <c r="A115" s="1">
        <v>100</v>
      </c>
      <c r="B115" s="25" t="s">
        <v>148</v>
      </c>
      <c r="C115" s="26">
        <v>7.3772484200291686</v>
      </c>
      <c r="D115" s="27" t="s">
        <v>45</v>
      </c>
      <c r="E115" s="27" t="s">
        <v>45</v>
      </c>
      <c r="F115" s="27" t="s">
        <v>45</v>
      </c>
      <c r="G115" s="27" t="s">
        <v>45</v>
      </c>
      <c r="H115" s="26">
        <v>0.10065629557608168</v>
      </c>
      <c r="I115" s="26">
        <v>0.14584346135148274</v>
      </c>
      <c r="J115" s="27">
        <v>4.8614487117160918E-2</v>
      </c>
      <c r="K115" s="27">
        <v>0.13368983957219252</v>
      </c>
      <c r="L115" s="27">
        <v>1.0816723383568303</v>
      </c>
      <c r="M115" s="27">
        <v>5.3475935828876997</v>
      </c>
      <c r="N115" s="27">
        <v>0.15860476421973749</v>
      </c>
      <c r="O115" s="27" t="s">
        <v>45</v>
      </c>
      <c r="P115" s="27">
        <v>0.21876519202722411</v>
      </c>
      <c r="Q115" s="27">
        <v>2.1840058337384539E-2</v>
      </c>
      <c r="R115" s="27">
        <v>31.45357316480311</v>
      </c>
      <c r="S115" s="27" t="s">
        <v>45</v>
      </c>
      <c r="T115" s="30">
        <v>3.1842489061740403E-4</v>
      </c>
      <c r="U115" s="27">
        <v>0.36460865337870685</v>
      </c>
      <c r="V115" s="27">
        <v>0.57122022362664082</v>
      </c>
      <c r="W115" s="30">
        <v>1.7817209528439477E-3</v>
      </c>
      <c r="X115" s="27">
        <v>2.4793388429752068</v>
      </c>
      <c r="Y115" s="27" t="s">
        <v>45</v>
      </c>
      <c r="Z115" s="27" t="s">
        <v>45</v>
      </c>
      <c r="AA115" s="27">
        <v>35.610111813320366</v>
      </c>
      <c r="AB115" s="29">
        <v>6.2384540593096735E-3</v>
      </c>
      <c r="AC115" s="27">
        <v>3.8648517258142929</v>
      </c>
      <c r="AD115" s="27">
        <v>0.94798249878463769</v>
      </c>
      <c r="AE115" s="27" t="s">
        <v>45</v>
      </c>
      <c r="AF115" s="27" t="s">
        <v>45</v>
      </c>
      <c r="AG115" s="27">
        <v>6.8424890617403991</v>
      </c>
    </row>
    <row r="116" spans="1:33" x14ac:dyDescent="0.2">
      <c r="A116" s="1">
        <v>101</v>
      </c>
      <c r="B116" s="25" t="s">
        <v>149</v>
      </c>
      <c r="C116" s="26">
        <v>4.3343961737744117</v>
      </c>
      <c r="D116" s="27">
        <v>0.34874451972897569</v>
      </c>
      <c r="E116" s="27" t="s">
        <v>45</v>
      </c>
      <c r="F116" s="27" t="s">
        <v>45</v>
      </c>
      <c r="G116" s="27" t="s">
        <v>45</v>
      </c>
      <c r="H116" s="26">
        <v>4.546632124352331E-2</v>
      </c>
      <c r="I116" s="26">
        <v>0.16939019529693103</v>
      </c>
      <c r="J116" s="27">
        <v>6.9748903945795124E-2</v>
      </c>
      <c r="K116" s="27">
        <v>0.50817058589079311</v>
      </c>
      <c r="L116" s="27">
        <v>1.1956954962136308</v>
      </c>
      <c r="M116" s="27">
        <v>5.6895177361498606</v>
      </c>
      <c r="N116" s="27">
        <v>7.6325229174970102E-2</v>
      </c>
      <c r="O116" s="27" t="s">
        <v>45</v>
      </c>
      <c r="P116" s="27">
        <v>8.9677162216022316E-2</v>
      </c>
      <c r="Q116" s="27">
        <v>1.0691510561976883E-2</v>
      </c>
      <c r="R116" s="27">
        <v>18.722598644878438</v>
      </c>
      <c r="S116" s="27" t="s">
        <v>45</v>
      </c>
      <c r="T116" s="30" t="s">
        <v>45</v>
      </c>
      <c r="U116" s="27">
        <v>4.9820645675567952E-2</v>
      </c>
      <c r="V116" s="27">
        <v>0.30888800318852133</v>
      </c>
      <c r="W116" s="30">
        <v>4.5197289756875245E-3</v>
      </c>
      <c r="X116" s="27">
        <v>1.2853726584296532</v>
      </c>
      <c r="Y116" s="27" t="s">
        <v>45</v>
      </c>
      <c r="Z116" s="27" t="s">
        <v>45</v>
      </c>
      <c r="AA116" s="27">
        <v>6.7756078118772427</v>
      </c>
      <c r="AB116" s="29">
        <v>5.4822638501394972E-3</v>
      </c>
      <c r="AC116" s="27">
        <v>2.8298126743722603</v>
      </c>
      <c r="AD116" s="27">
        <v>1.0263053009166998</v>
      </c>
      <c r="AE116" s="27" t="s">
        <v>45</v>
      </c>
      <c r="AF116" s="27" t="s">
        <v>45</v>
      </c>
      <c r="AG116" s="27">
        <v>4.3642885611797526</v>
      </c>
    </row>
    <row r="117" spans="1:33" x14ac:dyDescent="0.2">
      <c r="A117" s="1">
        <v>102</v>
      </c>
      <c r="B117" s="25" t="s">
        <v>150</v>
      </c>
      <c r="C117" s="26">
        <v>5.6347438752783958</v>
      </c>
      <c r="D117" s="27">
        <v>0.12249443207126949</v>
      </c>
      <c r="E117" s="27" t="s">
        <v>45</v>
      </c>
      <c r="F117" s="27" t="s">
        <v>45</v>
      </c>
      <c r="G117" s="27" t="s">
        <v>45</v>
      </c>
      <c r="H117" s="26">
        <v>0.14398663697104677</v>
      </c>
      <c r="I117" s="26">
        <v>8.9086859688195991E-2</v>
      </c>
      <c r="J117" s="27">
        <v>7.7951002227171481E-2</v>
      </c>
      <c r="K117" s="27">
        <v>7.7951002227171481E-2</v>
      </c>
      <c r="L117" s="27">
        <v>1.2917594654788418</v>
      </c>
      <c r="M117" s="27">
        <v>3.2182628062360799</v>
      </c>
      <c r="N117" s="27">
        <v>5.3875278396436521E-2</v>
      </c>
      <c r="O117" s="27" t="s">
        <v>45</v>
      </c>
      <c r="P117" s="27">
        <v>0.20044543429844097</v>
      </c>
      <c r="Q117" s="27">
        <v>5.5679287305122498E-2</v>
      </c>
      <c r="R117" s="27">
        <v>46.269487750556792</v>
      </c>
      <c r="S117" s="27" t="s">
        <v>45</v>
      </c>
      <c r="T117" s="30">
        <v>1.8819599109131402E-4</v>
      </c>
      <c r="U117" s="27">
        <v>0.84632516703786187</v>
      </c>
      <c r="V117" s="27">
        <v>0.18930957683741645</v>
      </c>
      <c r="W117" s="30">
        <v>7.120267260579064E-3</v>
      </c>
      <c r="X117" s="27">
        <v>2.0267260579064588</v>
      </c>
      <c r="Y117" s="27" t="s">
        <v>45</v>
      </c>
      <c r="Z117" s="27" t="s">
        <v>45</v>
      </c>
      <c r="AA117" s="27">
        <v>36.770601336302889</v>
      </c>
      <c r="AB117" s="29">
        <v>1.1815144766146993E-2</v>
      </c>
      <c r="AC117" s="27">
        <v>12.628062360801781</v>
      </c>
      <c r="AD117" s="27">
        <v>0.27839643652561247</v>
      </c>
      <c r="AE117" s="27" t="s">
        <v>45</v>
      </c>
      <c r="AF117" s="27" t="s">
        <v>45</v>
      </c>
      <c r="AG117" s="27">
        <v>3.006681514476615</v>
      </c>
    </row>
    <row r="118" spans="1:33" x14ac:dyDescent="0.2">
      <c r="A118" s="1">
        <v>103</v>
      </c>
      <c r="B118" s="25" t="s">
        <v>151</v>
      </c>
      <c r="C118" s="26">
        <v>14.719961704164673</v>
      </c>
      <c r="D118" s="27">
        <v>7.1804691239827662E-2</v>
      </c>
      <c r="E118" s="27" t="s">
        <v>45</v>
      </c>
      <c r="F118" s="27" t="s">
        <v>45</v>
      </c>
      <c r="G118" s="27" t="s">
        <v>45</v>
      </c>
      <c r="H118" s="26">
        <v>0.37482048827190045</v>
      </c>
      <c r="I118" s="26">
        <v>8.3772139779798943E-2</v>
      </c>
      <c r="J118" s="27" t="s">
        <v>45</v>
      </c>
      <c r="K118" s="27">
        <v>0.26328386787936814</v>
      </c>
      <c r="L118" s="27">
        <v>2.5490665390138822</v>
      </c>
      <c r="M118" s="27">
        <v>12.853039731929153</v>
      </c>
      <c r="N118" s="27">
        <v>8.8690761129727139E-2</v>
      </c>
      <c r="O118" s="27" t="s">
        <v>45</v>
      </c>
      <c r="P118" s="27">
        <v>0.26328386787936814</v>
      </c>
      <c r="Q118" s="27">
        <v>4.2592149353757783E-2</v>
      </c>
      <c r="R118" s="27">
        <v>126.61560555289614</v>
      </c>
      <c r="S118" s="27" t="s">
        <v>45</v>
      </c>
      <c r="T118" s="30">
        <v>1.0651029200574437E-4</v>
      </c>
      <c r="U118" s="27">
        <v>1.0651029200574438</v>
      </c>
      <c r="V118" s="27">
        <v>0.94542843465773097</v>
      </c>
      <c r="W118" s="30">
        <v>1.9327429392053615E-2</v>
      </c>
      <c r="X118" s="27">
        <v>3.0876017233125896</v>
      </c>
      <c r="Y118" s="27" t="s">
        <v>45</v>
      </c>
      <c r="Z118" s="27" t="s">
        <v>45</v>
      </c>
      <c r="AA118" s="27">
        <v>694.1120153183341</v>
      </c>
      <c r="AB118" s="29">
        <v>2.2498803255146003E-2</v>
      </c>
      <c r="AC118" s="27">
        <v>21.756821445667782</v>
      </c>
      <c r="AD118" s="27">
        <v>0.93346098611775963</v>
      </c>
      <c r="AE118" s="27" t="s">
        <v>45</v>
      </c>
      <c r="AF118" s="27" t="s">
        <v>45</v>
      </c>
      <c r="AG118" s="27">
        <v>3.4107228338918145</v>
      </c>
    </row>
    <row r="119" spans="1:33" x14ac:dyDescent="0.2">
      <c r="A119" s="1">
        <v>104</v>
      </c>
      <c r="B119" s="25" t="s">
        <v>152</v>
      </c>
      <c r="C119" s="26">
        <v>7.0835204310731932</v>
      </c>
      <c r="D119" s="27">
        <v>0.1122586439155815</v>
      </c>
      <c r="E119" s="27" t="s">
        <v>45</v>
      </c>
      <c r="F119" s="27" t="s">
        <v>45</v>
      </c>
      <c r="G119" s="27" t="s">
        <v>45</v>
      </c>
      <c r="H119" s="26">
        <v>4.9618320610687022E-2</v>
      </c>
      <c r="I119" s="26">
        <v>0.17961383026493039</v>
      </c>
      <c r="J119" s="27">
        <v>3.3677593174674447E-2</v>
      </c>
      <c r="K119" s="27">
        <v>8.9806915132465193E-2</v>
      </c>
      <c r="L119" s="27">
        <v>1.1899416255051638</v>
      </c>
      <c r="M119" s="27">
        <v>6.8253255500673546</v>
      </c>
      <c r="N119" s="27">
        <v>7.3271216883700058E-2</v>
      </c>
      <c r="O119" s="27" t="s">
        <v>45</v>
      </c>
      <c r="P119" s="27">
        <v>0.16838796587337224</v>
      </c>
      <c r="Q119" s="27">
        <v>1.2303547373147733E-2</v>
      </c>
      <c r="R119" s="27">
        <v>22.979344409519531</v>
      </c>
      <c r="S119" s="27" t="s">
        <v>45</v>
      </c>
      <c r="T119" s="30" t="s">
        <v>45</v>
      </c>
      <c r="U119" s="27">
        <v>6.7355186349348894E-2</v>
      </c>
      <c r="V119" s="27">
        <v>0.77458464301751229</v>
      </c>
      <c r="W119" s="30">
        <v>1.7029636281993715E-3</v>
      </c>
      <c r="X119" s="27">
        <v>1.33587786259542</v>
      </c>
      <c r="Y119" s="27" t="s">
        <v>45</v>
      </c>
      <c r="Z119" s="27" t="s">
        <v>45</v>
      </c>
      <c r="AA119" s="27">
        <v>12.202514593623709</v>
      </c>
      <c r="AB119" s="29">
        <v>5.353614728334081E-3</v>
      </c>
      <c r="AC119" s="27">
        <v>2.9074988774135604</v>
      </c>
      <c r="AD119" s="27">
        <v>1.5042658284687922</v>
      </c>
      <c r="AE119" s="27" t="s">
        <v>45</v>
      </c>
      <c r="AF119" s="27" t="s">
        <v>45</v>
      </c>
      <c r="AG119" s="27">
        <v>5.8486753480017954</v>
      </c>
    </row>
    <row r="120" spans="1:33" x14ac:dyDescent="0.2">
      <c r="A120" s="1">
        <v>105</v>
      </c>
      <c r="B120" s="25" t="s">
        <v>153</v>
      </c>
      <c r="C120" s="26">
        <v>5.6382978723404253</v>
      </c>
      <c r="D120" s="27">
        <v>1.1820330969267141E-2</v>
      </c>
      <c r="E120" s="27" t="s">
        <v>45</v>
      </c>
      <c r="F120" s="27" t="s">
        <v>45</v>
      </c>
      <c r="G120" s="27" t="s">
        <v>45</v>
      </c>
      <c r="H120" s="26">
        <v>5.0827423167848697E-2</v>
      </c>
      <c r="I120" s="26">
        <v>0.21276595744680851</v>
      </c>
      <c r="J120" s="27">
        <v>3.5460992907801421E-2</v>
      </c>
      <c r="K120" s="27">
        <v>0.16548463356973994</v>
      </c>
      <c r="L120" s="27">
        <v>1.3238770685579195</v>
      </c>
      <c r="M120" s="27">
        <v>4.338061465721041</v>
      </c>
      <c r="N120" s="27">
        <v>7.5141843971631206E-2</v>
      </c>
      <c r="O120" s="27" t="s">
        <v>45</v>
      </c>
      <c r="P120" s="27">
        <v>0.28368794326241137</v>
      </c>
      <c r="Q120" s="27">
        <v>1.2186761229314421E-2</v>
      </c>
      <c r="R120" s="27">
        <v>21.820330969267136</v>
      </c>
      <c r="S120" s="27" t="s">
        <v>45</v>
      </c>
      <c r="T120" s="30">
        <v>1.7494089834515369E-4</v>
      </c>
      <c r="U120" s="27">
        <v>0.21276595744680851</v>
      </c>
      <c r="V120" s="27">
        <v>0.50827423167848695</v>
      </c>
      <c r="W120" s="30">
        <v>3.8723404255319154E-3</v>
      </c>
      <c r="X120" s="27">
        <v>1.1347517730496455</v>
      </c>
      <c r="Y120" s="27" t="s">
        <v>45</v>
      </c>
      <c r="Z120" s="27" t="s">
        <v>45</v>
      </c>
      <c r="AA120" s="27">
        <v>10.200945626477543</v>
      </c>
      <c r="AB120" s="29">
        <v>6.4515366430260039E-3</v>
      </c>
      <c r="AC120" s="27">
        <v>2.9196217494089831</v>
      </c>
      <c r="AD120" s="27">
        <v>0.73286052009456271</v>
      </c>
      <c r="AE120" s="27" t="s">
        <v>45</v>
      </c>
      <c r="AF120" s="27" t="s">
        <v>45</v>
      </c>
      <c r="AG120" s="27">
        <v>4.75177304964539</v>
      </c>
    </row>
    <row r="121" spans="1:33" x14ac:dyDescent="0.2">
      <c r="A121" s="1">
        <v>106</v>
      </c>
      <c r="B121" s="25" t="s">
        <v>154</v>
      </c>
      <c r="C121" s="26">
        <v>12.490869247626005</v>
      </c>
      <c r="D121" s="27">
        <v>7.3046018991964945E-2</v>
      </c>
      <c r="E121" s="27" t="s">
        <v>45</v>
      </c>
      <c r="F121" s="27" t="s">
        <v>45</v>
      </c>
      <c r="G121" s="27" t="s">
        <v>45</v>
      </c>
      <c r="H121" s="26">
        <v>0.33235938641344048</v>
      </c>
      <c r="I121" s="26">
        <v>0.25566106647187725</v>
      </c>
      <c r="J121" s="27">
        <v>0.25566106647187725</v>
      </c>
      <c r="K121" s="27">
        <v>0.49306062819576341</v>
      </c>
      <c r="L121" s="27">
        <v>1.8352812271731189</v>
      </c>
      <c r="M121" s="27">
        <v>151.47918188458729</v>
      </c>
      <c r="N121" s="27">
        <v>0.12728268809349891</v>
      </c>
      <c r="O121" s="27" t="s">
        <v>45</v>
      </c>
      <c r="P121" s="27">
        <v>0.21913805697589481</v>
      </c>
      <c r="Q121" s="27">
        <v>0.1690102264426589</v>
      </c>
      <c r="R121" s="27">
        <v>206.99415631848063</v>
      </c>
      <c r="S121" s="27" t="s">
        <v>45</v>
      </c>
      <c r="T121" s="30">
        <v>1.7403214024835647E-3</v>
      </c>
      <c r="U121" s="27">
        <v>1.3056975894813734</v>
      </c>
      <c r="V121" s="27">
        <v>0.45653761869978088</v>
      </c>
      <c r="W121" s="30">
        <v>1.3595690284879475E-2</v>
      </c>
      <c r="X121" s="27">
        <v>3.9444850255661073</v>
      </c>
      <c r="Y121" s="27" t="s">
        <v>45</v>
      </c>
      <c r="Z121" s="27" t="s">
        <v>45</v>
      </c>
      <c r="AA121" s="27">
        <v>30.889335281227172</v>
      </c>
      <c r="AB121" s="29">
        <v>1.8042366691015339E-2</v>
      </c>
      <c r="AC121" s="27">
        <v>23.49342585829072</v>
      </c>
      <c r="AD121" s="27">
        <v>1.5522279035792552</v>
      </c>
      <c r="AE121" s="27">
        <v>18.690650109569027</v>
      </c>
      <c r="AF121" s="27" t="s">
        <v>45</v>
      </c>
      <c r="AG121" s="27">
        <v>4.6384222059897739</v>
      </c>
    </row>
    <row r="122" spans="1:33" x14ac:dyDescent="0.2">
      <c r="A122" s="1">
        <v>107</v>
      </c>
      <c r="B122" s="25" t="s">
        <v>155</v>
      </c>
      <c r="C122" s="26">
        <v>110.41857273559012</v>
      </c>
      <c r="D122" s="27">
        <v>8.0054894784995417E-2</v>
      </c>
      <c r="E122" s="27" t="s">
        <v>45</v>
      </c>
      <c r="F122" s="27" t="s">
        <v>45</v>
      </c>
      <c r="G122" s="27" t="s">
        <v>45</v>
      </c>
      <c r="H122" s="26">
        <v>0.25411710887465688</v>
      </c>
      <c r="I122" s="26">
        <v>0.52607502287282704</v>
      </c>
      <c r="J122" s="27" t="s">
        <v>45</v>
      </c>
      <c r="K122" s="27">
        <v>0.5032021957913998</v>
      </c>
      <c r="L122" s="27">
        <v>3.2593778591033855</v>
      </c>
      <c r="M122" s="27">
        <v>56.495882891125348</v>
      </c>
      <c r="N122" s="27">
        <v>1.1267154620311071E-2</v>
      </c>
      <c r="O122" s="27" t="s">
        <v>45</v>
      </c>
      <c r="P122" s="27">
        <v>0.19441903019213175</v>
      </c>
      <c r="Q122" s="27">
        <v>1.7863677950594695E-2</v>
      </c>
      <c r="R122" s="27">
        <v>99.611161939615741</v>
      </c>
      <c r="S122" s="27" t="s">
        <v>45</v>
      </c>
      <c r="T122" s="30">
        <v>6.5301921317474849E-4</v>
      </c>
      <c r="U122" s="27">
        <v>0.49176578225068618</v>
      </c>
      <c r="V122" s="27">
        <v>4.5631290027447395</v>
      </c>
      <c r="W122" s="30">
        <v>6.6834400731930477E-3</v>
      </c>
      <c r="X122" s="27">
        <v>0.43458371454711803</v>
      </c>
      <c r="Y122" s="27" t="s">
        <v>45</v>
      </c>
      <c r="Z122" s="27" t="s">
        <v>45</v>
      </c>
      <c r="AA122" s="27">
        <v>132.43366880146385</v>
      </c>
      <c r="AB122" s="29">
        <v>1.7806495882891127E-2</v>
      </c>
      <c r="AC122" s="27">
        <v>11.973924977127174</v>
      </c>
      <c r="AD122" s="27">
        <v>4.2086001829826163</v>
      </c>
      <c r="AE122" s="27" t="s">
        <v>45</v>
      </c>
      <c r="AF122" s="27">
        <v>2.2872827081427266E-2</v>
      </c>
      <c r="AG122" s="27">
        <v>22.015096065873742</v>
      </c>
    </row>
    <row r="123" spans="1:33" x14ac:dyDescent="0.2">
      <c r="A123" s="1">
        <v>108</v>
      </c>
      <c r="B123" s="25" t="s">
        <v>156</v>
      </c>
      <c r="C123" s="26">
        <v>13.27175498298493</v>
      </c>
      <c r="D123" s="27" t="s">
        <v>45</v>
      </c>
      <c r="E123" s="27" t="s">
        <v>45</v>
      </c>
      <c r="F123" s="27" t="s">
        <v>45</v>
      </c>
      <c r="G123" s="27" t="s">
        <v>45</v>
      </c>
      <c r="H123" s="26">
        <v>0.17051531356344193</v>
      </c>
      <c r="I123" s="26">
        <v>2.4307243558580459E-2</v>
      </c>
      <c r="J123" s="27" t="s">
        <v>45</v>
      </c>
      <c r="K123" s="27" t="s">
        <v>45</v>
      </c>
      <c r="L123" s="27">
        <v>2.1025765678172097</v>
      </c>
      <c r="M123" s="27">
        <v>12.894992707826932</v>
      </c>
      <c r="N123" s="27">
        <v>4.2185221195916384E-3</v>
      </c>
      <c r="O123" s="27" t="s">
        <v>45</v>
      </c>
      <c r="P123" s="27">
        <v>0.17015070491006318</v>
      </c>
      <c r="Q123" s="27">
        <v>1.7525522605736511E-2</v>
      </c>
      <c r="R123" s="27">
        <v>39.985415653864848</v>
      </c>
      <c r="S123" s="27" t="s">
        <v>45</v>
      </c>
      <c r="T123" s="30">
        <v>1.0245503159941663E-3</v>
      </c>
      <c r="U123" s="27">
        <v>0.96013612056392816</v>
      </c>
      <c r="V123" s="27">
        <v>0.69275644141954307</v>
      </c>
      <c r="W123" s="30">
        <v>6.1448711716091406E-3</v>
      </c>
      <c r="X123" s="27">
        <v>0.60768108896451145</v>
      </c>
      <c r="Y123" s="27" t="s">
        <v>45</v>
      </c>
      <c r="Z123" s="27" t="s">
        <v>45</v>
      </c>
      <c r="AA123" s="27">
        <v>98.529411764705884</v>
      </c>
      <c r="AB123" s="29">
        <v>1.3940204180845893E-2</v>
      </c>
      <c r="AC123" s="27">
        <v>15.848322800194458</v>
      </c>
      <c r="AD123" s="27">
        <v>1.5556635877491494</v>
      </c>
      <c r="AE123" s="27" t="s">
        <v>45</v>
      </c>
      <c r="AF123" s="27" t="s">
        <v>45</v>
      </c>
      <c r="AG123" s="27">
        <v>6.550802139037434</v>
      </c>
    </row>
    <row r="124" spans="1:33" x14ac:dyDescent="0.2">
      <c r="A124" s="1">
        <v>109</v>
      </c>
      <c r="B124" s="25" t="s">
        <v>157</v>
      </c>
      <c r="C124" s="26">
        <v>47.930622009569383</v>
      </c>
      <c r="D124" s="27">
        <v>0.14354066985645933</v>
      </c>
      <c r="E124" s="27" t="s">
        <v>45</v>
      </c>
      <c r="F124" s="27" t="s">
        <v>45</v>
      </c>
      <c r="G124" s="27" t="s">
        <v>45</v>
      </c>
      <c r="H124" s="26">
        <v>0.13540669856459331</v>
      </c>
      <c r="I124" s="26">
        <v>0.39473684210526322</v>
      </c>
      <c r="J124" s="27" t="s">
        <v>45</v>
      </c>
      <c r="K124" s="27">
        <v>0.22727272727272729</v>
      </c>
      <c r="L124" s="27">
        <v>12.308612440191389</v>
      </c>
      <c r="M124" s="27">
        <v>7.8588516746411479</v>
      </c>
      <c r="N124" s="27">
        <v>8.2320574162679419E-2</v>
      </c>
      <c r="O124" s="27" t="s">
        <v>45</v>
      </c>
      <c r="P124" s="27">
        <v>0.28708133971291866</v>
      </c>
      <c r="Q124" s="27">
        <v>2.1949760765550243E-2</v>
      </c>
      <c r="R124" s="27">
        <v>81.315789473684205</v>
      </c>
      <c r="S124" s="27" t="s">
        <v>45</v>
      </c>
      <c r="T124" s="30">
        <v>1.3038277511961724E-4</v>
      </c>
      <c r="U124" s="27">
        <v>0.15550239234449761</v>
      </c>
      <c r="V124" s="27">
        <v>0.49043062200956944</v>
      </c>
      <c r="W124" s="30">
        <v>3.2069377990430626E-3</v>
      </c>
      <c r="X124" s="27">
        <v>2.1291866028708135</v>
      </c>
      <c r="Y124" s="27" t="s">
        <v>45</v>
      </c>
      <c r="Z124" s="27" t="s">
        <v>45</v>
      </c>
      <c r="AA124" s="27">
        <v>11.1244019138756</v>
      </c>
      <c r="AB124" s="29">
        <v>1.1186602870813399E-2</v>
      </c>
      <c r="AC124" s="27">
        <v>6.4234449760765555</v>
      </c>
      <c r="AD124" s="27">
        <v>0.70574162679425834</v>
      </c>
      <c r="AE124" s="27" t="s">
        <v>45</v>
      </c>
      <c r="AF124" s="27" t="s">
        <v>45</v>
      </c>
      <c r="AG124" s="27">
        <v>8.2775119617224888</v>
      </c>
    </row>
    <row r="125" spans="1:33" x14ac:dyDescent="0.2">
      <c r="A125" s="1">
        <v>110</v>
      </c>
      <c r="B125" s="25" t="s">
        <v>158</v>
      </c>
      <c r="C125" s="26">
        <v>7.5870118845500842</v>
      </c>
      <c r="D125" s="27">
        <v>0.19100169779286927</v>
      </c>
      <c r="E125" s="27" t="s">
        <v>45</v>
      </c>
      <c r="F125" s="27" t="s">
        <v>45</v>
      </c>
      <c r="G125" s="27" t="s">
        <v>45</v>
      </c>
      <c r="H125" s="26">
        <v>8.516553480475382E-2</v>
      </c>
      <c r="I125" s="26">
        <v>0.350169779286927</v>
      </c>
      <c r="J125" s="27" t="s">
        <v>45</v>
      </c>
      <c r="K125" s="27">
        <v>3.183361629881154E-2</v>
      </c>
      <c r="L125" s="27">
        <v>1.3051782682512734</v>
      </c>
      <c r="M125" s="27">
        <v>6.3561120543293717</v>
      </c>
      <c r="N125" s="27">
        <v>9.3877334465195236E-2</v>
      </c>
      <c r="O125" s="27" t="s">
        <v>45</v>
      </c>
      <c r="P125" s="27">
        <v>0.29711375212224106</v>
      </c>
      <c r="Q125" s="27">
        <v>1.4887521222410867E-2</v>
      </c>
      <c r="R125" s="27">
        <v>37.744057724957557</v>
      </c>
      <c r="S125" s="27" t="s">
        <v>45</v>
      </c>
      <c r="T125" s="30" t="s">
        <v>45</v>
      </c>
      <c r="U125" s="27">
        <v>0.93378607809847203</v>
      </c>
      <c r="V125" s="27">
        <v>0.18039049235993207</v>
      </c>
      <c r="W125" s="30">
        <v>1.2775891341256366E-3</v>
      </c>
      <c r="X125" s="27">
        <v>1.9418505942275044</v>
      </c>
      <c r="Y125" s="27" t="s">
        <v>45</v>
      </c>
      <c r="Z125" s="27" t="s">
        <v>45</v>
      </c>
      <c r="AA125" s="27">
        <v>7.2050084889643466</v>
      </c>
      <c r="AB125" s="29">
        <v>6.021859083191851E-3</v>
      </c>
      <c r="AC125" s="27">
        <v>5.8255517826825116</v>
      </c>
      <c r="AD125" s="27">
        <v>0.89134125636672323</v>
      </c>
      <c r="AE125" s="27" t="s">
        <v>45</v>
      </c>
      <c r="AF125" s="27" t="s">
        <v>45</v>
      </c>
      <c r="AG125" s="27">
        <v>7.5445670628183352</v>
      </c>
    </row>
    <row r="126" spans="1:33" x14ac:dyDescent="0.2">
      <c r="A126" s="1">
        <v>111</v>
      </c>
      <c r="B126" s="25" t="s">
        <v>159</v>
      </c>
      <c r="C126" s="26">
        <v>14.595705801735951</v>
      </c>
      <c r="D126" s="27">
        <v>5.7103700319780723E-2</v>
      </c>
      <c r="E126" s="27" t="s">
        <v>45</v>
      </c>
      <c r="F126" s="27" t="s">
        <v>45</v>
      </c>
      <c r="G126" s="27" t="s">
        <v>45</v>
      </c>
      <c r="H126" s="26">
        <v>1.2734125171311099</v>
      </c>
      <c r="I126" s="26">
        <v>0.12562814070351758</v>
      </c>
      <c r="J126" s="27">
        <v>6.8524440383736854E-2</v>
      </c>
      <c r="K126" s="27">
        <v>0.27409776153494742</v>
      </c>
      <c r="L126" s="27">
        <v>2.2727272727272729</v>
      </c>
      <c r="M126" s="27">
        <v>9.456372772955687</v>
      </c>
      <c r="N126" s="27">
        <v>0.18798538145271815</v>
      </c>
      <c r="O126" s="27" t="s">
        <v>45</v>
      </c>
      <c r="P126" s="27">
        <v>0.62814070351758788</v>
      </c>
      <c r="Q126" s="27">
        <v>9.6710826861580626E-2</v>
      </c>
      <c r="R126" s="27">
        <v>138.53357697578804</v>
      </c>
      <c r="S126" s="27" t="s">
        <v>45</v>
      </c>
      <c r="T126" s="30">
        <v>1.2448606669712199E-4</v>
      </c>
      <c r="U126" s="27">
        <v>0.49109182275011415</v>
      </c>
      <c r="V126" s="27">
        <v>0.13704888076747371</v>
      </c>
      <c r="W126" s="30">
        <v>1.6948378254910919E-2</v>
      </c>
      <c r="X126" s="27">
        <v>4.4883508451347645</v>
      </c>
      <c r="Y126" s="27" t="s">
        <v>45</v>
      </c>
      <c r="Z126" s="27" t="s">
        <v>45</v>
      </c>
      <c r="AA126" s="27">
        <v>23.994974874371859</v>
      </c>
      <c r="AB126" s="29">
        <v>2.2772955687528549E-2</v>
      </c>
      <c r="AC126" s="27">
        <v>80.550479671082684</v>
      </c>
      <c r="AD126" s="27">
        <v>5.2878026496116943</v>
      </c>
      <c r="AE126" s="27">
        <v>4.5340338053905889</v>
      </c>
      <c r="AF126" s="27" t="s">
        <v>45</v>
      </c>
      <c r="AG126" s="27">
        <v>3.1978072179077204</v>
      </c>
    </row>
    <row r="127" spans="1:33" x14ac:dyDescent="0.2">
      <c r="A127" s="1">
        <v>112</v>
      </c>
      <c r="B127" s="25" t="s">
        <v>160</v>
      </c>
      <c r="C127" s="26">
        <v>12.164865946378551</v>
      </c>
      <c r="D127" s="27">
        <v>8.0032012805122052E-2</v>
      </c>
      <c r="E127" s="27" t="s">
        <v>45</v>
      </c>
      <c r="F127" s="27" t="s">
        <v>45</v>
      </c>
      <c r="G127" s="27" t="s">
        <v>45</v>
      </c>
      <c r="H127" s="26">
        <v>8.5674269707883152E-2</v>
      </c>
      <c r="I127" s="26">
        <v>0.22008803521408563</v>
      </c>
      <c r="J127" s="27" t="s">
        <v>45</v>
      </c>
      <c r="K127" s="27">
        <v>3.0012004801920764E-2</v>
      </c>
      <c r="L127" s="27">
        <v>1.3605442176870746</v>
      </c>
      <c r="M127" s="27">
        <v>3.6214485794317728</v>
      </c>
      <c r="N127" s="27">
        <v>9.2827130852340928E-2</v>
      </c>
      <c r="O127" s="27" t="s">
        <v>45</v>
      </c>
      <c r="P127" s="27">
        <v>0.1600640256102441</v>
      </c>
      <c r="Q127" s="27">
        <v>2.3219287715086034E-2</v>
      </c>
      <c r="R127" s="27">
        <v>40.46618647458984</v>
      </c>
      <c r="S127" s="27" t="s">
        <v>45</v>
      </c>
      <c r="T127" s="30" t="s">
        <v>45</v>
      </c>
      <c r="U127" s="27">
        <v>0.350140056022409</v>
      </c>
      <c r="V127" s="27">
        <v>1.1704681872749099</v>
      </c>
      <c r="W127" s="30">
        <v>1.6966786714685874E-3</v>
      </c>
      <c r="X127" s="27">
        <v>1.720688275310124</v>
      </c>
      <c r="Y127" s="27" t="s">
        <v>45</v>
      </c>
      <c r="Z127" s="27" t="s">
        <v>45</v>
      </c>
      <c r="AA127" s="27">
        <v>5.7222889155662262</v>
      </c>
      <c r="AB127" s="29">
        <v>7.1868747498999601E-3</v>
      </c>
      <c r="AC127" s="27">
        <v>4.6218487394957979</v>
      </c>
      <c r="AD127" s="27">
        <v>0.20008003201280514</v>
      </c>
      <c r="AE127" s="27" t="s">
        <v>45</v>
      </c>
      <c r="AF127" s="27" t="s">
        <v>45</v>
      </c>
      <c r="AG127" s="27">
        <v>4.891956782713085</v>
      </c>
    </row>
    <row r="128" spans="1:33" x14ac:dyDescent="0.2">
      <c r="A128" s="1">
        <v>113</v>
      </c>
      <c r="B128" s="25" t="s">
        <v>161</v>
      </c>
      <c r="C128" s="26">
        <v>7.1526195899772205</v>
      </c>
      <c r="D128" s="27">
        <v>0.23917995444191342</v>
      </c>
      <c r="E128" s="27" t="s">
        <v>45</v>
      </c>
      <c r="F128" s="27" t="s">
        <v>45</v>
      </c>
      <c r="G128" s="27" t="s">
        <v>45</v>
      </c>
      <c r="H128" s="26">
        <v>9.9692482915717542E-2</v>
      </c>
      <c r="I128" s="26">
        <v>0.17084282460136674</v>
      </c>
      <c r="J128" s="27">
        <v>2.2779043280182234E-2</v>
      </c>
      <c r="K128" s="27">
        <v>0.12528473804100229</v>
      </c>
      <c r="L128" s="27">
        <v>1.6173120728929387</v>
      </c>
      <c r="M128" s="27">
        <v>3.2687927107061503</v>
      </c>
      <c r="N128" s="27">
        <v>0.10121867881548975</v>
      </c>
      <c r="O128" s="27" t="s">
        <v>45</v>
      </c>
      <c r="P128" s="27">
        <v>0.39863325740318911</v>
      </c>
      <c r="Q128" s="27">
        <v>2.8929384965831438E-2</v>
      </c>
      <c r="R128" s="27">
        <v>39.965831435079721</v>
      </c>
      <c r="S128" s="27" t="s">
        <v>45</v>
      </c>
      <c r="T128" s="30" t="s">
        <v>45</v>
      </c>
      <c r="U128" s="27">
        <v>0.2847380410022779</v>
      </c>
      <c r="V128" s="27">
        <v>0.39863325740318911</v>
      </c>
      <c r="W128" s="30">
        <v>1.4111617312072893E-3</v>
      </c>
      <c r="X128" s="27">
        <v>2.0501138952164006</v>
      </c>
      <c r="Y128" s="27" t="s">
        <v>45</v>
      </c>
      <c r="Z128" s="27" t="s">
        <v>45</v>
      </c>
      <c r="AA128" s="27">
        <v>26.617312072892936</v>
      </c>
      <c r="AB128" s="29">
        <v>6.5296127562642367E-3</v>
      </c>
      <c r="AC128" s="27">
        <v>4.1571753986332576</v>
      </c>
      <c r="AD128" s="27">
        <v>0.60364464692482922</v>
      </c>
      <c r="AE128" s="27" t="s">
        <v>45</v>
      </c>
      <c r="AF128" s="27" t="s">
        <v>45</v>
      </c>
      <c r="AG128" s="27">
        <v>5.8542141230068347</v>
      </c>
    </row>
    <row r="129" spans="1:33" x14ac:dyDescent="0.2">
      <c r="A129" s="1">
        <v>114</v>
      </c>
      <c r="B129" s="25" t="s">
        <v>162</v>
      </c>
      <c r="C129" s="26">
        <v>5.1787086856264422</v>
      </c>
      <c r="D129" s="27" t="s">
        <v>45</v>
      </c>
      <c r="E129" s="27" t="s">
        <v>45</v>
      </c>
      <c r="F129" s="27" t="s">
        <v>45</v>
      </c>
      <c r="G129" s="27" t="s">
        <v>45</v>
      </c>
      <c r="H129" s="26">
        <v>0.23501152959262109</v>
      </c>
      <c r="I129" s="26">
        <v>3.8431975403535747E-2</v>
      </c>
      <c r="J129" s="27">
        <v>3.8431975403535747E-2</v>
      </c>
      <c r="K129" s="27">
        <v>0.10568793235972329</v>
      </c>
      <c r="L129" s="27">
        <v>1.2490392006149118</v>
      </c>
      <c r="M129" s="27">
        <v>5.5726364335126837</v>
      </c>
      <c r="N129" s="27">
        <v>2.5980015372790165E-2</v>
      </c>
      <c r="O129" s="27" t="s">
        <v>45</v>
      </c>
      <c r="P129" s="27">
        <v>0.20176787086856265</v>
      </c>
      <c r="Q129" s="27">
        <v>0.16151037663335896</v>
      </c>
      <c r="R129" s="27">
        <v>71.224058416602617</v>
      </c>
      <c r="S129" s="27" t="s">
        <v>45</v>
      </c>
      <c r="T129" s="30">
        <v>1.518063028439662E-4</v>
      </c>
      <c r="U129" s="27">
        <v>0.69177555726364337</v>
      </c>
      <c r="V129" s="27">
        <v>6.7255956956187551E-2</v>
      </c>
      <c r="W129" s="30">
        <v>6.2240584166026137E-3</v>
      </c>
      <c r="X129" s="27">
        <v>0.72059953881629524</v>
      </c>
      <c r="Y129" s="27" t="s">
        <v>45</v>
      </c>
      <c r="Z129" s="27" t="s">
        <v>45</v>
      </c>
      <c r="AA129" s="27">
        <v>22.963105303612604</v>
      </c>
      <c r="AB129" s="29">
        <v>1.1471944657955419E-2</v>
      </c>
      <c r="AC129" s="27">
        <v>17.121445042275173</v>
      </c>
      <c r="AD129" s="27">
        <v>0.93197540353574171</v>
      </c>
      <c r="AE129" s="27">
        <v>14.671406610299769</v>
      </c>
      <c r="AF129" s="27" t="s">
        <v>45</v>
      </c>
      <c r="AG129" s="27">
        <v>1.4219830899308226</v>
      </c>
    </row>
    <row r="130" spans="1:33" x14ac:dyDescent="0.2">
      <c r="A130" s="1">
        <v>115</v>
      </c>
      <c r="B130" s="25" t="s">
        <v>163</v>
      </c>
      <c r="C130" s="26">
        <v>89.272685818513452</v>
      </c>
      <c r="D130" s="27" t="s">
        <v>45</v>
      </c>
      <c r="E130" s="27" t="s">
        <v>45</v>
      </c>
      <c r="F130" s="27" t="s">
        <v>45</v>
      </c>
      <c r="G130" s="27" t="s">
        <v>45</v>
      </c>
      <c r="H130" s="26">
        <v>0.17498860009119926</v>
      </c>
      <c r="I130" s="26">
        <v>0.49019607843137253</v>
      </c>
      <c r="J130" s="27">
        <v>2.2799817601459188E-2</v>
      </c>
      <c r="K130" s="27">
        <v>0.41039671682626538</v>
      </c>
      <c r="L130" s="27">
        <v>3.4541723666210675</v>
      </c>
      <c r="M130" s="27">
        <v>20.132238942088463</v>
      </c>
      <c r="N130" s="27">
        <v>0.13064295485636115</v>
      </c>
      <c r="O130" s="27" t="s">
        <v>45</v>
      </c>
      <c r="P130" s="27">
        <v>0.20519835841313269</v>
      </c>
      <c r="Q130" s="27">
        <v>3.0528955768353853E-2</v>
      </c>
      <c r="R130" s="27">
        <v>146.94482444140448</v>
      </c>
      <c r="S130" s="27" t="s">
        <v>45</v>
      </c>
      <c r="T130" s="30" t="s">
        <v>45</v>
      </c>
      <c r="U130" s="27">
        <v>0.50159598723210219</v>
      </c>
      <c r="V130" s="27">
        <v>0.51299589603283169</v>
      </c>
      <c r="W130" s="30">
        <v>2.1488828089375286E-2</v>
      </c>
      <c r="X130" s="27">
        <v>2.6903784769721844</v>
      </c>
      <c r="Y130" s="27" t="s">
        <v>45</v>
      </c>
      <c r="Z130" s="27" t="s">
        <v>45</v>
      </c>
      <c r="AA130" s="27">
        <v>39.557683538531691</v>
      </c>
      <c r="AB130" s="29">
        <v>1.6210670314637483E-2</v>
      </c>
      <c r="AC130" s="27">
        <v>8.5955312357501139</v>
      </c>
      <c r="AD130" s="27">
        <v>1.265389876880985</v>
      </c>
      <c r="AE130" s="27" t="s">
        <v>45</v>
      </c>
      <c r="AF130" s="27" t="s">
        <v>45</v>
      </c>
      <c r="AG130" s="27">
        <v>16.108071135430919</v>
      </c>
    </row>
    <row r="131" spans="1:33" x14ac:dyDescent="0.2">
      <c r="A131" s="1">
        <v>116</v>
      </c>
      <c r="B131" s="25" t="s">
        <v>164</v>
      </c>
      <c r="C131" s="26">
        <v>10.127478753541077</v>
      </c>
      <c r="D131" s="27">
        <v>3.5410764872521247E-2</v>
      </c>
      <c r="E131" s="27" t="s">
        <v>45</v>
      </c>
      <c r="F131" s="27" t="s">
        <v>45</v>
      </c>
      <c r="G131" s="27" t="s">
        <v>45</v>
      </c>
      <c r="H131" s="26">
        <v>0.16581090651558075</v>
      </c>
      <c r="I131" s="26">
        <v>7.0821529745042494E-2</v>
      </c>
      <c r="J131" s="27">
        <v>8.8526912181303118E-3</v>
      </c>
      <c r="K131" s="27">
        <v>0.33640226628895187</v>
      </c>
      <c r="L131" s="27">
        <v>25.699362606232295</v>
      </c>
      <c r="M131" s="27">
        <v>13.031161473087819</v>
      </c>
      <c r="N131" s="27">
        <v>8.5809135977337123E-2</v>
      </c>
      <c r="O131" s="27" t="s">
        <v>45</v>
      </c>
      <c r="P131" s="27">
        <v>0.12393767705382436</v>
      </c>
      <c r="Q131" s="27">
        <v>1.5368271954674223E-2</v>
      </c>
      <c r="R131" s="27">
        <v>73.565864022662893</v>
      </c>
      <c r="S131" s="27" t="s">
        <v>45</v>
      </c>
      <c r="T131" s="30">
        <v>1.2048512747875354E-3</v>
      </c>
      <c r="U131" s="27">
        <v>1.0092067988668556</v>
      </c>
      <c r="V131" s="27">
        <v>0.62854107648725221</v>
      </c>
      <c r="W131" s="30">
        <v>1.5952549575070824E-2</v>
      </c>
      <c r="X131" s="27">
        <v>2.2308781869688388</v>
      </c>
      <c r="Y131" s="27" t="s">
        <v>45</v>
      </c>
      <c r="Z131" s="27" t="s">
        <v>45</v>
      </c>
      <c r="AA131" s="27">
        <v>351.62889518413601</v>
      </c>
      <c r="AB131" s="29">
        <v>1.6873229461756376E-2</v>
      </c>
      <c r="AC131" s="27">
        <v>11.251770538243626</v>
      </c>
      <c r="AD131" s="27">
        <v>1.0180594900849858</v>
      </c>
      <c r="AE131" s="27" t="s">
        <v>45</v>
      </c>
      <c r="AF131" s="27" t="s">
        <v>45</v>
      </c>
      <c r="AG131" s="27">
        <v>4.7804532577903691</v>
      </c>
    </row>
    <row r="132" spans="1:33" x14ac:dyDescent="0.2">
      <c r="A132" s="1">
        <v>117</v>
      </c>
      <c r="B132" s="25" t="s">
        <v>165</v>
      </c>
      <c r="C132" s="26">
        <v>9.4950738916256157</v>
      </c>
      <c r="D132" s="27">
        <v>9.852216748768472E-2</v>
      </c>
      <c r="E132" s="27" t="s">
        <v>45</v>
      </c>
      <c r="F132" s="27" t="s">
        <v>45</v>
      </c>
      <c r="G132" s="27" t="s">
        <v>45</v>
      </c>
      <c r="H132" s="26">
        <v>0.30935960591133005</v>
      </c>
      <c r="I132" s="26">
        <v>4.926108374384236E-2</v>
      </c>
      <c r="J132" s="27">
        <v>3.694581280788177E-2</v>
      </c>
      <c r="K132" s="27">
        <v>0.30788177339901474</v>
      </c>
      <c r="L132" s="27">
        <v>1.3177339901477829</v>
      </c>
      <c r="M132" s="27">
        <v>9.5320197044334964</v>
      </c>
      <c r="N132" s="27">
        <v>5.3682266009852216E-2</v>
      </c>
      <c r="O132" s="27" t="s">
        <v>45</v>
      </c>
      <c r="P132" s="27">
        <v>0.30788177339901474</v>
      </c>
      <c r="Q132" s="27">
        <v>0.16096059113300493</v>
      </c>
      <c r="R132" s="27">
        <v>104.19950738916255</v>
      </c>
      <c r="S132" s="27" t="s">
        <v>45</v>
      </c>
      <c r="T132" s="30">
        <v>3.6330049261083742E-4</v>
      </c>
      <c r="U132" s="27">
        <v>0.52955665024630538</v>
      </c>
      <c r="V132" s="27">
        <v>0.12315270935960591</v>
      </c>
      <c r="W132" s="30">
        <v>2.2364532019704435E-2</v>
      </c>
      <c r="X132" s="27">
        <v>1.083743842364532</v>
      </c>
      <c r="Y132" s="27" t="s">
        <v>45</v>
      </c>
      <c r="Z132" s="27" t="s">
        <v>45</v>
      </c>
      <c r="AA132" s="27">
        <v>39.051724137931032</v>
      </c>
      <c r="AB132" s="29">
        <v>1.4211822660098522E-2</v>
      </c>
      <c r="AC132" s="27">
        <v>20.172413793103445</v>
      </c>
      <c r="AD132" s="27">
        <v>1.2807881773399015</v>
      </c>
      <c r="AE132" s="27">
        <v>12.709359605911329</v>
      </c>
      <c r="AF132" s="27" t="s">
        <v>45</v>
      </c>
      <c r="AG132" s="27">
        <v>2.4014778325123149</v>
      </c>
    </row>
    <row r="133" spans="1:33" x14ac:dyDescent="0.2">
      <c r="A133" s="1">
        <v>118</v>
      </c>
      <c r="B133" s="25" t="s">
        <v>166</v>
      </c>
      <c r="C133" s="26">
        <v>4.6312364425162693</v>
      </c>
      <c r="D133" s="27">
        <v>0.23861171366594358</v>
      </c>
      <c r="E133" s="27" t="s">
        <v>45</v>
      </c>
      <c r="F133" s="27" t="s">
        <v>45</v>
      </c>
      <c r="G133" s="27" t="s">
        <v>45</v>
      </c>
      <c r="H133" s="26">
        <v>0.11995661605206073</v>
      </c>
      <c r="I133" s="26">
        <v>5.4229934924078092E-2</v>
      </c>
      <c r="J133" s="27">
        <v>4.3383947939262472E-2</v>
      </c>
      <c r="K133" s="27">
        <v>1.0845986984815618E-2</v>
      </c>
      <c r="L133" s="27">
        <v>0.95444685466377432</v>
      </c>
      <c r="M133" s="27">
        <v>7.5162689804772231</v>
      </c>
      <c r="N133" s="27">
        <v>5.4002169197396963E-2</v>
      </c>
      <c r="O133" s="27" t="s">
        <v>45</v>
      </c>
      <c r="P133" s="27">
        <v>0.29284164859002171</v>
      </c>
      <c r="Q133" s="27">
        <v>1.4121475054229934E-2</v>
      </c>
      <c r="R133" s="27">
        <v>39.175704989154013</v>
      </c>
      <c r="S133" s="27" t="s">
        <v>45</v>
      </c>
      <c r="T133" s="30" t="s">
        <v>45</v>
      </c>
      <c r="U133" s="27">
        <v>0.62906724511930578</v>
      </c>
      <c r="V133" s="27">
        <v>0.15184381778741862</v>
      </c>
      <c r="W133" s="30">
        <v>3.3980477223427333E-3</v>
      </c>
      <c r="X133" s="27">
        <v>2.2668112798264639</v>
      </c>
      <c r="Y133" s="27" t="s">
        <v>45</v>
      </c>
      <c r="Z133" s="27" t="s">
        <v>45</v>
      </c>
      <c r="AA133" s="27">
        <v>9.4143167028199564</v>
      </c>
      <c r="AB133" s="29">
        <v>9.010845986984815E-3</v>
      </c>
      <c r="AC133" s="27">
        <v>7.2342733188720167</v>
      </c>
      <c r="AD133" s="27">
        <v>1.0086767895878523</v>
      </c>
      <c r="AE133" s="27" t="s">
        <v>45</v>
      </c>
      <c r="AF133" s="27" t="s">
        <v>45</v>
      </c>
      <c r="AG133" s="27">
        <v>3.8069414316702814</v>
      </c>
    </row>
    <row r="134" spans="1:33" x14ac:dyDescent="0.2">
      <c r="A134" s="1">
        <v>119</v>
      </c>
      <c r="B134" s="25" t="s">
        <v>167</v>
      </c>
      <c r="C134" s="26">
        <v>3.6194191590810578</v>
      </c>
      <c r="D134" s="27">
        <v>0.17338534893801474</v>
      </c>
      <c r="E134" s="27" t="s">
        <v>45</v>
      </c>
      <c r="F134" s="27" t="s">
        <v>45</v>
      </c>
      <c r="G134" s="27" t="s">
        <v>45</v>
      </c>
      <c r="H134" s="26">
        <v>4.3508885999133072E-2</v>
      </c>
      <c r="I134" s="26">
        <v>0.14087559601213698</v>
      </c>
      <c r="J134" s="27" t="s">
        <v>45</v>
      </c>
      <c r="K134" s="27">
        <v>0.10836584308625923</v>
      </c>
      <c r="L134" s="27">
        <v>1.2136974425661031</v>
      </c>
      <c r="M134" s="27">
        <v>1.5279583875162548</v>
      </c>
      <c r="N134" s="27">
        <v>9.7550931946250544E-2</v>
      </c>
      <c r="O134" s="27" t="s">
        <v>45</v>
      </c>
      <c r="P134" s="27">
        <v>0.21673168617251845</v>
      </c>
      <c r="Q134" s="27">
        <v>9.8157780667533605E-3</v>
      </c>
      <c r="R134" s="27">
        <v>34.547030775899437</v>
      </c>
      <c r="S134" s="27" t="s">
        <v>45</v>
      </c>
      <c r="T134" s="30" t="s">
        <v>45</v>
      </c>
      <c r="U134" s="27" t="s">
        <v>45</v>
      </c>
      <c r="V134" s="27">
        <v>0.32509752925877766</v>
      </c>
      <c r="W134" s="30">
        <v>1.0847420892934547E-3</v>
      </c>
      <c r="X134" s="27">
        <v>1.7013437364542696</v>
      </c>
      <c r="Y134" s="27" t="s">
        <v>45</v>
      </c>
      <c r="Z134" s="27" t="s">
        <v>45</v>
      </c>
      <c r="AA134" s="27">
        <v>3.6844386649328138</v>
      </c>
      <c r="AB134" s="29">
        <v>5.0791070654529697E-3</v>
      </c>
      <c r="AC134" s="27">
        <v>2.8608582574772434</v>
      </c>
      <c r="AD134" s="27">
        <v>0.17338534893801474</v>
      </c>
      <c r="AE134" s="27" t="s">
        <v>45</v>
      </c>
      <c r="AF134" s="27" t="s">
        <v>45</v>
      </c>
      <c r="AG134" s="27">
        <v>5.407455570004335</v>
      </c>
    </row>
    <row r="135" spans="1:33" x14ac:dyDescent="0.2">
      <c r="A135" s="1">
        <v>120</v>
      </c>
      <c r="B135" s="25" t="s">
        <v>168</v>
      </c>
      <c r="C135" s="26">
        <v>38.458720078163168</v>
      </c>
      <c r="D135" s="27">
        <v>0.12212994626282365</v>
      </c>
      <c r="E135" s="27" t="s">
        <v>45</v>
      </c>
      <c r="F135" s="27" t="s">
        <v>45</v>
      </c>
      <c r="G135" s="27" t="s">
        <v>45</v>
      </c>
      <c r="H135" s="26">
        <v>6.5315095261358092E-2</v>
      </c>
      <c r="I135" s="26">
        <v>4.8851978505129463E-2</v>
      </c>
      <c r="J135" s="27" t="s">
        <v>45</v>
      </c>
      <c r="K135" s="27">
        <v>0.76941866145578897</v>
      </c>
      <c r="L135" s="27">
        <v>1.074743527112848</v>
      </c>
      <c r="M135" s="27">
        <v>48.693209574987783</v>
      </c>
      <c r="N135" s="27">
        <v>5.5715681485100151E-2</v>
      </c>
      <c r="O135" s="27" t="s">
        <v>45</v>
      </c>
      <c r="P135" s="27">
        <v>0.23204689789936495</v>
      </c>
      <c r="Q135" s="27">
        <v>1.709819247679531E-2</v>
      </c>
      <c r="R135" s="27">
        <v>28.46849047386419</v>
      </c>
      <c r="S135" s="27" t="s">
        <v>45</v>
      </c>
      <c r="T135" s="30">
        <v>7.1079628724963367E-4</v>
      </c>
      <c r="U135" s="27">
        <v>0.14655593551538837</v>
      </c>
      <c r="V135" s="27">
        <v>0.29311187103077674</v>
      </c>
      <c r="W135" s="30">
        <v>1.5290669272105522E-3</v>
      </c>
      <c r="X135" s="27">
        <v>0.84269662921348309</v>
      </c>
      <c r="Y135" s="27" t="s">
        <v>45</v>
      </c>
      <c r="Z135" s="27" t="s">
        <v>45</v>
      </c>
      <c r="AA135" s="27">
        <v>73.680996580361509</v>
      </c>
      <c r="AB135" s="29">
        <v>5.3382999511480218E-3</v>
      </c>
      <c r="AC135" s="27">
        <v>5.3492916463116753</v>
      </c>
      <c r="AD135" s="27">
        <v>6.6560820713238886</v>
      </c>
      <c r="AE135" s="27" t="s">
        <v>45</v>
      </c>
      <c r="AF135" s="27" t="s">
        <v>45</v>
      </c>
      <c r="AG135" s="27">
        <v>5.3981436248168055</v>
      </c>
    </row>
    <row r="136" spans="1:33" x14ac:dyDescent="0.2">
      <c r="A136" s="1">
        <v>121</v>
      </c>
      <c r="B136" s="25" t="s">
        <v>169</v>
      </c>
      <c r="C136" s="26">
        <v>4.6267190569744594</v>
      </c>
      <c r="D136" s="27">
        <v>9.8231827111984291E-2</v>
      </c>
      <c r="E136" s="27" t="s">
        <v>45</v>
      </c>
      <c r="F136" s="27" t="s">
        <v>45</v>
      </c>
      <c r="G136" s="27" t="s">
        <v>45</v>
      </c>
      <c r="H136" s="26">
        <v>0.13487229862475442</v>
      </c>
      <c r="I136" s="26">
        <v>0.21611001964636542</v>
      </c>
      <c r="J136" s="27">
        <v>5.8939096267190565E-2</v>
      </c>
      <c r="K136" s="27">
        <v>0.15717092337917485</v>
      </c>
      <c r="L136" s="27">
        <v>1.3163064833005895</v>
      </c>
      <c r="M136" s="27">
        <v>11.198428290766209</v>
      </c>
      <c r="N136" s="27">
        <v>0.12406679764243617</v>
      </c>
      <c r="O136" s="27" t="s">
        <v>45</v>
      </c>
      <c r="P136" s="27">
        <v>0.22593320235756384</v>
      </c>
      <c r="Q136" s="27">
        <v>3.3585461689587426E-2</v>
      </c>
      <c r="R136" s="27">
        <v>195.97249508840864</v>
      </c>
      <c r="S136" s="27" t="s">
        <v>45</v>
      </c>
      <c r="T136" s="30">
        <v>2.7603143418467583E-4</v>
      </c>
      <c r="U136" s="27">
        <v>2.3477406679764243</v>
      </c>
      <c r="V136" s="27">
        <v>0.13752455795677798</v>
      </c>
      <c r="W136" s="30">
        <v>9.2396856581532412E-3</v>
      </c>
      <c r="X136" s="27">
        <v>4.0373280943025538</v>
      </c>
      <c r="Y136" s="27" t="s">
        <v>45</v>
      </c>
      <c r="Z136" s="27" t="s">
        <v>45</v>
      </c>
      <c r="AA136" s="27">
        <v>22.829076620825145</v>
      </c>
      <c r="AB136" s="29">
        <v>1.306483300589391E-2</v>
      </c>
      <c r="AC136" s="27">
        <v>8.3005893909626725</v>
      </c>
      <c r="AD136" s="27">
        <v>0.4420432220039292</v>
      </c>
      <c r="AE136" s="27" t="s">
        <v>45</v>
      </c>
      <c r="AF136" s="27" t="s">
        <v>45</v>
      </c>
      <c r="AG136" s="27">
        <v>7.6031434184675826</v>
      </c>
    </row>
    <row r="137" spans="1:33" x14ac:dyDescent="0.2">
      <c r="A137" s="1">
        <v>122</v>
      </c>
      <c r="B137" s="25" t="s">
        <v>170</v>
      </c>
      <c r="C137" s="26">
        <v>6.5614617940199338</v>
      </c>
      <c r="D137" s="27" t="s">
        <v>45</v>
      </c>
      <c r="E137" s="27" t="s">
        <v>45</v>
      </c>
      <c r="F137" s="27" t="s">
        <v>45</v>
      </c>
      <c r="G137" s="27" t="s">
        <v>45</v>
      </c>
      <c r="H137" s="26">
        <v>6.4389534883720928E-2</v>
      </c>
      <c r="I137" s="26">
        <v>0.14534883720930231</v>
      </c>
      <c r="J137" s="27" t="s">
        <v>45</v>
      </c>
      <c r="K137" s="27">
        <v>0.10382059800664453</v>
      </c>
      <c r="L137" s="27">
        <v>0.99667774086378735</v>
      </c>
      <c r="M137" s="27">
        <v>2.5539867109634553</v>
      </c>
      <c r="N137" s="27">
        <v>7.1791943521594695E-2</v>
      </c>
      <c r="O137" s="27" t="s">
        <v>45</v>
      </c>
      <c r="P137" s="27">
        <v>9.3438538205980068E-2</v>
      </c>
      <c r="Q137" s="27">
        <v>1.5936461794019932E-2</v>
      </c>
      <c r="R137" s="27">
        <v>28.394933554817278</v>
      </c>
      <c r="S137" s="27" t="s">
        <v>45</v>
      </c>
      <c r="T137" s="30" t="s">
        <v>45</v>
      </c>
      <c r="U137" s="27" t="s">
        <v>45</v>
      </c>
      <c r="V137" s="27">
        <v>0.66445182724252494</v>
      </c>
      <c r="W137" s="30">
        <v>1.3766611295681064E-3</v>
      </c>
      <c r="X137" s="27">
        <v>1.3704318936877078</v>
      </c>
      <c r="Y137" s="27" t="s">
        <v>45</v>
      </c>
      <c r="Z137" s="27" t="s">
        <v>45</v>
      </c>
      <c r="AA137" s="27">
        <v>4.0697674418604652</v>
      </c>
      <c r="AB137" s="29">
        <v>5.2200996677740866E-3</v>
      </c>
      <c r="AC137" s="27">
        <v>3.8309800664451834</v>
      </c>
      <c r="AD137" s="27">
        <v>0.41528239202657813</v>
      </c>
      <c r="AE137" s="27" t="s">
        <v>45</v>
      </c>
      <c r="AF137" s="27" t="s">
        <v>45</v>
      </c>
      <c r="AG137" s="27">
        <v>4.2151162790697674</v>
      </c>
    </row>
    <row r="138" spans="1:33" x14ac:dyDescent="0.2">
      <c r="A138" s="1">
        <v>123</v>
      </c>
      <c r="B138" s="25" t="s">
        <v>171</v>
      </c>
      <c r="C138" s="26">
        <v>112.58949880668257</v>
      </c>
      <c r="D138" s="27" t="s">
        <v>45</v>
      </c>
      <c r="E138" s="27" t="s">
        <v>45</v>
      </c>
      <c r="F138" s="27" t="s">
        <v>45</v>
      </c>
      <c r="G138" s="27" t="s">
        <v>45</v>
      </c>
      <c r="H138" s="26">
        <v>0.30107398568019095</v>
      </c>
      <c r="I138" s="26">
        <v>0.53699284009546533</v>
      </c>
      <c r="J138" s="27" t="s">
        <v>45</v>
      </c>
      <c r="K138" s="27">
        <v>0.65632458233890212</v>
      </c>
      <c r="L138" s="27">
        <v>3.639618138424821</v>
      </c>
      <c r="M138" s="27">
        <v>60.226730310262539</v>
      </c>
      <c r="N138" s="27">
        <v>6.1026252983293556E-3</v>
      </c>
      <c r="O138" s="27" t="s">
        <v>45</v>
      </c>
      <c r="P138" s="27">
        <v>0.22673031026252985</v>
      </c>
      <c r="Q138" s="27">
        <v>1.7840095465393797E-2</v>
      </c>
      <c r="R138" s="27">
        <v>73.186157517899758</v>
      </c>
      <c r="S138" s="27" t="s">
        <v>45</v>
      </c>
      <c r="T138" s="30">
        <v>1.288782816229117E-4</v>
      </c>
      <c r="U138" s="27">
        <v>0.56085918854415284</v>
      </c>
      <c r="V138" s="27">
        <v>5.1193317422434372</v>
      </c>
      <c r="W138" s="30">
        <v>8.7458233890214798E-3</v>
      </c>
      <c r="X138" s="27">
        <v>0.56085918854415284</v>
      </c>
      <c r="Y138" s="27" t="s">
        <v>45</v>
      </c>
      <c r="Z138" s="27" t="s">
        <v>45</v>
      </c>
      <c r="AA138" s="27">
        <v>117.79236276849642</v>
      </c>
      <c r="AB138" s="29">
        <v>2.1980906921241054E-2</v>
      </c>
      <c r="AC138" s="27">
        <v>13.937947494033413</v>
      </c>
      <c r="AD138" s="27">
        <v>3.4367541766109784</v>
      </c>
      <c r="AE138" s="27" t="s">
        <v>45</v>
      </c>
      <c r="AF138" s="27" t="s">
        <v>45</v>
      </c>
      <c r="AG138" s="27">
        <v>22.207637231503579</v>
      </c>
    </row>
    <row r="139" spans="1:33" x14ac:dyDescent="0.2">
      <c r="A139" s="1">
        <v>124</v>
      </c>
      <c r="B139" s="25" t="s">
        <v>172</v>
      </c>
      <c r="C139" s="26">
        <v>9.594140249759846</v>
      </c>
      <c r="D139" s="27" t="s">
        <v>45</v>
      </c>
      <c r="E139" s="27" t="s">
        <v>45</v>
      </c>
      <c r="F139" s="27" t="s">
        <v>45</v>
      </c>
      <c r="G139" s="27" t="s">
        <v>45</v>
      </c>
      <c r="H139" s="26">
        <v>0.10559558117195006</v>
      </c>
      <c r="I139" s="26">
        <v>4.8030739673390971E-2</v>
      </c>
      <c r="J139" s="27" t="s">
        <v>45</v>
      </c>
      <c r="K139" s="27">
        <v>9.6061479346781942E-2</v>
      </c>
      <c r="L139" s="27">
        <v>2.425552353506244</v>
      </c>
      <c r="M139" s="27">
        <v>7.8650336215177727</v>
      </c>
      <c r="N139" s="27">
        <v>-1.2259846301633046E-3</v>
      </c>
      <c r="O139" s="27" t="s">
        <v>45</v>
      </c>
      <c r="P139" s="27">
        <v>0.15609990393852066</v>
      </c>
      <c r="Q139" s="27">
        <v>1.4133045148895294E-2</v>
      </c>
      <c r="R139" s="27">
        <v>37.800192122958698</v>
      </c>
      <c r="S139" s="27" t="s">
        <v>45</v>
      </c>
      <c r="T139" s="30">
        <v>8.8496637848222868E-4</v>
      </c>
      <c r="U139" s="27">
        <v>0.40826128722382321</v>
      </c>
      <c r="V139" s="27">
        <v>0.14409221902017291</v>
      </c>
      <c r="W139" s="30">
        <v>3.1940441882804997E-3</v>
      </c>
      <c r="X139" s="27">
        <v>0.45629202689721421</v>
      </c>
      <c r="Y139" s="27" t="s">
        <v>45</v>
      </c>
      <c r="Z139" s="27" t="s">
        <v>45</v>
      </c>
      <c r="AA139" s="27">
        <v>20.100864553314121</v>
      </c>
      <c r="AB139" s="29">
        <v>1.050792507204611E-2</v>
      </c>
      <c r="AC139" s="27">
        <v>9.9063400576368874</v>
      </c>
      <c r="AD139" s="27">
        <v>1.308837656099904</v>
      </c>
      <c r="AE139" s="27" t="s">
        <v>45</v>
      </c>
      <c r="AF139" s="27" t="s">
        <v>45</v>
      </c>
      <c r="AG139" s="27">
        <v>2.6777137367915467</v>
      </c>
    </row>
    <row r="140" spans="1:33" x14ac:dyDescent="0.2">
      <c r="A140" s="1">
        <v>125</v>
      </c>
      <c r="B140" s="25" t="s">
        <v>173</v>
      </c>
      <c r="C140" s="26">
        <v>2.1099744245524299</v>
      </c>
      <c r="D140" s="27" t="s">
        <v>45</v>
      </c>
      <c r="E140" s="27" t="s">
        <v>45</v>
      </c>
      <c r="F140" s="27" t="s">
        <v>45</v>
      </c>
      <c r="G140" s="27" t="s">
        <v>45</v>
      </c>
      <c r="H140" s="26">
        <v>0.10001065643648764</v>
      </c>
      <c r="I140" s="26">
        <v>9.5907928388746802E-2</v>
      </c>
      <c r="J140" s="27">
        <v>6.3938618925831192E-2</v>
      </c>
      <c r="K140" s="27">
        <v>8.525149190110827E-2</v>
      </c>
      <c r="L140" s="27">
        <v>1.0869565217391304</v>
      </c>
      <c r="M140" s="27">
        <v>5.7225063938618925</v>
      </c>
      <c r="N140" s="27">
        <v>0.20620204603580564</v>
      </c>
      <c r="O140" s="27" t="s">
        <v>45</v>
      </c>
      <c r="P140" s="27">
        <v>0.2131287297527707</v>
      </c>
      <c r="Q140" s="27">
        <v>6.1508951406649616E-2</v>
      </c>
      <c r="R140" s="27">
        <v>94.543904518329072</v>
      </c>
      <c r="S140" s="27" t="s">
        <v>45</v>
      </c>
      <c r="T140" s="30" t="s">
        <v>45</v>
      </c>
      <c r="U140" s="27">
        <v>2.0673486786018755</v>
      </c>
      <c r="V140" s="27">
        <v>0.11722080136402387</v>
      </c>
      <c r="W140" s="30">
        <v>6.0794970161977832E-3</v>
      </c>
      <c r="X140" s="27">
        <v>4.2945439045183296</v>
      </c>
      <c r="Y140" s="27" t="s">
        <v>45</v>
      </c>
      <c r="Z140" s="27" t="s">
        <v>45</v>
      </c>
      <c r="AA140" s="27">
        <v>12.35080988917306</v>
      </c>
      <c r="AB140" s="29">
        <v>1.1945865302642796E-2</v>
      </c>
      <c r="AC140" s="27">
        <v>8.6210571184995732</v>
      </c>
      <c r="AD140" s="27">
        <v>0.30903665814151743</v>
      </c>
      <c r="AE140" s="27" t="s">
        <v>45</v>
      </c>
      <c r="AF140" s="27" t="s">
        <v>45</v>
      </c>
      <c r="AG140" s="27">
        <v>3.8576300085251494</v>
      </c>
    </row>
    <row r="141" spans="1:33" x14ac:dyDescent="0.2">
      <c r="A141" s="1">
        <v>126</v>
      </c>
      <c r="B141" s="25" t="s">
        <v>174</v>
      </c>
      <c r="C141" s="26">
        <v>14.079229122055674</v>
      </c>
      <c r="D141" s="27">
        <v>1.0706638115631691E-2</v>
      </c>
      <c r="E141" s="27" t="s">
        <v>45</v>
      </c>
      <c r="F141" s="27" t="s">
        <v>45</v>
      </c>
      <c r="G141" s="27" t="s">
        <v>45</v>
      </c>
      <c r="H141" s="26">
        <v>0.36059957173447532</v>
      </c>
      <c r="I141" s="26">
        <v>9.6359743040685217E-2</v>
      </c>
      <c r="J141" s="27">
        <v>5.353319057815846E-2</v>
      </c>
      <c r="K141" s="27">
        <v>0.23554603854389719</v>
      </c>
      <c r="L141" s="27">
        <v>2.5053533190578157</v>
      </c>
      <c r="M141" s="27">
        <v>12.762312633832975</v>
      </c>
      <c r="N141" s="27">
        <v>0.12441113490364025</v>
      </c>
      <c r="O141" s="27" t="s">
        <v>45</v>
      </c>
      <c r="P141" s="27">
        <v>0.26766595289079226</v>
      </c>
      <c r="Q141" s="27">
        <v>3.6905781584582437E-2</v>
      </c>
      <c r="R141" s="27">
        <v>117.45182012847965</v>
      </c>
      <c r="S141" s="27" t="s">
        <v>45</v>
      </c>
      <c r="T141" s="30">
        <v>2.0663811563169168E-4</v>
      </c>
      <c r="U141" s="27">
        <v>0.86723768736616691</v>
      </c>
      <c r="V141" s="27">
        <v>0.70663811563169165</v>
      </c>
      <c r="W141" s="30">
        <v>3.7580299785867237E-2</v>
      </c>
      <c r="X141" s="27">
        <v>3.5653104925053536</v>
      </c>
      <c r="Y141" s="27" t="s">
        <v>45</v>
      </c>
      <c r="Z141" s="27" t="s">
        <v>45</v>
      </c>
      <c r="AA141" s="27">
        <v>435.86723768736613</v>
      </c>
      <c r="AB141" s="29">
        <v>2.5074946466809422E-2</v>
      </c>
      <c r="AC141" s="27">
        <v>19.93576017130621</v>
      </c>
      <c r="AD141" s="27">
        <v>0.58886509635974293</v>
      </c>
      <c r="AE141" s="27" t="s">
        <v>45</v>
      </c>
      <c r="AF141" s="27" t="s">
        <v>45</v>
      </c>
      <c r="AG141" s="27">
        <v>8.10492505353319</v>
      </c>
    </row>
    <row r="142" spans="1:33" x14ac:dyDescent="0.2">
      <c r="A142" s="1">
        <v>127</v>
      </c>
      <c r="B142" s="25" t="s">
        <v>175</v>
      </c>
      <c r="C142" s="26">
        <v>8.4991532599491944</v>
      </c>
      <c r="D142" s="27" t="s">
        <v>45</v>
      </c>
      <c r="E142" s="27" t="s">
        <v>45</v>
      </c>
      <c r="F142" s="27" t="s">
        <v>45</v>
      </c>
      <c r="G142" s="27" t="s">
        <v>45</v>
      </c>
      <c r="H142" s="26">
        <v>0.349809483488569</v>
      </c>
      <c r="I142" s="26">
        <v>7.4089754445385264E-2</v>
      </c>
      <c r="J142" s="27">
        <v>1.0584250635055038E-2</v>
      </c>
      <c r="K142" s="27">
        <v>3.1752751905165112E-2</v>
      </c>
      <c r="L142" s="27">
        <v>1.4923793395427603</v>
      </c>
      <c r="M142" s="27">
        <v>32.874682472480949</v>
      </c>
      <c r="N142" s="27">
        <v>1.3748941574936495E-2</v>
      </c>
      <c r="O142" s="27" t="s">
        <v>45</v>
      </c>
      <c r="P142" s="27">
        <v>0.22226926333615579</v>
      </c>
      <c r="Q142" s="27">
        <v>7.0882726502963594E-2</v>
      </c>
      <c r="R142" s="27">
        <v>42.866215071972903</v>
      </c>
      <c r="S142" s="27" t="s">
        <v>45</v>
      </c>
      <c r="T142" s="30">
        <v>6.985605419136326E-5</v>
      </c>
      <c r="U142" s="27">
        <v>0.7832345469940728</v>
      </c>
      <c r="V142" s="27">
        <v>0.11642675698560542</v>
      </c>
      <c r="W142" s="30">
        <v>1.0806519898391194E-2</v>
      </c>
      <c r="X142" s="27">
        <v>0.86790855207451323</v>
      </c>
      <c r="Y142" s="27" t="s">
        <v>45</v>
      </c>
      <c r="Z142" s="27" t="s">
        <v>45</v>
      </c>
      <c r="AA142" s="27">
        <v>31.964436917866216</v>
      </c>
      <c r="AB142" s="29">
        <v>1.4373412362404744E-2</v>
      </c>
      <c r="AC142" s="27">
        <v>26.619390347163421</v>
      </c>
      <c r="AD142" s="27">
        <v>0.76206604572396275</v>
      </c>
      <c r="AE142" s="27" t="s">
        <v>45</v>
      </c>
      <c r="AF142" s="27" t="s">
        <v>45</v>
      </c>
      <c r="AG142" s="27">
        <v>2.7307366638441999</v>
      </c>
    </row>
    <row r="143" spans="1:33" x14ac:dyDescent="0.2">
      <c r="A143" s="1">
        <v>128</v>
      </c>
      <c r="B143" s="25" t="s">
        <v>176</v>
      </c>
      <c r="C143" s="26">
        <v>56.087936865839907</v>
      </c>
      <c r="D143" s="27" t="s">
        <v>45</v>
      </c>
      <c r="E143" s="27" t="s">
        <v>45</v>
      </c>
      <c r="F143" s="27" t="s">
        <v>45</v>
      </c>
      <c r="G143" s="27" t="s">
        <v>45</v>
      </c>
      <c r="H143" s="26">
        <v>0.11771890266816985</v>
      </c>
      <c r="I143" s="26">
        <v>0.33821871476888388</v>
      </c>
      <c r="J143" s="27">
        <v>2.8184892897406989E-2</v>
      </c>
      <c r="K143" s="27">
        <v>0.44156332205937621</v>
      </c>
      <c r="L143" s="27">
        <v>2.8372792183389701</v>
      </c>
      <c r="M143" s="27">
        <v>14.205186020293123</v>
      </c>
      <c r="N143" s="27">
        <v>7.7123261931604653E-2</v>
      </c>
      <c r="O143" s="27" t="s">
        <v>45</v>
      </c>
      <c r="P143" s="27">
        <v>0.1785043216835776</v>
      </c>
      <c r="Q143" s="27">
        <v>1.9804584742577978E-2</v>
      </c>
      <c r="R143" s="27">
        <v>96.674182638105961</v>
      </c>
      <c r="S143" s="27" t="s">
        <v>45</v>
      </c>
      <c r="T143" s="30" t="s">
        <v>45</v>
      </c>
      <c r="U143" s="27">
        <v>0.11273957158962795</v>
      </c>
      <c r="V143" s="27">
        <v>0.32882375046974827</v>
      </c>
      <c r="W143" s="30">
        <v>1.2551672303645246E-2</v>
      </c>
      <c r="X143" s="27">
        <v>1.6629086809470124</v>
      </c>
      <c r="Y143" s="27" t="s">
        <v>45</v>
      </c>
      <c r="Z143" s="27" t="s">
        <v>45</v>
      </c>
      <c r="AA143" s="27">
        <v>29.490792934986846</v>
      </c>
      <c r="AB143" s="29">
        <v>1.1264562194663661E-2</v>
      </c>
      <c r="AC143" s="27">
        <v>5.9000375798571962</v>
      </c>
      <c r="AD143" s="27">
        <v>0.94889139421270197</v>
      </c>
      <c r="AE143" s="27" t="s">
        <v>45</v>
      </c>
      <c r="AF143" s="27" t="s">
        <v>45</v>
      </c>
      <c r="AG143" s="27">
        <v>11.010898158586999</v>
      </c>
    </row>
    <row r="144" spans="1:33" x14ac:dyDescent="0.2">
      <c r="A144" s="1">
        <v>129</v>
      </c>
      <c r="B144" s="25" t="s">
        <v>177</v>
      </c>
      <c r="C144" s="26">
        <v>4.6682776801405979</v>
      </c>
      <c r="D144" s="27">
        <v>1.0984182776801407E-2</v>
      </c>
      <c r="E144" s="27" t="s">
        <v>45</v>
      </c>
      <c r="F144" s="27" t="s">
        <v>45</v>
      </c>
      <c r="G144" s="27" t="s">
        <v>45</v>
      </c>
      <c r="H144" s="26">
        <v>0.17442882249560634</v>
      </c>
      <c r="I144" s="26">
        <v>8.7873462214411252E-2</v>
      </c>
      <c r="J144" s="27">
        <v>4.3936731107205626E-2</v>
      </c>
      <c r="K144" s="27">
        <v>3.2952548330404216E-2</v>
      </c>
      <c r="L144" s="27">
        <v>1.4389279437609843</v>
      </c>
      <c r="M144" s="27">
        <v>6.2390158172231995</v>
      </c>
      <c r="N144" s="27">
        <v>3.7181458699472765E-3</v>
      </c>
      <c r="O144" s="27" t="s">
        <v>45</v>
      </c>
      <c r="P144" s="27">
        <v>0.25263620386643232</v>
      </c>
      <c r="Q144" s="27">
        <v>2.3714850615114233E-2</v>
      </c>
      <c r="R144" s="27">
        <v>80.503075571177519</v>
      </c>
      <c r="S144" s="27" t="s">
        <v>45</v>
      </c>
      <c r="T144" s="30" t="s">
        <v>45</v>
      </c>
      <c r="U144" s="27">
        <v>0.61511423550087863</v>
      </c>
      <c r="V144" s="27">
        <v>0.14279437609841827</v>
      </c>
      <c r="W144" s="30">
        <v>5.3646748681898072E-3</v>
      </c>
      <c r="X144" s="27">
        <v>0.47231985940246046</v>
      </c>
      <c r="Y144" s="27" t="s">
        <v>45</v>
      </c>
      <c r="Z144" s="27" t="s">
        <v>45</v>
      </c>
      <c r="AA144" s="27">
        <v>10.1603690685413</v>
      </c>
      <c r="AB144" s="29">
        <v>1.3894991212653779E-2</v>
      </c>
      <c r="AC144" s="27">
        <v>12.972319859402461</v>
      </c>
      <c r="AD144" s="27">
        <v>0.64806678383128291</v>
      </c>
      <c r="AE144" s="27" t="s">
        <v>45</v>
      </c>
      <c r="AF144" s="27" t="s">
        <v>45</v>
      </c>
      <c r="AG144" s="27">
        <v>2.2956942003514937</v>
      </c>
    </row>
    <row r="145" spans="1:33" x14ac:dyDescent="0.2">
      <c r="A145" s="1">
        <v>130</v>
      </c>
      <c r="B145" s="25" t="s">
        <v>178</v>
      </c>
      <c r="C145" s="26">
        <v>15.0838677849038</v>
      </c>
      <c r="D145" s="27">
        <v>0.12333497779970401</v>
      </c>
      <c r="E145" s="27" t="s">
        <v>45</v>
      </c>
      <c r="F145" s="27" t="s">
        <v>45</v>
      </c>
      <c r="G145" s="27" t="s">
        <v>45</v>
      </c>
      <c r="H145" s="26">
        <v>0.29958066107548104</v>
      </c>
      <c r="I145" s="26">
        <v>8.633448445979279E-2</v>
      </c>
      <c r="J145" s="27" t="s">
        <v>45</v>
      </c>
      <c r="K145" s="27">
        <v>9.8667982239763197E-2</v>
      </c>
      <c r="L145" s="27">
        <v>2.4543660582141098</v>
      </c>
      <c r="M145" s="27">
        <v>9.9037987173162314</v>
      </c>
      <c r="N145" s="27">
        <v>0.13036507153428714</v>
      </c>
      <c r="O145" s="27" t="s">
        <v>45</v>
      </c>
      <c r="P145" s="27">
        <v>0.2713369511593488</v>
      </c>
      <c r="Q145" s="27">
        <v>3.7728169708929456E-2</v>
      </c>
      <c r="R145" s="27">
        <v>111.33448445979279</v>
      </c>
      <c r="S145" s="27" t="s">
        <v>45</v>
      </c>
      <c r="T145" s="30" t="s">
        <v>45</v>
      </c>
      <c r="U145" s="27">
        <v>0.50567340897878643</v>
      </c>
      <c r="V145" s="27">
        <v>1.110014800197336</v>
      </c>
      <c r="W145" s="30">
        <v>3.54588061174149E-2</v>
      </c>
      <c r="X145" s="27">
        <v>3.7863838184509131</v>
      </c>
      <c r="Y145" s="27" t="s">
        <v>45</v>
      </c>
      <c r="Z145" s="27" t="s">
        <v>45</v>
      </c>
      <c r="AA145" s="27">
        <v>435.6191415885545</v>
      </c>
      <c r="AB145" s="29">
        <v>2.337197829304391E-2</v>
      </c>
      <c r="AC145" s="27">
        <v>17.155895411938825</v>
      </c>
      <c r="AD145" s="27">
        <v>0.48100641341884554</v>
      </c>
      <c r="AE145" s="27" t="s">
        <v>45</v>
      </c>
      <c r="AF145" s="27" t="s">
        <v>45</v>
      </c>
      <c r="AG145" s="27">
        <v>5.0444005920078938</v>
      </c>
    </row>
    <row r="146" spans="1:33" x14ac:dyDescent="0.2">
      <c r="A146" s="1">
        <v>131</v>
      </c>
      <c r="B146" s="25" t="s">
        <v>179</v>
      </c>
      <c r="C146" s="26">
        <v>15.985630893578804</v>
      </c>
      <c r="D146" s="27">
        <v>3.3677593174674447E-2</v>
      </c>
      <c r="E146" s="27" t="s">
        <v>45</v>
      </c>
      <c r="F146" s="27" t="s">
        <v>45</v>
      </c>
      <c r="G146" s="27" t="s">
        <v>45</v>
      </c>
      <c r="H146" s="26">
        <v>0.22519083969465647</v>
      </c>
      <c r="I146" s="26">
        <v>0.14593623709025594</v>
      </c>
      <c r="J146" s="27" t="s">
        <v>45</v>
      </c>
      <c r="K146" s="27">
        <v>7.8581050740907044E-2</v>
      </c>
      <c r="L146" s="27">
        <v>2.2676246070947461</v>
      </c>
      <c r="M146" s="27">
        <v>22.384373596766949</v>
      </c>
      <c r="N146" s="27">
        <v>1.5749887741356085E-2</v>
      </c>
      <c r="O146" s="27" t="s">
        <v>45</v>
      </c>
      <c r="P146" s="27">
        <v>8.9806915132465193E-2</v>
      </c>
      <c r="Q146" s="27">
        <v>8.7101481814099685E-2</v>
      </c>
      <c r="R146" s="27">
        <v>181.40996856757971</v>
      </c>
      <c r="S146" s="27" t="s">
        <v>45</v>
      </c>
      <c r="T146" s="30" t="s">
        <v>45</v>
      </c>
      <c r="U146" s="27">
        <v>0.95419847328244278</v>
      </c>
      <c r="V146" s="27">
        <v>0.15716210148181409</v>
      </c>
      <c r="W146" s="30">
        <v>5.4849573417153118E-3</v>
      </c>
      <c r="X146" s="27">
        <v>0.51638976201167486</v>
      </c>
      <c r="Y146" s="27" t="s">
        <v>45</v>
      </c>
      <c r="Z146" s="27" t="s">
        <v>45</v>
      </c>
      <c r="AA146" s="27">
        <v>24.607094746295466</v>
      </c>
      <c r="AB146" s="29">
        <v>1.5783565334530757E-2</v>
      </c>
      <c r="AC146" s="27">
        <v>17.88280197575213</v>
      </c>
      <c r="AD146" s="27">
        <v>0.94297260889088452</v>
      </c>
      <c r="AE146" s="27">
        <v>3.4238886394252352</v>
      </c>
      <c r="AF146" s="27" t="s">
        <v>45</v>
      </c>
      <c r="AG146" s="27">
        <v>4.7597665020206552</v>
      </c>
    </row>
    <row r="147" spans="1:33" x14ac:dyDescent="0.2">
      <c r="A147" s="1">
        <v>132</v>
      </c>
      <c r="B147" s="25" t="s">
        <v>180</v>
      </c>
      <c r="C147" s="26">
        <v>43.053645116918851</v>
      </c>
      <c r="D147" s="27">
        <v>2.2925263640531868E-2</v>
      </c>
      <c r="E147" s="27" t="s">
        <v>45</v>
      </c>
      <c r="F147" s="27" t="s">
        <v>45</v>
      </c>
      <c r="G147" s="27" t="s">
        <v>45</v>
      </c>
      <c r="H147" s="26">
        <v>0.28358551123337916</v>
      </c>
      <c r="I147" s="26">
        <v>9.1701054562127474E-2</v>
      </c>
      <c r="J147" s="27" t="s">
        <v>45</v>
      </c>
      <c r="K147" s="27">
        <v>9.1701054562127474E-2</v>
      </c>
      <c r="L147" s="27">
        <v>1.7423200366804219</v>
      </c>
      <c r="M147" s="27">
        <v>27.097661623108667</v>
      </c>
      <c r="N147" s="27">
        <v>8.9695093993580929E-2</v>
      </c>
      <c r="O147" s="27" t="s">
        <v>45</v>
      </c>
      <c r="P147" s="27">
        <v>0.26364053186611647</v>
      </c>
      <c r="Q147" s="27">
        <v>4.8544245758826238E-2</v>
      </c>
      <c r="R147" s="27">
        <v>35.763411279229715</v>
      </c>
      <c r="S147" s="27" t="s">
        <v>45</v>
      </c>
      <c r="T147" s="30">
        <v>1.3812471343420448E-3</v>
      </c>
      <c r="U147" s="27">
        <v>1.4901421366345715</v>
      </c>
      <c r="V147" s="27">
        <v>0.21779000458505274</v>
      </c>
      <c r="W147" s="30">
        <v>2.5917010545621278E-2</v>
      </c>
      <c r="X147" s="27">
        <v>2.1091242549289317</v>
      </c>
      <c r="Y147" s="27" t="s">
        <v>45</v>
      </c>
      <c r="Z147" s="27" t="s">
        <v>45</v>
      </c>
      <c r="AA147" s="27">
        <v>56.831728564878496</v>
      </c>
      <c r="AB147" s="29">
        <v>1.9452086198991293E-2</v>
      </c>
      <c r="AC147" s="27">
        <v>22.478220999541495</v>
      </c>
      <c r="AD147" s="27">
        <v>2.0518110958276021</v>
      </c>
      <c r="AE147" s="27" t="s">
        <v>45</v>
      </c>
      <c r="AF147" s="27" t="s">
        <v>45</v>
      </c>
      <c r="AG147" s="27">
        <v>5.1008711600183405</v>
      </c>
    </row>
    <row r="148" spans="1:33" x14ac:dyDescent="0.2">
      <c r="A148" s="1">
        <v>133</v>
      </c>
      <c r="B148" s="25" t="s">
        <v>181</v>
      </c>
      <c r="C148" s="26">
        <v>125.70224719101124</v>
      </c>
      <c r="D148" s="27">
        <v>0.10533707865168539</v>
      </c>
      <c r="E148" s="27" t="s">
        <v>45</v>
      </c>
      <c r="F148" s="27" t="s">
        <v>45</v>
      </c>
      <c r="G148" s="27" t="s">
        <v>45</v>
      </c>
      <c r="H148" s="26">
        <v>0.14770599250936328</v>
      </c>
      <c r="I148" s="26">
        <v>9.363295880149812E-2</v>
      </c>
      <c r="J148" s="27">
        <v>4.681647940074906E-2</v>
      </c>
      <c r="K148" s="27">
        <v>0.23408239700374531</v>
      </c>
      <c r="L148" s="27">
        <v>1.2172284644194755</v>
      </c>
      <c r="M148" s="27">
        <v>63.670411985018731</v>
      </c>
      <c r="N148" s="27">
        <v>9.2216760299625458E-2</v>
      </c>
      <c r="O148" s="27" t="s">
        <v>45</v>
      </c>
      <c r="P148" s="27">
        <v>0.30430711610486888</v>
      </c>
      <c r="Q148" s="27">
        <v>6.9803370786516855E-2</v>
      </c>
      <c r="R148" s="27">
        <v>61.329588014981276</v>
      </c>
      <c r="S148" s="27" t="s">
        <v>45</v>
      </c>
      <c r="T148" s="30">
        <v>3.4293071161048687E-4</v>
      </c>
      <c r="U148" s="27">
        <v>0.74906367041198496</v>
      </c>
      <c r="V148" s="27">
        <v>0.3160112359550562</v>
      </c>
      <c r="W148" s="30">
        <v>4.9578651685393254E-3</v>
      </c>
      <c r="X148" s="27">
        <v>2.2471910112359548</v>
      </c>
      <c r="Y148" s="27" t="s">
        <v>45</v>
      </c>
      <c r="Z148" s="27" t="s">
        <v>45</v>
      </c>
      <c r="AA148" s="27">
        <v>147.5889513108614</v>
      </c>
      <c r="AB148" s="29">
        <v>9.0578183520599251E-3</v>
      </c>
      <c r="AC148" s="27">
        <v>12.148876404494382</v>
      </c>
      <c r="AD148" s="27">
        <v>6.0159176029962547</v>
      </c>
      <c r="AE148" s="27" t="s">
        <v>45</v>
      </c>
      <c r="AF148" s="27">
        <v>5.8520599250936327E-2</v>
      </c>
      <c r="AG148" s="27">
        <v>2.6685393258426968</v>
      </c>
    </row>
    <row r="149" spans="1:33" x14ac:dyDescent="0.2">
      <c r="A149" s="1">
        <v>134</v>
      </c>
      <c r="B149" s="25" t="s">
        <v>182</v>
      </c>
      <c r="C149" s="26">
        <v>85.875640428504894</v>
      </c>
      <c r="D149" s="27" t="s">
        <v>45</v>
      </c>
      <c r="E149" s="27" t="s">
        <v>45</v>
      </c>
      <c r="F149" s="27" t="s">
        <v>45</v>
      </c>
      <c r="G149" s="27" t="s">
        <v>45</v>
      </c>
      <c r="H149" s="26">
        <v>0.1776897997205403</v>
      </c>
      <c r="I149" s="26">
        <v>0.12808570097810898</v>
      </c>
      <c r="J149" s="27" t="s">
        <v>45</v>
      </c>
      <c r="K149" s="27">
        <v>0.33768048439683274</v>
      </c>
      <c r="L149" s="27">
        <v>1.4089427107591987</v>
      </c>
      <c r="M149" s="27">
        <v>58.069399161620865</v>
      </c>
      <c r="N149" s="27">
        <v>5.2270610153702837E-2</v>
      </c>
      <c r="O149" s="27" t="s">
        <v>45</v>
      </c>
      <c r="P149" s="27">
        <v>0.15137401024685609</v>
      </c>
      <c r="Q149" s="27">
        <v>3.5724266418258037E-2</v>
      </c>
      <c r="R149" s="27">
        <v>64.019562179785737</v>
      </c>
      <c r="S149" s="27" t="s">
        <v>45</v>
      </c>
      <c r="T149" s="30">
        <v>5.2282254308337215E-4</v>
      </c>
      <c r="U149" s="27">
        <v>0.95482068001863074</v>
      </c>
      <c r="V149" s="27">
        <v>0.54727526781555658</v>
      </c>
      <c r="W149" s="30">
        <v>7.3160223567768972E-3</v>
      </c>
      <c r="X149" s="27">
        <v>1.5137401024685608</v>
      </c>
      <c r="Y149" s="27" t="s">
        <v>45</v>
      </c>
      <c r="Z149" s="27" t="s">
        <v>45</v>
      </c>
      <c r="AA149" s="27">
        <v>146.01769911504425</v>
      </c>
      <c r="AB149" s="29">
        <v>1.7384722869119702E-2</v>
      </c>
      <c r="AC149" s="27">
        <v>11.807172799254774</v>
      </c>
      <c r="AD149" s="27">
        <v>5.857009781089892</v>
      </c>
      <c r="AE149" s="27" t="s">
        <v>45</v>
      </c>
      <c r="AF149" s="27">
        <v>2.3288309268747091E-2</v>
      </c>
      <c r="AG149" s="27">
        <v>2.7713088029809039</v>
      </c>
    </row>
    <row r="150" spans="1:33" x14ac:dyDescent="0.2">
      <c r="A150" s="1">
        <v>135</v>
      </c>
      <c r="B150" s="25" t="s">
        <v>183</v>
      </c>
      <c r="C150" s="26">
        <v>8.6631385181776359</v>
      </c>
      <c r="D150" s="27">
        <v>3.4514496088357112E-2</v>
      </c>
      <c r="E150" s="27" t="s">
        <v>45</v>
      </c>
      <c r="F150" s="27" t="s">
        <v>45</v>
      </c>
      <c r="G150" s="27" t="s">
        <v>45</v>
      </c>
      <c r="H150" s="26">
        <v>0.12149102623101704</v>
      </c>
      <c r="I150" s="26">
        <v>4.6019328117809483E-2</v>
      </c>
      <c r="J150" s="27" t="s">
        <v>45</v>
      </c>
      <c r="K150" s="27">
        <v>0.88587206626783255</v>
      </c>
      <c r="L150" s="27">
        <v>1.5646571560055222</v>
      </c>
      <c r="M150" s="27">
        <v>9.0888173032673727</v>
      </c>
      <c r="N150" s="27">
        <v>0.25839852738150026</v>
      </c>
      <c r="O150" s="27" t="s">
        <v>45</v>
      </c>
      <c r="P150" s="27">
        <v>0.23009664058904741</v>
      </c>
      <c r="Q150" s="27">
        <v>2.3815002300966406E-2</v>
      </c>
      <c r="R150" s="27">
        <v>22.537965945697195</v>
      </c>
      <c r="S150" s="27" t="s">
        <v>45</v>
      </c>
      <c r="T150" s="30">
        <v>5.8329498389323527E-4</v>
      </c>
      <c r="U150" s="27">
        <v>0.40266912103083302</v>
      </c>
      <c r="V150" s="27">
        <v>0.17257248044178555</v>
      </c>
      <c r="W150" s="30">
        <v>9.1958122411412799E-3</v>
      </c>
      <c r="X150" s="27">
        <v>7.4206166589967788</v>
      </c>
      <c r="Y150" s="27" t="s">
        <v>45</v>
      </c>
      <c r="Z150" s="27" t="s">
        <v>45</v>
      </c>
      <c r="AA150" s="27">
        <v>7.52416014726185</v>
      </c>
      <c r="AB150" s="29">
        <v>9.333870225494709E-3</v>
      </c>
      <c r="AC150" s="27">
        <v>9.4224574321214902</v>
      </c>
      <c r="AD150" s="27">
        <v>1.7142199723884031</v>
      </c>
      <c r="AE150" s="27" t="s">
        <v>45</v>
      </c>
      <c r="AF150" s="27" t="s">
        <v>45</v>
      </c>
      <c r="AG150" s="27">
        <v>3.7390704095720202</v>
      </c>
    </row>
    <row r="151" spans="1:33" x14ac:dyDescent="0.2">
      <c r="A151" s="1">
        <v>136</v>
      </c>
      <c r="B151" s="25" t="s">
        <v>184</v>
      </c>
      <c r="C151" s="26">
        <v>36.791845493562228</v>
      </c>
      <c r="D151" s="27">
        <v>0.1072961373390558</v>
      </c>
      <c r="E151" s="27" t="s">
        <v>45</v>
      </c>
      <c r="F151" s="27" t="s">
        <v>45</v>
      </c>
      <c r="G151" s="27" t="s">
        <v>45</v>
      </c>
      <c r="H151" s="26">
        <v>7.7650214592274683E-2</v>
      </c>
      <c r="I151" s="26">
        <v>5.3648068669527899E-2</v>
      </c>
      <c r="J151" s="27">
        <v>1.0729613733905579E-2</v>
      </c>
      <c r="K151" s="27">
        <v>0.26824034334763946</v>
      </c>
      <c r="L151" s="27">
        <v>1.4270386266094419</v>
      </c>
      <c r="M151" s="27">
        <v>23.487124463519311</v>
      </c>
      <c r="N151" s="27">
        <v>4.7199570815450641E-2</v>
      </c>
      <c r="O151" s="27" t="s">
        <v>45</v>
      </c>
      <c r="P151" s="27">
        <v>0.21459227467811159</v>
      </c>
      <c r="Q151" s="27">
        <v>1.7124463519313307E-2</v>
      </c>
      <c r="R151" s="27">
        <v>29.56008583690987</v>
      </c>
      <c r="S151" s="27" t="s">
        <v>45</v>
      </c>
      <c r="T151" s="30" t="s">
        <v>45</v>
      </c>
      <c r="U151" s="27">
        <v>0.21459227467811159</v>
      </c>
      <c r="V151" s="27">
        <v>0.19313304721030042</v>
      </c>
      <c r="W151" s="30">
        <v>2.0150214592274678E-3</v>
      </c>
      <c r="X151" s="27">
        <v>0.68669527896995708</v>
      </c>
      <c r="Y151" s="27" t="s">
        <v>45</v>
      </c>
      <c r="Z151" s="27" t="s">
        <v>45</v>
      </c>
      <c r="AA151" s="27">
        <v>281.43776824034336</v>
      </c>
      <c r="AB151" s="29">
        <v>7.6072961373390554E-3</v>
      </c>
      <c r="AC151" s="27">
        <v>6.6523605150214591</v>
      </c>
      <c r="AD151" s="27">
        <v>7.5214592274678109</v>
      </c>
      <c r="AE151" s="27" t="s">
        <v>45</v>
      </c>
      <c r="AF151" s="27" t="s">
        <v>45</v>
      </c>
      <c r="AG151" s="27">
        <v>4.0343347639484977</v>
      </c>
    </row>
    <row r="152" spans="1:33" x14ac:dyDescent="0.2">
      <c r="A152" s="1">
        <v>137</v>
      </c>
      <c r="B152" s="25" t="s">
        <v>185</v>
      </c>
      <c r="C152" s="26">
        <v>10.75221238938053</v>
      </c>
      <c r="D152" s="27" t="s">
        <v>45</v>
      </c>
      <c r="E152" s="27" t="s">
        <v>45</v>
      </c>
      <c r="F152" s="27" t="s">
        <v>45</v>
      </c>
      <c r="G152" s="27" t="s">
        <v>45</v>
      </c>
      <c r="H152" s="26">
        <v>7.0652654867256637E-2</v>
      </c>
      <c r="I152" s="26">
        <v>9.9557522123893794E-2</v>
      </c>
      <c r="J152" s="27">
        <v>1.1061946902654867E-2</v>
      </c>
      <c r="K152" s="27" t="s">
        <v>45</v>
      </c>
      <c r="L152" s="27">
        <v>1.1504424778761062</v>
      </c>
      <c r="M152" s="27">
        <v>2.5221238938053099</v>
      </c>
      <c r="N152" s="27">
        <v>0.11272123893805308</v>
      </c>
      <c r="O152" s="27" t="s">
        <v>45</v>
      </c>
      <c r="P152" s="27">
        <v>8.8495575221238937E-2</v>
      </c>
      <c r="Q152" s="27">
        <v>1.2278761061946903E-2</v>
      </c>
      <c r="R152" s="27">
        <v>44.457964601769909</v>
      </c>
      <c r="S152" s="27" t="s">
        <v>45</v>
      </c>
      <c r="T152" s="30" t="s">
        <v>45</v>
      </c>
      <c r="U152" s="27" t="s">
        <v>45</v>
      </c>
      <c r="V152" s="27">
        <v>0.29867256637168144</v>
      </c>
      <c r="W152" s="30">
        <v>3.6017699115044248E-3</v>
      </c>
      <c r="X152" s="27">
        <v>2.4446902654867255</v>
      </c>
      <c r="Y152" s="27" t="s">
        <v>45</v>
      </c>
      <c r="Z152" s="27" t="s">
        <v>45</v>
      </c>
      <c r="AA152" s="27">
        <v>5.6747787610619467</v>
      </c>
      <c r="AB152" s="29">
        <v>6.3373893805309727E-3</v>
      </c>
      <c r="AC152" s="27">
        <v>4.2588495575221241</v>
      </c>
      <c r="AD152" s="27">
        <v>0.29867256637168144</v>
      </c>
      <c r="AE152" s="27" t="s">
        <v>45</v>
      </c>
      <c r="AF152" s="27" t="s">
        <v>45</v>
      </c>
      <c r="AG152" s="27">
        <v>7.3451327433628313</v>
      </c>
    </row>
    <row r="153" spans="1:33" x14ac:dyDescent="0.2">
      <c r="A153" s="1">
        <v>138</v>
      </c>
      <c r="B153" s="25" t="s">
        <v>186</v>
      </c>
      <c r="C153" s="26">
        <v>18.739886731391582</v>
      </c>
      <c r="D153" s="27">
        <v>0.16181229773462782</v>
      </c>
      <c r="E153" s="27" t="s">
        <v>45</v>
      </c>
      <c r="F153" s="27" t="s">
        <v>45</v>
      </c>
      <c r="G153" s="27" t="s">
        <v>45</v>
      </c>
      <c r="H153" s="26">
        <v>9.8058252427184467E-2</v>
      </c>
      <c r="I153" s="26">
        <v>0.1011326860841424</v>
      </c>
      <c r="J153" s="27">
        <v>4.0453074433656956E-2</v>
      </c>
      <c r="K153" s="27">
        <v>1.2439320388349515</v>
      </c>
      <c r="L153" s="27">
        <v>1.5372168284789645</v>
      </c>
      <c r="M153" s="27">
        <v>44.538834951456309</v>
      </c>
      <c r="N153" s="27">
        <v>0.18163430420711976</v>
      </c>
      <c r="O153" s="27" t="s">
        <v>45</v>
      </c>
      <c r="P153" s="27">
        <v>0.30339805825242716</v>
      </c>
      <c r="Q153" s="27">
        <v>2.0540048543689321E-2</v>
      </c>
      <c r="R153" s="27">
        <v>33.3838996763754</v>
      </c>
      <c r="S153" s="27" t="s">
        <v>45</v>
      </c>
      <c r="T153" s="30">
        <v>5.0869741100323623E-4</v>
      </c>
      <c r="U153" s="27">
        <v>0.61690938511326854</v>
      </c>
      <c r="V153" s="27">
        <v>0.30339805825242716</v>
      </c>
      <c r="W153" s="30">
        <v>5.1314724919093845E-3</v>
      </c>
      <c r="X153" s="27">
        <v>4.1767799352750821</v>
      </c>
      <c r="Y153" s="27" t="s">
        <v>45</v>
      </c>
      <c r="Z153" s="27" t="s">
        <v>45</v>
      </c>
      <c r="AA153" s="27">
        <v>27.366504854368934</v>
      </c>
      <c r="AB153" s="29">
        <v>7.9803802588996765E-3</v>
      </c>
      <c r="AC153" s="27">
        <v>5.3398058252427187</v>
      </c>
      <c r="AD153" s="27">
        <v>12.206715210355988</v>
      </c>
      <c r="AE153" s="27" t="s">
        <v>45</v>
      </c>
      <c r="AF153" s="27" t="s">
        <v>45</v>
      </c>
      <c r="AG153" s="27">
        <v>5.0465210355987056</v>
      </c>
    </row>
    <row r="154" spans="1:33" x14ac:dyDescent="0.2">
      <c r="A154" s="1">
        <v>139</v>
      </c>
      <c r="B154" s="25" t="s">
        <v>187</v>
      </c>
      <c r="C154" s="26">
        <v>6.0692921236291131</v>
      </c>
      <c r="D154" s="27">
        <v>0.11216350947158524</v>
      </c>
      <c r="E154" s="27" t="s">
        <v>45</v>
      </c>
      <c r="F154" s="27" t="s">
        <v>45</v>
      </c>
      <c r="G154" s="27" t="s">
        <v>45</v>
      </c>
      <c r="H154" s="26">
        <v>0.3849700897308076</v>
      </c>
      <c r="I154" s="26">
        <v>0.19940179461615154</v>
      </c>
      <c r="J154" s="27">
        <v>1.2462612163509471E-2</v>
      </c>
      <c r="K154" s="27">
        <v>0.14955134596211364</v>
      </c>
      <c r="L154" s="27">
        <v>1.4705882352941175</v>
      </c>
      <c r="M154" s="27">
        <v>5.6081754735792622</v>
      </c>
      <c r="N154" s="27">
        <v>0.11036889332003988</v>
      </c>
      <c r="O154" s="27" t="s">
        <v>45</v>
      </c>
      <c r="P154" s="27">
        <v>0.34895314057826515</v>
      </c>
      <c r="Q154" s="27">
        <v>6.9479062811565309E-2</v>
      </c>
      <c r="R154" s="27">
        <v>368.39481555333998</v>
      </c>
      <c r="S154" s="27" t="s">
        <v>45</v>
      </c>
      <c r="T154" s="30" t="s">
        <v>45</v>
      </c>
      <c r="U154" s="27">
        <v>1.109172482552343</v>
      </c>
      <c r="V154" s="27">
        <v>0.22432701894317048</v>
      </c>
      <c r="W154" s="30">
        <v>8.500747756729812E-3</v>
      </c>
      <c r="X154" s="27">
        <v>4.00049850448654</v>
      </c>
      <c r="Y154" s="27" t="s">
        <v>45</v>
      </c>
      <c r="Z154" s="27" t="s">
        <v>45</v>
      </c>
      <c r="AA154" s="27">
        <v>22.071286141575275</v>
      </c>
      <c r="AB154" s="29">
        <v>1.5216849451645064E-2</v>
      </c>
      <c r="AC154" s="27">
        <v>22.956131605184449</v>
      </c>
      <c r="AD154" s="27">
        <v>0.73529411764705876</v>
      </c>
      <c r="AE154" s="27">
        <v>0.18693918245264207</v>
      </c>
      <c r="AF154" s="27" t="s">
        <v>45</v>
      </c>
      <c r="AG154" s="27">
        <v>5.0099700897308068</v>
      </c>
    </row>
    <row r="155" spans="1:33" x14ac:dyDescent="0.2">
      <c r="A155" s="1">
        <v>140</v>
      </c>
      <c r="B155" s="25" t="s">
        <v>188</v>
      </c>
      <c r="C155" s="26">
        <v>22.624877571008817</v>
      </c>
      <c r="D155" s="27" t="s">
        <v>45</v>
      </c>
      <c r="E155" s="27" t="s">
        <v>45</v>
      </c>
      <c r="F155" s="27" t="s">
        <v>45</v>
      </c>
      <c r="G155" s="27" t="s">
        <v>45</v>
      </c>
      <c r="H155" s="26">
        <v>0.30558276199804119</v>
      </c>
      <c r="I155" s="26">
        <v>8.5700293829578833E-2</v>
      </c>
      <c r="J155" s="27">
        <v>7.3457394711067575E-2</v>
      </c>
      <c r="K155" s="27">
        <v>0.15915768854064644</v>
      </c>
      <c r="L155" s="27">
        <v>1.9466209598432911</v>
      </c>
      <c r="M155" s="27">
        <v>17.066601371204701</v>
      </c>
      <c r="N155" s="27">
        <v>1.289177277179236E-2</v>
      </c>
      <c r="O155" s="27" t="s">
        <v>45</v>
      </c>
      <c r="P155" s="27">
        <v>0.2938295788442703</v>
      </c>
      <c r="Q155" s="27">
        <v>3.6814397649363374E-2</v>
      </c>
      <c r="R155" s="27">
        <v>125.24485798237022</v>
      </c>
      <c r="S155" s="27" t="s">
        <v>45</v>
      </c>
      <c r="T155" s="30" t="s">
        <v>45</v>
      </c>
      <c r="U155" s="27">
        <v>0.99167482859941236</v>
      </c>
      <c r="V155" s="27">
        <v>2.5220372184133204</v>
      </c>
      <c r="W155" s="30">
        <v>1.2328599412340841E-2</v>
      </c>
      <c r="X155" s="27">
        <v>0.71008814887365324</v>
      </c>
      <c r="Y155" s="27" t="s">
        <v>45</v>
      </c>
      <c r="Z155" s="27" t="s">
        <v>45</v>
      </c>
      <c r="AA155" s="27">
        <v>328.10969637610185</v>
      </c>
      <c r="AB155" s="29">
        <v>1.9453966699314401E-2</v>
      </c>
      <c r="AC155" s="27">
        <v>17.593046033300684</v>
      </c>
      <c r="AD155" s="27">
        <v>1.1263467189030363</v>
      </c>
      <c r="AE155" s="27" t="s">
        <v>45</v>
      </c>
      <c r="AF155" s="27" t="s">
        <v>45</v>
      </c>
      <c r="AG155" s="27">
        <v>9.8065621939275225</v>
      </c>
    </row>
    <row r="156" spans="1:33" x14ac:dyDescent="0.2">
      <c r="A156" s="1">
        <v>141</v>
      </c>
      <c r="B156" s="25" t="s">
        <v>189</v>
      </c>
      <c r="C156" s="26">
        <v>27.89039039039039</v>
      </c>
      <c r="D156" s="27">
        <v>8.758758758758757E-2</v>
      </c>
      <c r="E156" s="27" t="s">
        <v>45</v>
      </c>
      <c r="F156" s="27" t="s">
        <v>45</v>
      </c>
      <c r="G156" s="27" t="s">
        <v>45</v>
      </c>
      <c r="H156" s="26">
        <v>0.11858108108108109</v>
      </c>
      <c r="I156" s="26">
        <v>0.13763763763763764</v>
      </c>
      <c r="J156" s="27">
        <v>3.7537537537537538E-2</v>
      </c>
      <c r="K156" s="27">
        <v>0.3003003003003003</v>
      </c>
      <c r="L156" s="27">
        <v>3.0030030030030028</v>
      </c>
      <c r="M156" s="27">
        <v>9.6471471471471464</v>
      </c>
      <c r="N156" s="27">
        <v>3.4672172172172167E-2</v>
      </c>
      <c r="O156" s="27" t="s">
        <v>45</v>
      </c>
      <c r="P156" s="27">
        <v>0.18768768768768768</v>
      </c>
      <c r="Q156" s="27">
        <v>1.946946946946947E-2</v>
      </c>
      <c r="R156" s="27">
        <v>76.501501501501508</v>
      </c>
      <c r="S156" s="27" t="s">
        <v>45</v>
      </c>
      <c r="T156" s="30" t="s">
        <v>45</v>
      </c>
      <c r="U156" s="27">
        <v>0.23773773773773774</v>
      </c>
      <c r="V156" s="27">
        <v>0.31281281281281281</v>
      </c>
      <c r="W156" s="30">
        <v>8.4934934934934921E-3</v>
      </c>
      <c r="X156" s="27">
        <v>0.88838838838838841</v>
      </c>
      <c r="Y156" s="27" t="s">
        <v>45</v>
      </c>
      <c r="Z156" s="27" t="s">
        <v>45</v>
      </c>
      <c r="AA156" s="27">
        <v>20.658158158158155</v>
      </c>
      <c r="AB156" s="29">
        <v>1.1352602602602601E-2</v>
      </c>
      <c r="AC156" s="27">
        <v>5.4429429429429428</v>
      </c>
      <c r="AD156" s="27">
        <v>0.63813813813813813</v>
      </c>
      <c r="AE156" s="27" t="s">
        <v>45</v>
      </c>
      <c r="AF156" s="27" t="s">
        <v>45</v>
      </c>
      <c r="AG156" s="27">
        <v>8.108108108108107</v>
      </c>
    </row>
    <row r="157" spans="1:33" x14ac:dyDescent="0.2">
      <c r="A157" s="1">
        <v>142</v>
      </c>
      <c r="B157" s="25" t="s">
        <v>190</v>
      </c>
      <c r="C157" s="26">
        <v>12.050271069492361</v>
      </c>
      <c r="D157" s="27">
        <v>0.20946278955150319</v>
      </c>
      <c r="E157" s="27" t="s">
        <v>45</v>
      </c>
      <c r="F157" s="27" t="s">
        <v>45</v>
      </c>
      <c r="G157" s="27" t="s">
        <v>45</v>
      </c>
      <c r="H157" s="26">
        <v>0.20847708230655498</v>
      </c>
      <c r="I157" s="26">
        <v>6.1606702809265654E-2</v>
      </c>
      <c r="J157" s="27">
        <v>3.6964021685559387E-2</v>
      </c>
      <c r="K157" s="27">
        <v>9.8570724494825041E-2</v>
      </c>
      <c r="L157" s="27">
        <v>2.5874815179891573</v>
      </c>
      <c r="M157" s="27">
        <v>14.477575160177427</v>
      </c>
      <c r="N157" s="27">
        <v>8.6397240019714147E-2</v>
      </c>
      <c r="O157" s="27" t="s">
        <v>45</v>
      </c>
      <c r="P157" s="27">
        <v>0.24642681123706262</v>
      </c>
      <c r="Q157" s="27">
        <v>1.9627895515032034E-2</v>
      </c>
      <c r="R157" s="27">
        <v>82.676195170034518</v>
      </c>
      <c r="S157" s="27" t="s">
        <v>45</v>
      </c>
      <c r="T157" s="30">
        <v>2.1315919172005916E-4</v>
      </c>
      <c r="U157" s="27">
        <v>0.88713652045342528</v>
      </c>
      <c r="V157" s="27">
        <v>0.51749630359783139</v>
      </c>
      <c r="W157" s="30">
        <v>1.9825036964021686E-2</v>
      </c>
      <c r="X157" s="27">
        <v>2.4642681123706258</v>
      </c>
      <c r="Y157" s="27" t="s">
        <v>45</v>
      </c>
      <c r="Z157" s="27" t="s">
        <v>45</v>
      </c>
      <c r="AA157" s="27">
        <v>364.83489403647116</v>
      </c>
      <c r="AB157" s="29">
        <v>1.8592902907836373E-2</v>
      </c>
      <c r="AC157" s="27">
        <v>14.773287333661903</v>
      </c>
      <c r="AD157" s="27">
        <v>1.0473139477575162</v>
      </c>
      <c r="AE157" s="27" t="s">
        <v>45</v>
      </c>
      <c r="AF157" s="27" t="s">
        <v>45</v>
      </c>
      <c r="AG157" s="27">
        <v>5.5569245933957614</v>
      </c>
    </row>
    <row r="158" spans="1:33" x14ac:dyDescent="0.2">
      <c r="A158" s="1">
        <v>143</v>
      </c>
      <c r="B158" s="25" t="s">
        <v>191</v>
      </c>
      <c r="C158" s="26">
        <v>7.2588582677165352</v>
      </c>
      <c r="D158" s="27">
        <v>0.11072834645669291</v>
      </c>
      <c r="E158" s="27" t="s">
        <v>45</v>
      </c>
      <c r="F158" s="27" t="s">
        <v>45</v>
      </c>
      <c r="G158" s="27" t="s">
        <v>45</v>
      </c>
      <c r="H158" s="26">
        <v>7.0091043307086612E-2</v>
      </c>
      <c r="I158" s="26">
        <v>6.1515748031496072E-2</v>
      </c>
      <c r="J158" s="27" t="s">
        <v>45</v>
      </c>
      <c r="K158" s="27">
        <v>9.8425196850393706E-2</v>
      </c>
      <c r="L158" s="27">
        <v>0.98425196850393715</v>
      </c>
      <c r="M158" s="27">
        <v>4.9581692913385833</v>
      </c>
      <c r="N158" s="27">
        <v>6.380413385826772E-2</v>
      </c>
      <c r="O158" s="27" t="s">
        <v>45</v>
      </c>
      <c r="P158" s="27">
        <v>0.19685039370078741</v>
      </c>
      <c r="Q158" s="27">
        <v>1.7605807086614175E-2</v>
      </c>
      <c r="R158" s="27">
        <v>28.973917322834644</v>
      </c>
      <c r="S158" s="27" t="s">
        <v>45</v>
      </c>
      <c r="T158" s="30">
        <v>3.1003937007874019E-4</v>
      </c>
      <c r="U158" s="27">
        <v>8.6122047244094488E-2</v>
      </c>
      <c r="V158" s="27">
        <v>0.19685039370078741</v>
      </c>
      <c r="W158" s="30">
        <v>7.3203740157480309E-4</v>
      </c>
      <c r="X158" s="27">
        <v>1.0088582677165356</v>
      </c>
      <c r="Y158" s="27" t="s">
        <v>45</v>
      </c>
      <c r="Z158" s="27" t="s">
        <v>45</v>
      </c>
      <c r="AA158" s="27">
        <v>12.266240157480315</v>
      </c>
      <c r="AB158" s="29">
        <v>6.3090551181102369E-3</v>
      </c>
      <c r="AC158" s="27">
        <v>5.684055118110237</v>
      </c>
      <c r="AD158" s="27">
        <v>0.66437007874015752</v>
      </c>
      <c r="AE158" s="27" t="s">
        <v>45</v>
      </c>
      <c r="AF158" s="27" t="s">
        <v>45</v>
      </c>
      <c r="AG158" s="27">
        <v>4.2445866141732287</v>
      </c>
    </row>
    <row r="159" spans="1:33" x14ac:dyDescent="0.2">
      <c r="A159" s="1">
        <v>144</v>
      </c>
      <c r="B159" s="25" t="s">
        <v>192</v>
      </c>
      <c r="C159" s="26">
        <v>58.330248056275451</v>
      </c>
      <c r="D159" s="27" t="s">
        <v>45</v>
      </c>
      <c r="E159" s="27" t="s">
        <v>45</v>
      </c>
      <c r="F159" s="27" t="s">
        <v>45</v>
      </c>
      <c r="G159" s="27" t="s">
        <v>45</v>
      </c>
      <c r="H159" s="26">
        <v>0.39726027397260277</v>
      </c>
      <c r="I159" s="26">
        <v>0.44427989633469084</v>
      </c>
      <c r="J159" s="27">
        <v>3.7023324694557574E-2</v>
      </c>
      <c r="K159" s="27">
        <v>0.2961865975564606</v>
      </c>
      <c r="L159" s="27">
        <v>2.1380970011106997</v>
      </c>
      <c r="M159" s="27">
        <v>30.183265457238058</v>
      </c>
      <c r="N159" s="27">
        <v>0.15420214735283228</v>
      </c>
      <c r="O159" s="27" t="s">
        <v>45</v>
      </c>
      <c r="P159" s="27">
        <v>0.1480932987782303</v>
      </c>
      <c r="Q159" s="27">
        <v>6.376342095520178E-2</v>
      </c>
      <c r="R159" s="27">
        <v>264.34653831914102</v>
      </c>
      <c r="S159" s="27" t="s">
        <v>45</v>
      </c>
      <c r="T159" s="30">
        <v>4.4150314698259904E-4</v>
      </c>
      <c r="U159" s="27">
        <v>1.6938171047760089</v>
      </c>
      <c r="V159" s="27">
        <v>5.7201036653091446</v>
      </c>
      <c r="W159" s="30">
        <v>8.9827841540170306E-3</v>
      </c>
      <c r="X159" s="27">
        <v>5.451684561273602</v>
      </c>
      <c r="Y159" s="27" t="s">
        <v>45</v>
      </c>
      <c r="Z159" s="27" t="s">
        <v>45</v>
      </c>
      <c r="AA159" s="27">
        <v>76.832654572380591</v>
      </c>
      <c r="AB159" s="29">
        <v>1.6392077008515363E-2</v>
      </c>
      <c r="AC159" s="27">
        <v>24.50944094779711</v>
      </c>
      <c r="AD159" s="27">
        <v>1.3606071825249906</v>
      </c>
      <c r="AE159" s="27">
        <v>3.0451684561273602</v>
      </c>
      <c r="AF159" s="27">
        <v>5.5534987041836355E-2</v>
      </c>
      <c r="AG159" s="27">
        <v>16.475379489078119</v>
      </c>
    </row>
    <row r="160" spans="1:33" x14ac:dyDescent="0.2">
      <c r="A160" s="1">
        <v>145</v>
      </c>
      <c r="B160" s="25" t="s">
        <v>193</v>
      </c>
      <c r="C160" s="26">
        <v>3.7247946228528752</v>
      </c>
      <c r="D160" s="27">
        <v>0.10268857356235998</v>
      </c>
      <c r="E160" s="27" t="s">
        <v>45</v>
      </c>
      <c r="F160" s="27" t="s">
        <v>45</v>
      </c>
      <c r="G160" s="27" t="s">
        <v>45</v>
      </c>
      <c r="H160" s="26">
        <v>0.14777819268110531</v>
      </c>
      <c r="I160" s="26">
        <v>6.5347274085138157E-2</v>
      </c>
      <c r="J160" s="27" t="s">
        <v>45</v>
      </c>
      <c r="K160" s="27">
        <v>4.6676624346527265E-2</v>
      </c>
      <c r="L160" s="27">
        <v>1.5403286034353998</v>
      </c>
      <c r="M160" s="27">
        <v>28.846153846153847</v>
      </c>
      <c r="N160" s="27">
        <v>0.11790515309932789</v>
      </c>
      <c r="O160" s="27" t="s">
        <v>45</v>
      </c>
      <c r="P160" s="27">
        <v>0.23338312173263631</v>
      </c>
      <c r="Q160" s="27">
        <v>5.7869678864824498E-2</v>
      </c>
      <c r="R160" s="27">
        <v>36.706497386109042</v>
      </c>
      <c r="S160" s="27" t="s">
        <v>45</v>
      </c>
      <c r="T160" s="30" t="s">
        <v>45</v>
      </c>
      <c r="U160" s="27">
        <v>0.74682598954443624</v>
      </c>
      <c r="V160" s="27">
        <v>0.14002987303958178</v>
      </c>
      <c r="W160" s="30">
        <v>1.141710231516057E-2</v>
      </c>
      <c r="X160" s="27">
        <v>3.1273338312173267</v>
      </c>
      <c r="Y160" s="27" t="s">
        <v>45</v>
      </c>
      <c r="Z160" s="27" t="s">
        <v>45</v>
      </c>
      <c r="AA160" s="27">
        <v>8.8032113517550421</v>
      </c>
      <c r="AB160" s="29">
        <v>1.3592233009708739E-2</v>
      </c>
      <c r="AC160" s="27">
        <v>10.53024645257655</v>
      </c>
      <c r="AD160" s="27">
        <v>0.80283793876026888</v>
      </c>
      <c r="AE160" s="27" t="s">
        <v>45</v>
      </c>
      <c r="AF160" s="27" t="s">
        <v>45</v>
      </c>
      <c r="AG160" s="27">
        <v>2.3244958924570573</v>
      </c>
    </row>
    <row r="161" spans="1:33" x14ac:dyDescent="0.2">
      <c r="A161" s="1">
        <v>146</v>
      </c>
      <c r="B161" s="25" t="s">
        <v>194</v>
      </c>
      <c r="C161" s="26">
        <v>14.905787348586809</v>
      </c>
      <c r="D161" s="27" t="s">
        <v>45</v>
      </c>
      <c r="E161" s="27" t="s">
        <v>45</v>
      </c>
      <c r="F161" s="27" t="s">
        <v>45</v>
      </c>
      <c r="G161" s="27" t="s">
        <v>45</v>
      </c>
      <c r="H161" s="26">
        <v>0.18494840735755944</v>
      </c>
      <c r="I161" s="26">
        <v>3.3647375504710635E-2</v>
      </c>
      <c r="J161" s="27">
        <v>2.243158366980709E-2</v>
      </c>
      <c r="K161" s="27">
        <v>0.25796321220278151</v>
      </c>
      <c r="L161" s="27">
        <v>2.4001794526693581</v>
      </c>
      <c r="M161" s="27">
        <v>16.139524450426201</v>
      </c>
      <c r="N161" s="27">
        <v>0.11084567070435172</v>
      </c>
      <c r="O161" s="27" t="s">
        <v>45</v>
      </c>
      <c r="P161" s="27">
        <v>0.16823687752355318</v>
      </c>
      <c r="Q161" s="27">
        <v>2.249887842081651E-2</v>
      </c>
      <c r="R161" s="27">
        <v>58.075370121130554</v>
      </c>
      <c r="S161" s="27" t="s">
        <v>45</v>
      </c>
      <c r="T161" s="30">
        <v>8.4118438761776582E-5</v>
      </c>
      <c r="U161" s="27">
        <v>1.7160161507402425</v>
      </c>
      <c r="V161" s="27">
        <v>0.61686855091969495</v>
      </c>
      <c r="W161" s="30">
        <v>2.3362494392104086E-2</v>
      </c>
      <c r="X161" s="27">
        <v>3.4656796769851952</v>
      </c>
      <c r="Y161" s="27" t="s">
        <v>45</v>
      </c>
      <c r="Z161" s="27" t="s">
        <v>45</v>
      </c>
      <c r="AA161" s="27">
        <v>432.70524899057875</v>
      </c>
      <c r="AB161" s="29">
        <v>2.21511888739345E-2</v>
      </c>
      <c r="AC161" s="27">
        <v>12.662628981606101</v>
      </c>
      <c r="AD161" s="27">
        <v>0.69537909376401974</v>
      </c>
      <c r="AE161" s="27" t="s">
        <v>45</v>
      </c>
      <c r="AF161" s="27" t="s">
        <v>45</v>
      </c>
      <c r="AG161" s="27">
        <v>2.9946164199192462</v>
      </c>
    </row>
    <row r="162" spans="1:33" x14ac:dyDescent="0.2">
      <c r="A162" s="1">
        <v>147</v>
      </c>
      <c r="B162" s="25" t="s">
        <v>195</v>
      </c>
      <c r="C162" s="26">
        <v>7.5208913649025062</v>
      </c>
      <c r="D162" s="27">
        <v>1.160631383472609</v>
      </c>
      <c r="E162" s="27">
        <v>0.23212627669452182</v>
      </c>
      <c r="F162" s="27" t="s">
        <v>45</v>
      </c>
      <c r="G162" s="27" t="s">
        <v>45</v>
      </c>
      <c r="H162" s="26">
        <v>0.10234447539461466</v>
      </c>
      <c r="I162" s="26">
        <v>0.75441039925719588</v>
      </c>
      <c r="J162" s="27">
        <v>0.46425255338904364</v>
      </c>
      <c r="K162" s="27">
        <v>0.38300835654596099</v>
      </c>
      <c r="L162" s="27">
        <v>1.8918291550603525</v>
      </c>
      <c r="M162" s="27">
        <v>12.40714948932219</v>
      </c>
      <c r="N162" s="27">
        <v>0.11361420612813371</v>
      </c>
      <c r="O162" s="27" t="s">
        <v>45</v>
      </c>
      <c r="P162" s="27">
        <v>0.60352831940575669</v>
      </c>
      <c r="Q162" s="27">
        <v>4.1782729805013928E-2</v>
      </c>
      <c r="R162" s="27">
        <v>67.281801299907144</v>
      </c>
      <c r="S162" s="27">
        <v>1.9150417827298052</v>
      </c>
      <c r="T162" s="30">
        <v>5.4549675023212623E-4</v>
      </c>
      <c r="U162" s="27">
        <v>1.160631383472609</v>
      </c>
      <c r="V162" s="27">
        <v>0.89368616527390898</v>
      </c>
      <c r="W162" s="30">
        <v>4.2571959145775301E-3</v>
      </c>
      <c r="X162" s="27">
        <v>5.3272980501392766</v>
      </c>
      <c r="Y162" s="27">
        <v>1.9498607242339832</v>
      </c>
      <c r="Z162" s="27">
        <v>0.23212627669452182</v>
      </c>
      <c r="AA162" s="27">
        <v>20.90297121634169</v>
      </c>
      <c r="AB162" s="29">
        <v>1.3602599814298977E-2</v>
      </c>
      <c r="AC162" s="27">
        <v>9.0297121634168978</v>
      </c>
      <c r="AD162" s="27">
        <v>1.9730733519034356</v>
      </c>
      <c r="AE162" s="27" t="s">
        <v>45</v>
      </c>
      <c r="AF162" s="27">
        <v>0.19730733519034352</v>
      </c>
      <c r="AG162" s="27">
        <v>6.3138347260909926</v>
      </c>
    </row>
    <row r="163" spans="1:33" x14ac:dyDescent="0.2">
      <c r="A163" s="1">
        <v>148</v>
      </c>
      <c r="B163" s="25" t="s">
        <v>196</v>
      </c>
      <c r="C163" s="26">
        <v>46.917344173441727</v>
      </c>
      <c r="D163" s="27">
        <v>0.31616982836495028</v>
      </c>
      <c r="E163" s="27">
        <v>3.3875338753387531E-2</v>
      </c>
      <c r="F163" s="27" t="s">
        <v>45</v>
      </c>
      <c r="G163" s="27" t="s">
        <v>45</v>
      </c>
      <c r="H163" s="26">
        <v>7.4525745257452577E-2</v>
      </c>
      <c r="I163" s="26">
        <v>0.25971093044263771</v>
      </c>
      <c r="J163" s="27">
        <v>7.904245709123757E-2</v>
      </c>
      <c r="K163" s="27">
        <v>0.31616982836495028</v>
      </c>
      <c r="L163" s="27">
        <v>1.8744354110207766</v>
      </c>
      <c r="M163" s="27">
        <v>21.860885275519419</v>
      </c>
      <c r="N163" s="27">
        <v>2.2256097560975612E-2</v>
      </c>
      <c r="O163" s="27" t="s">
        <v>45</v>
      </c>
      <c r="P163" s="27">
        <v>0.25971093044263771</v>
      </c>
      <c r="Q163" s="27">
        <v>1.034327009936766E-2</v>
      </c>
      <c r="R163" s="27">
        <v>38.064588979223124</v>
      </c>
      <c r="S163" s="27" t="s">
        <v>45</v>
      </c>
      <c r="T163" s="30">
        <v>7.7235772357723577E-4</v>
      </c>
      <c r="U163" s="27">
        <v>0.21454381210478771</v>
      </c>
      <c r="V163" s="27">
        <v>0.97109304426377585</v>
      </c>
      <c r="W163" s="30">
        <v>4.2321589882565493E-3</v>
      </c>
      <c r="X163" s="27">
        <v>0.84688346883468835</v>
      </c>
      <c r="Y163" s="27" t="s">
        <v>45</v>
      </c>
      <c r="Z163" s="27" t="s">
        <v>45</v>
      </c>
      <c r="AA163" s="27">
        <v>30.995934959349594</v>
      </c>
      <c r="AB163" s="29">
        <v>1.1935411020776873E-2</v>
      </c>
      <c r="AC163" s="27">
        <v>4.1440831074977416</v>
      </c>
      <c r="AD163" s="27">
        <v>2.6648599819331524</v>
      </c>
      <c r="AE163" s="27" t="s">
        <v>45</v>
      </c>
      <c r="AF163" s="27">
        <v>3.3875338753387531E-2</v>
      </c>
      <c r="AG163" s="27">
        <v>6.0411020776874427</v>
      </c>
    </row>
    <row r="164" spans="1:33" x14ac:dyDescent="0.2">
      <c r="A164" s="1">
        <v>149</v>
      </c>
      <c r="B164" s="25" t="s">
        <v>197</v>
      </c>
      <c r="C164" s="26">
        <v>13.108231014097315</v>
      </c>
      <c r="D164" s="27" t="s">
        <v>45</v>
      </c>
      <c r="E164" s="27" t="s">
        <v>45</v>
      </c>
      <c r="F164" s="27">
        <v>1.4097316962255571</v>
      </c>
      <c r="G164" s="27" t="s">
        <v>45</v>
      </c>
      <c r="H164" s="26">
        <v>0.45122783083219642</v>
      </c>
      <c r="I164" s="26" t="s">
        <v>45</v>
      </c>
      <c r="J164" s="27" t="s">
        <v>45</v>
      </c>
      <c r="K164" s="27" t="s">
        <v>45</v>
      </c>
      <c r="L164" s="27">
        <v>2.2623919963619827</v>
      </c>
      <c r="M164" s="27">
        <v>14.893133242382902</v>
      </c>
      <c r="N164" s="27">
        <v>2.8490222828558433E-2</v>
      </c>
      <c r="O164" s="27" t="s">
        <v>45</v>
      </c>
      <c r="P164" s="27" t="s">
        <v>45</v>
      </c>
      <c r="Q164" s="27">
        <v>2.5204638472032744E-2</v>
      </c>
      <c r="R164" s="27">
        <v>161.09595270577537</v>
      </c>
      <c r="S164" s="27">
        <v>0.38653933606184626</v>
      </c>
      <c r="T164" s="30">
        <v>3.4106412005457021E-4</v>
      </c>
      <c r="U164" s="27">
        <v>0.25011368804001816</v>
      </c>
      <c r="V164" s="27">
        <v>1.1141427921782627</v>
      </c>
      <c r="W164" s="30">
        <v>1.0974306502955888E-2</v>
      </c>
      <c r="X164" s="27">
        <v>0.38653933606184626</v>
      </c>
      <c r="Y164" s="27">
        <v>1.421100500227376</v>
      </c>
      <c r="Z164" s="27" t="s">
        <v>45</v>
      </c>
      <c r="AA164" s="27">
        <v>520.69122328331059</v>
      </c>
      <c r="AB164" s="29">
        <v>2.1202819463392451E-2</v>
      </c>
      <c r="AC164" s="27">
        <v>21.077762619372439</v>
      </c>
      <c r="AD164" s="27">
        <v>0.98908594815825357</v>
      </c>
      <c r="AE164" s="27">
        <v>4.1950886766712143</v>
      </c>
      <c r="AF164" s="27" t="s">
        <v>45</v>
      </c>
      <c r="AG164" s="27">
        <v>12.426102773988175</v>
      </c>
    </row>
    <row r="165" spans="1:33" x14ac:dyDescent="0.2">
      <c r="A165" s="1">
        <v>150</v>
      </c>
      <c r="B165" s="25" t="s">
        <v>198</v>
      </c>
      <c r="C165" s="26">
        <v>4.9572649572649565</v>
      </c>
      <c r="D165" s="27" t="s">
        <v>45</v>
      </c>
      <c r="E165" s="27" t="s">
        <v>45</v>
      </c>
      <c r="F165" s="27" t="s">
        <v>45</v>
      </c>
      <c r="G165" s="27" t="s">
        <v>45</v>
      </c>
      <c r="H165" s="26">
        <v>5.5427350427350419E-2</v>
      </c>
      <c r="I165" s="26" t="s">
        <v>45</v>
      </c>
      <c r="J165" s="27" t="s">
        <v>45</v>
      </c>
      <c r="K165" s="27">
        <v>9.6153846153846145E-2</v>
      </c>
      <c r="L165" s="27">
        <v>0.49145299145299137</v>
      </c>
      <c r="M165" s="27">
        <v>5.7585470085470085</v>
      </c>
      <c r="N165" s="27">
        <v>8.3376068376068369E-2</v>
      </c>
      <c r="O165" s="27" t="s">
        <v>45</v>
      </c>
      <c r="P165" s="27" t="s">
        <v>45</v>
      </c>
      <c r="Q165" s="27">
        <v>1.5576923076923075E-2</v>
      </c>
      <c r="R165" s="27">
        <v>27.179487179487179</v>
      </c>
      <c r="S165" s="27">
        <v>1.0683760683760684E-2</v>
      </c>
      <c r="T165" s="30">
        <v>1.1570512820512819E-3</v>
      </c>
      <c r="U165" s="27">
        <v>1.0897435897435896</v>
      </c>
      <c r="V165" s="27">
        <v>0.49145299145299137</v>
      </c>
      <c r="W165" s="30">
        <v>9.2841880341880346E-4</v>
      </c>
      <c r="X165" s="27">
        <v>1.1111111111111112</v>
      </c>
      <c r="Y165" s="27">
        <v>0.53418803418803418</v>
      </c>
      <c r="Z165" s="27" t="s">
        <v>45</v>
      </c>
      <c r="AA165" s="27">
        <v>14.98931623931624</v>
      </c>
      <c r="AB165" s="29">
        <v>5.1132478632478634E-3</v>
      </c>
      <c r="AC165" s="27">
        <v>2.6923076923076921</v>
      </c>
      <c r="AD165" s="27">
        <v>0.1388888888888889</v>
      </c>
      <c r="AE165" s="27">
        <v>1.6987179487179487</v>
      </c>
      <c r="AF165" s="27" t="s">
        <v>45</v>
      </c>
      <c r="AG165" s="27">
        <v>2.4145299145299139</v>
      </c>
    </row>
    <row r="166" spans="1:33" x14ac:dyDescent="0.2">
      <c r="A166" s="1">
        <v>151</v>
      </c>
      <c r="B166" s="25" t="s">
        <v>199</v>
      </c>
      <c r="C166" s="26">
        <v>119.99511718749999</v>
      </c>
      <c r="D166" s="27">
        <v>0.244140625</v>
      </c>
      <c r="E166" s="27" t="s">
        <v>45</v>
      </c>
      <c r="F166" s="27" t="s">
        <v>45</v>
      </c>
      <c r="G166" s="27" t="s">
        <v>45</v>
      </c>
      <c r="H166" s="26">
        <v>0.16101074218749997</v>
      </c>
      <c r="I166" s="26">
        <v>0.67138671874999989</v>
      </c>
      <c r="J166" s="27" t="s">
        <v>45</v>
      </c>
      <c r="K166" s="27">
        <v>1.220703125E-2</v>
      </c>
      <c r="L166" s="27">
        <v>3.2958984375</v>
      </c>
      <c r="M166" s="27">
        <v>29.431152343749996</v>
      </c>
      <c r="N166" s="27">
        <v>4.0014648437500001E-2</v>
      </c>
      <c r="O166" s="27" t="s">
        <v>45</v>
      </c>
      <c r="P166" s="27">
        <v>0.34179687499999994</v>
      </c>
      <c r="Q166" s="27">
        <v>3.4411621093749997E-2</v>
      </c>
      <c r="R166" s="27">
        <v>63.159179687499993</v>
      </c>
      <c r="S166" s="27" t="s">
        <v>45</v>
      </c>
      <c r="T166" s="30">
        <v>2.7587890624999997E-4</v>
      </c>
      <c r="U166" s="27">
        <v>0.37841796875</v>
      </c>
      <c r="V166" s="27">
        <v>0.45166015625</v>
      </c>
      <c r="W166" s="30">
        <v>2.9138183593749997E-3</v>
      </c>
      <c r="X166" s="27">
        <v>1.0986328124999998</v>
      </c>
      <c r="Y166" s="27" t="s">
        <v>45</v>
      </c>
      <c r="Z166" s="27" t="s">
        <v>45</v>
      </c>
      <c r="AA166" s="27">
        <v>17.663574218749996</v>
      </c>
      <c r="AB166" s="29">
        <v>1.1618652343749999E-2</v>
      </c>
      <c r="AC166" s="27">
        <v>10.7177734375</v>
      </c>
      <c r="AD166" s="27">
        <v>1.025390625</v>
      </c>
      <c r="AE166" s="27" t="s">
        <v>45</v>
      </c>
      <c r="AF166" s="27" t="s">
        <v>45</v>
      </c>
      <c r="AG166" s="27">
        <v>12.48779296875</v>
      </c>
    </row>
    <row r="167" spans="1:33" x14ac:dyDescent="0.2">
      <c r="A167" s="1">
        <v>152</v>
      </c>
      <c r="B167" s="25" t="s">
        <v>200</v>
      </c>
      <c r="C167" s="26">
        <v>5.7701202590194267</v>
      </c>
      <c r="D167" s="27">
        <v>5.7816836262719704E-2</v>
      </c>
      <c r="E167" s="27" t="s">
        <v>45</v>
      </c>
      <c r="F167" s="27" t="s">
        <v>45</v>
      </c>
      <c r="G167" s="27" t="s">
        <v>45</v>
      </c>
      <c r="H167" s="26">
        <v>0.10080943570767809</v>
      </c>
      <c r="I167" s="26">
        <v>4.6253469010175761E-2</v>
      </c>
      <c r="J167" s="27" t="s">
        <v>45</v>
      </c>
      <c r="K167" s="27">
        <v>2.3126734505087881E-2</v>
      </c>
      <c r="L167" s="27">
        <v>0.87881591119333946</v>
      </c>
      <c r="M167" s="27">
        <v>6.2789084181313592</v>
      </c>
      <c r="N167" s="27">
        <v>0.10938945420906569</v>
      </c>
      <c r="O167" s="27" t="s">
        <v>45</v>
      </c>
      <c r="P167" s="27">
        <v>0.39315448658649393</v>
      </c>
      <c r="Q167" s="27">
        <v>2.1669750231267347E-2</v>
      </c>
      <c r="R167" s="27">
        <v>56.533302497687323</v>
      </c>
      <c r="S167" s="27" t="s">
        <v>45</v>
      </c>
      <c r="T167" s="30" t="s">
        <v>45</v>
      </c>
      <c r="U167" s="27">
        <v>0.75161887141535622</v>
      </c>
      <c r="V167" s="27">
        <v>0.30064754856614245</v>
      </c>
      <c r="W167" s="30">
        <v>2.6746068455134136E-3</v>
      </c>
      <c r="X167" s="27">
        <v>3.5268270120259015</v>
      </c>
      <c r="Y167" s="27" t="s">
        <v>45</v>
      </c>
      <c r="Z167" s="27" t="s">
        <v>45</v>
      </c>
      <c r="AA167" s="27">
        <v>10.037002775208141</v>
      </c>
      <c r="AB167" s="29">
        <v>7.1149398704902864E-3</v>
      </c>
      <c r="AC167" s="27">
        <v>8.6493987049028682</v>
      </c>
      <c r="AD167" s="27">
        <v>1.6073080481036077</v>
      </c>
      <c r="AE167" s="27" t="s">
        <v>45</v>
      </c>
      <c r="AF167" s="27" t="s">
        <v>45</v>
      </c>
      <c r="AG167" s="27">
        <v>1.3066604995374651</v>
      </c>
    </row>
    <row r="168" spans="1:33" x14ac:dyDescent="0.2">
      <c r="A168" s="1">
        <v>153</v>
      </c>
      <c r="B168" s="25" t="s">
        <v>201</v>
      </c>
      <c r="C168" s="26">
        <v>76.85546875</v>
      </c>
      <c r="D168" s="27">
        <v>8.5449218749999986E-2</v>
      </c>
      <c r="E168" s="27" t="s">
        <v>45</v>
      </c>
      <c r="F168" s="27" t="s">
        <v>45</v>
      </c>
      <c r="G168" s="27" t="s">
        <v>45</v>
      </c>
      <c r="H168" s="26">
        <v>0.18530273437499997</v>
      </c>
      <c r="I168" s="26">
        <v>0.52490234375</v>
      </c>
      <c r="J168" s="27">
        <v>2.44140625E-2</v>
      </c>
      <c r="K168" s="27">
        <v>0.17089843749999997</v>
      </c>
      <c r="L168" s="27">
        <v>5.17578125</v>
      </c>
      <c r="M168" s="27">
        <v>10.498046874999998</v>
      </c>
      <c r="N168" s="27">
        <v>0.235595703125</v>
      </c>
      <c r="O168" s="27" t="s">
        <v>45</v>
      </c>
      <c r="P168" s="27">
        <v>0.390625</v>
      </c>
      <c r="Q168" s="27">
        <v>2.8149414062499999E-2</v>
      </c>
      <c r="R168" s="27">
        <v>158.5693359375</v>
      </c>
      <c r="S168" s="27" t="s">
        <v>45</v>
      </c>
      <c r="T168" s="30">
        <v>1.6857910156250001E-3</v>
      </c>
      <c r="U168" s="27">
        <v>0.244140625</v>
      </c>
      <c r="V168" s="27">
        <v>0.3173828125</v>
      </c>
      <c r="W168" s="30">
        <v>8.5327148437500003E-4</v>
      </c>
      <c r="X168" s="27">
        <v>5.48095703125</v>
      </c>
      <c r="Y168" s="27" t="s">
        <v>45</v>
      </c>
      <c r="Z168" s="27" t="s">
        <v>45</v>
      </c>
      <c r="AA168" s="27">
        <v>12.92724609375</v>
      </c>
      <c r="AB168" s="29">
        <v>1.3317871093749999E-2</v>
      </c>
      <c r="AC168" s="27">
        <v>9.1064453125</v>
      </c>
      <c r="AD168" s="27">
        <v>0.5126953125</v>
      </c>
      <c r="AE168" s="27" t="s">
        <v>45</v>
      </c>
      <c r="AF168" s="27" t="s">
        <v>45</v>
      </c>
      <c r="AG168" s="27">
        <v>13.354492187499998</v>
      </c>
    </row>
    <row r="169" spans="1:33" x14ac:dyDescent="0.2">
      <c r="A169" s="1">
        <v>154</v>
      </c>
      <c r="B169" s="25" t="s">
        <v>202</v>
      </c>
      <c r="C169" s="26">
        <v>5.0813902331720193</v>
      </c>
      <c r="D169" s="27">
        <v>0.21997360316761991</v>
      </c>
      <c r="E169" s="27" t="s">
        <v>45</v>
      </c>
      <c r="F169" s="27" t="s">
        <v>45</v>
      </c>
      <c r="G169" s="27" t="s">
        <v>45</v>
      </c>
      <c r="H169" s="26">
        <v>4.4632644082710074E-2</v>
      </c>
      <c r="I169" s="26">
        <v>9.898812142542894E-2</v>
      </c>
      <c r="J169" s="27">
        <v>5.4993400791904977E-2</v>
      </c>
      <c r="K169" s="27">
        <v>0.36295644522657283</v>
      </c>
      <c r="L169" s="27">
        <v>0.68191816981962161</v>
      </c>
      <c r="M169" s="27">
        <v>12.296524417069952</v>
      </c>
      <c r="N169" s="27">
        <v>1.0467443906731193</v>
      </c>
      <c r="O169" s="27" t="s">
        <v>45</v>
      </c>
      <c r="P169" s="27">
        <v>0.23097228332600087</v>
      </c>
      <c r="Q169" s="27">
        <v>3.5327760668719753E-2</v>
      </c>
      <c r="R169" s="27">
        <v>15.772107347118345</v>
      </c>
      <c r="S169" s="27" t="s">
        <v>45</v>
      </c>
      <c r="T169" s="30" t="s">
        <v>45</v>
      </c>
      <c r="U169" s="27">
        <v>0.68191816981962161</v>
      </c>
      <c r="V169" s="27">
        <v>6.599208095028597E-2</v>
      </c>
      <c r="W169" s="30">
        <v>1.3990321161460625E-3</v>
      </c>
      <c r="X169" s="27">
        <v>18.114826220853502</v>
      </c>
      <c r="Y169" s="27" t="s">
        <v>45</v>
      </c>
      <c r="Z169" s="27" t="s">
        <v>45</v>
      </c>
      <c r="AA169" s="27">
        <v>13.319401671799383</v>
      </c>
      <c r="AB169" s="29">
        <v>5.3618565772107349E-3</v>
      </c>
      <c r="AC169" s="27">
        <v>3.5415750109986797</v>
      </c>
      <c r="AD169" s="27">
        <v>0.62692476902771677</v>
      </c>
      <c r="AE169" s="27" t="s">
        <v>45</v>
      </c>
      <c r="AF169" s="27" t="s">
        <v>45</v>
      </c>
      <c r="AG169" s="27">
        <v>3.057633084029916</v>
      </c>
    </row>
    <row r="170" spans="1:33" x14ac:dyDescent="0.2">
      <c r="A170" s="1">
        <v>155</v>
      </c>
      <c r="B170" s="25" t="s">
        <v>203</v>
      </c>
      <c r="C170" s="26">
        <v>22.285583941605839</v>
      </c>
      <c r="D170" s="27">
        <v>0.2166970802919708</v>
      </c>
      <c r="E170" s="27" t="s">
        <v>45</v>
      </c>
      <c r="F170" s="27" t="s">
        <v>45</v>
      </c>
      <c r="G170" s="27" t="s">
        <v>45</v>
      </c>
      <c r="H170" s="26">
        <v>0.151117700729927</v>
      </c>
      <c r="I170" s="26">
        <v>0.17107664233576642</v>
      </c>
      <c r="J170" s="27" t="s">
        <v>45</v>
      </c>
      <c r="K170" s="27">
        <v>0.23950729927007297</v>
      </c>
      <c r="L170" s="27">
        <v>0.44479927007299264</v>
      </c>
      <c r="M170" s="27">
        <v>4.9156021897810209</v>
      </c>
      <c r="N170" s="27">
        <v>8.2208029197080298E-2</v>
      </c>
      <c r="O170" s="27" t="s">
        <v>45</v>
      </c>
      <c r="P170" s="27">
        <v>0.17107664233576642</v>
      </c>
      <c r="Q170" s="27">
        <v>2.4406934306569344E-2</v>
      </c>
      <c r="R170" s="27">
        <v>39.051094890510939</v>
      </c>
      <c r="S170" s="27" t="s">
        <v>45</v>
      </c>
      <c r="T170" s="30">
        <v>4.6418795620437958E-4</v>
      </c>
      <c r="U170" s="27">
        <v>0.2281021897810219</v>
      </c>
      <c r="V170" s="27">
        <v>0.44479927007299264</v>
      </c>
      <c r="W170" s="30">
        <v>6.6833941605839422E-4</v>
      </c>
      <c r="X170" s="27">
        <v>2.1213503649635035</v>
      </c>
      <c r="Y170" s="27" t="s">
        <v>45</v>
      </c>
      <c r="Z170" s="27" t="s">
        <v>45</v>
      </c>
      <c r="AA170" s="27">
        <v>13.845802919708028</v>
      </c>
      <c r="AB170" s="29">
        <v>9.2495437956204383E-3</v>
      </c>
      <c r="AC170" s="27">
        <v>11.302463503649635</v>
      </c>
      <c r="AD170" s="27">
        <v>0.43339416058394159</v>
      </c>
      <c r="AE170" s="27" t="s">
        <v>45</v>
      </c>
      <c r="AF170" s="27" t="s">
        <v>45</v>
      </c>
      <c r="AG170" s="27">
        <v>4.6989051094890515</v>
      </c>
    </row>
    <row r="171" spans="1:33" x14ac:dyDescent="0.2">
      <c r="A171" s="1">
        <v>156</v>
      </c>
      <c r="B171" s="25" t="s">
        <v>204</v>
      </c>
      <c r="C171" s="26">
        <v>1.7069205759405481</v>
      </c>
      <c r="D171" s="27">
        <v>0.16256386437529027</v>
      </c>
      <c r="E171" s="27" t="s">
        <v>45</v>
      </c>
      <c r="F171" s="27" t="s">
        <v>45</v>
      </c>
      <c r="G171" s="27" t="s">
        <v>45</v>
      </c>
      <c r="H171" s="26">
        <v>0.12575476079888528</v>
      </c>
      <c r="I171" s="26">
        <v>0.11611704598235022</v>
      </c>
      <c r="J171" s="27">
        <v>4.6446818392940084E-2</v>
      </c>
      <c r="K171" s="27">
        <v>1.1611704598235021E-2</v>
      </c>
      <c r="L171" s="27">
        <v>0.98699489084997694</v>
      </c>
      <c r="M171" s="27">
        <v>7.76823037621923</v>
      </c>
      <c r="N171" s="27">
        <v>6.3190896423594989E-2</v>
      </c>
      <c r="O171" s="27" t="s">
        <v>45</v>
      </c>
      <c r="P171" s="27">
        <v>0.23223409196470043</v>
      </c>
      <c r="Q171" s="27">
        <v>1.5350673478866698E-2</v>
      </c>
      <c r="R171" s="27">
        <v>51.28889921040409</v>
      </c>
      <c r="S171" s="27" t="s">
        <v>45</v>
      </c>
      <c r="T171" s="30" t="s">
        <v>45</v>
      </c>
      <c r="U171" s="27">
        <v>0.96377148165350668</v>
      </c>
      <c r="V171" s="27">
        <v>0.12772875058058525</v>
      </c>
      <c r="W171" s="30">
        <v>3.8423130515559691E-3</v>
      </c>
      <c r="X171" s="27">
        <v>2.6358569437993498</v>
      </c>
      <c r="Y171" s="27" t="s">
        <v>45</v>
      </c>
      <c r="Z171" s="27" t="s">
        <v>45</v>
      </c>
      <c r="AA171" s="27">
        <v>18.102647468648399</v>
      </c>
      <c r="AB171" s="29">
        <v>9.4310264746864849E-3</v>
      </c>
      <c r="AC171" s="27">
        <v>7.7217835578262894</v>
      </c>
      <c r="AD171" s="27">
        <v>0.40640966093822578</v>
      </c>
      <c r="AE171" s="27" t="s">
        <v>45</v>
      </c>
      <c r="AF171" s="27" t="s">
        <v>45</v>
      </c>
      <c r="AG171" s="27">
        <v>5.0743149094287041</v>
      </c>
    </row>
    <row r="172" spans="1:33" x14ac:dyDescent="0.2">
      <c r="A172" s="1">
        <v>157</v>
      </c>
      <c r="B172" s="25" t="s">
        <v>205</v>
      </c>
      <c r="C172" s="26">
        <v>5.4347826086956523</v>
      </c>
      <c r="D172" s="27" t="s">
        <v>45</v>
      </c>
      <c r="E172" s="27" t="s">
        <v>45</v>
      </c>
      <c r="F172" s="27" t="s">
        <v>45</v>
      </c>
      <c r="G172" s="27" t="s">
        <v>45</v>
      </c>
      <c r="H172" s="26">
        <v>9.420289855072464E-2</v>
      </c>
      <c r="I172" s="26" t="s">
        <v>45</v>
      </c>
      <c r="J172" s="27" t="s">
        <v>45</v>
      </c>
      <c r="K172" s="27" t="s">
        <v>45</v>
      </c>
      <c r="L172" s="27">
        <v>0.89186176142697882</v>
      </c>
      <c r="M172" s="27">
        <v>6.9026384243775549</v>
      </c>
      <c r="N172" s="27">
        <v>0.11956521739130432</v>
      </c>
      <c r="O172" s="27" t="s">
        <v>45</v>
      </c>
      <c r="P172" s="27" t="s">
        <v>45</v>
      </c>
      <c r="Q172" s="27">
        <v>2.1283909327387586E-2</v>
      </c>
      <c r="R172" s="27">
        <v>61.807878112225936</v>
      </c>
      <c r="S172" s="27" t="s">
        <v>45</v>
      </c>
      <c r="T172" s="30">
        <v>1.0943887030843552E-3</v>
      </c>
      <c r="U172" s="27">
        <v>1.2356001486436268</v>
      </c>
      <c r="V172" s="27">
        <v>0.23225566703827574</v>
      </c>
      <c r="W172" s="30">
        <v>4.3301746562616128E-3</v>
      </c>
      <c r="X172" s="27">
        <v>3.1679672984020808</v>
      </c>
      <c r="Y172" s="27">
        <v>0.34373838721664807</v>
      </c>
      <c r="Z172" s="27" t="s">
        <v>45</v>
      </c>
      <c r="AA172" s="27">
        <v>30.146785581568192</v>
      </c>
      <c r="AB172" s="29">
        <v>8.5451505016722398E-3</v>
      </c>
      <c r="AC172" s="27">
        <v>7.144184318097361</v>
      </c>
      <c r="AD172" s="27">
        <v>0.49238201412114457</v>
      </c>
      <c r="AE172" s="27">
        <v>3.874024526198439</v>
      </c>
      <c r="AF172" s="27" t="s">
        <v>45</v>
      </c>
      <c r="AG172" s="27">
        <v>4.1991824600520244</v>
      </c>
    </row>
    <row r="173" spans="1:33" x14ac:dyDescent="0.2">
      <c r="A173" s="1">
        <v>158</v>
      </c>
      <c r="B173" s="25" t="s">
        <v>206</v>
      </c>
      <c r="C173" s="26">
        <v>3.6669970267591672</v>
      </c>
      <c r="D173" s="27">
        <v>8.6719524281466787E-2</v>
      </c>
      <c r="E173" s="27" t="s">
        <v>45</v>
      </c>
      <c r="F173" s="27" t="s">
        <v>45</v>
      </c>
      <c r="G173" s="27" t="s">
        <v>45</v>
      </c>
      <c r="H173" s="26">
        <v>0.10173439048562934</v>
      </c>
      <c r="I173" s="26">
        <v>2.4777006937561942E-2</v>
      </c>
      <c r="J173" s="27" t="s">
        <v>45</v>
      </c>
      <c r="K173" s="27">
        <v>0.28493557978196232</v>
      </c>
      <c r="L173" s="27">
        <v>1.214073339940535</v>
      </c>
      <c r="M173" s="27">
        <v>8.6223984142715544</v>
      </c>
      <c r="N173" s="27">
        <v>0.112103567888999</v>
      </c>
      <c r="O173" s="27" t="s">
        <v>45</v>
      </c>
      <c r="P173" s="27">
        <v>0.38404360753221012</v>
      </c>
      <c r="Q173" s="27">
        <v>3.6397423191278498E-2</v>
      </c>
      <c r="R173" s="27">
        <v>68.483647175421197</v>
      </c>
      <c r="S173" s="27" t="s">
        <v>45</v>
      </c>
      <c r="T173" s="30" t="s">
        <v>45</v>
      </c>
      <c r="U173" s="27">
        <v>0.64420218037661048</v>
      </c>
      <c r="V173" s="27">
        <v>0.17343904856293357</v>
      </c>
      <c r="W173" s="30">
        <v>4.9442517343904853E-3</v>
      </c>
      <c r="X173" s="27">
        <v>4.1129831516352819</v>
      </c>
      <c r="Y173" s="27" t="s">
        <v>45</v>
      </c>
      <c r="Z173" s="27" t="s">
        <v>45</v>
      </c>
      <c r="AA173" s="27">
        <v>16.69970267591675</v>
      </c>
      <c r="AB173" s="29">
        <v>9.4747274529236869E-3</v>
      </c>
      <c r="AC173" s="27">
        <v>6.5039643211100095</v>
      </c>
      <c r="AD173" s="27">
        <v>1.9821605550049555</v>
      </c>
      <c r="AE173" s="27" t="s">
        <v>45</v>
      </c>
      <c r="AF173" s="27" t="s">
        <v>45</v>
      </c>
      <c r="AG173" s="27">
        <v>1.3131813676907829</v>
      </c>
    </row>
    <row r="174" spans="1:33" x14ac:dyDescent="0.2">
      <c r="A174" s="1">
        <v>159</v>
      </c>
      <c r="B174" s="25" t="s">
        <v>207</v>
      </c>
      <c r="C174" s="26">
        <v>13.102480112306974</v>
      </c>
      <c r="D174" s="27">
        <v>4.6794571829667758E-2</v>
      </c>
      <c r="E174" s="27" t="s">
        <v>45</v>
      </c>
      <c r="F174" s="27" t="s">
        <v>45</v>
      </c>
      <c r="G174" s="27" t="s">
        <v>45</v>
      </c>
      <c r="H174" s="26">
        <v>7.259007955077211E-2</v>
      </c>
      <c r="I174" s="26">
        <v>0.12868507253158634</v>
      </c>
      <c r="J174" s="27">
        <v>5.8493214787084698E-2</v>
      </c>
      <c r="K174" s="27">
        <v>0.18717828731867103</v>
      </c>
      <c r="L174" s="27">
        <v>1.2283575105287787</v>
      </c>
      <c r="M174" s="27">
        <v>9.5811885821244722</v>
      </c>
      <c r="N174" s="27">
        <v>0.10744033692091716</v>
      </c>
      <c r="O174" s="27" t="s">
        <v>45</v>
      </c>
      <c r="P174" s="27">
        <v>0.12868507253158634</v>
      </c>
      <c r="Q174" s="27">
        <v>1.1885821244735612E-2</v>
      </c>
      <c r="R174" s="27">
        <v>22.087037903603182</v>
      </c>
      <c r="S174" s="27" t="s">
        <v>45</v>
      </c>
      <c r="T174" s="30" t="s">
        <v>45</v>
      </c>
      <c r="U174" s="27">
        <v>0.26906878802058959</v>
      </c>
      <c r="V174" s="27">
        <v>0.25737014506317268</v>
      </c>
      <c r="W174" s="30">
        <v>1.2271876462330369E-3</v>
      </c>
      <c r="X174" s="27">
        <v>2.4333177351427233</v>
      </c>
      <c r="Y174" s="27" t="s">
        <v>45</v>
      </c>
      <c r="Z174" s="27" t="s">
        <v>45</v>
      </c>
      <c r="AA174" s="27">
        <v>14.880673841834348</v>
      </c>
      <c r="AB174" s="29">
        <v>5.1930276087973799E-3</v>
      </c>
      <c r="AC174" s="27">
        <v>4.3635938231165188</v>
      </c>
      <c r="AD174" s="27">
        <v>3.0065512400561536</v>
      </c>
      <c r="AE174" s="27" t="s">
        <v>45</v>
      </c>
      <c r="AF174" s="27" t="s">
        <v>45</v>
      </c>
      <c r="AG174" s="27">
        <v>4.1413196069255971</v>
      </c>
    </row>
    <row r="175" spans="1:33" x14ac:dyDescent="0.2">
      <c r="A175" s="1">
        <v>160</v>
      </c>
      <c r="B175" s="25" t="s">
        <v>208</v>
      </c>
      <c r="C175" s="26">
        <v>32.9775066717499</v>
      </c>
      <c r="D175" s="27" t="s">
        <v>45</v>
      </c>
      <c r="E175" s="27" t="s">
        <v>45</v>
      </c>
      <c r="F175" s="27" t="s">
        <v>45</v>
      </c>
      <c r="G175" s="27" t="s">
        <v>45</v>
      </c>
      <c r="H175" s="26">
        <v>0.10989325200152499</v>
      </c>
      <c r="I175" s="26">
        <v>0.2382767823103317</v>
      </c>
      <c r="J175" s="27" t="s">
        <v>45</v>
      </c>
      <c r="K175" s="27">
        <v>9.5310712924132693E-2</v>
      </c>
      <c r="L175" s="27">
        <v>2.7640106747998479</v>
      </c>
      <c r="M175" s="27">
        <v>9.5215402211208549</v>
      </c>
      <c r="N175" s="27">
        <v>8.0461303850552821E-2</v>
      </c>
      <c r="O175" s="27" t="s">
        <v>45</v>
      </c>
      <c r="P175" s="27">
        <v>0.15249714067861228</v>
      </c>
      <c r="Q175" s="27">
        <v>1.3210064811284788E-2</v>
      </c>
      <c r="R175" s="27">
        <v>55.099123141441098</v>
      </c>
      <c r="S175" s="27" t="s">
        <v>45</v>
      </c>
      <c r="T175" s="30" t="s">
        <v>45</v>
      </c>
      <c r="U175" s="27">
        <v>0.31452535264963788</v>
      </c>
      <c r="V175" s="27">
        <v>6.6717499046892864E-2</v>
      </c>
      <c r="W175" s="30">
        <v>1.3524590163934428E-2</v>
      </c>
      <c r="X175" s="27">
        <v>1.4773160503240566</v>
      </c>
      <c r="Y175" s="27" t="s">
        <v>45</v>
      </c>
      <c r="Z175" s="27" t="s">
        <v>45</v>
      </c>
      <c r="AA175" s="27">
        <v>17.279832253145255</v>
      </c>
      <c r="AB175" s="29">
        <v>1.1446816622188336E-2</v>
      </c>
      <c r="AC175" s="27">
        <v>5.9283263438810527</v>
      </c>
      <c r="AD175" s="27">
        <v>0.42889820815859703</v>
      </c>
      <c r="AE175" s="27" t="s">
        <v>45</v>
      </c>
      <c r="AF175" s="27" t="s">
        <v>45</v>
      </c>
      <c r="AG175" s="27">
        <v>8.4349980937857421</v>
      </c>
    </row>
    <row r="176" spans="1:33" x14ac:dyDescent="0.2">
      <c r="A176" s="1">
        <v>161</v>
      </c>
      <c r="B176" s="25" t="s">
        <v>209</v>
      </c>
      <c r="C176" s="26">
        <v>9.6746150024838542</v>
      </c>
      <c r="D176" s="27" t="s">
        <v>45</v>
      </c>
      <c r="E176" s="27" t="s">
        <v>45</v>
      </c>
      <c r="F176" s="27" t="s">
        <v>45</v>
      </c>
      <c r="G176" s="27" t="s">
        <v>45</v>
      </c>
      <c r="H176" s="26">
        <v>6.0606060606060608E-2</v>
      </c>
      <c r="I176" s="26">
        <v>0.13661202185792348</v>
      </c>
      <c r="J176" s="27" t="s">
        <v>45</v>
      </c>
      <c r="K176" s="27">
        <v>0.17386984600099351</v>
      </c>
      <c r="L176" s="27">
        <v>1.4530551415797317</v>
      </c>
      <c r="M176" s="27">
        <v>6.5076999503229009</v>
      </c>
      <c r="N176" s="27">
        <v>0.11415797317436661</v>
      </c>
      <c r="O176" s="27" t="s">
        <v>45</v>
      </c>
      <c r="P176" s="27">
        <v>0.2608047690014903</v>
      </c>
      <c r="Q176" s="27">
        <v>1.6095380029806261E-2</v>
      </c>
      <c r="R176" s="27">
        <v>21.274217585692998</v>
      </c>
      <c r="S176" s="27" t="s">
        <v>45</v>
      </c>
      <c r="T176" s="30" t="s">
        <v>45</v>
      </c>
      <c r="U176" s="27">
        <v>0.57128663686040726</v>
      </c>
      <c r="V176" s="27">
        <v>0.12419274714356682</v>
      </c>
      <c r="W176" s="30">
        <v>2.2814207650273225E-3</v>
      </c>
      <c r="X176" s="27">
        <v>1.8504719324391454</v>
      </c>
      <c r="Y176" s="27" t="s">
        <v>45</v>
      </c>
      <c r="Z176" s="27" t="s">
        <v>45</v>
      </c>
      <c r="AA176" s="27">
        <v>12.220566318926974</v>
      </c>
      <c r="AB176" s="29">
        <v>6.038251366120218E-3</v>
      </c>
      <c r="AC176" s="27">
        <v>3.4898161947342277</v>
      </c>
      <c r="AD176" s="27">
        <v>0.6333830104321907</v>
      </c>
      <c r="AE176" s="27" t="s">
        <v>45</v>
      </c>
      <c r="AF176" s="27" t="s">
        <v>45</v>
      </c>
      <c r="AG176" s="27">
        <v>5.8494783904619965</v>
      </c>
    </row>
    <row r="177" spans="1:33" x14ac:dyDescent="0.2">
      <c r="A177" s="1">
        <v>162</v>
      </c>
      <c r="B177" s="25" t="s">
        <v>210</v>
      </c>
      <c r="C177" s="26">
        <v>4.2088718127837934</v>
      </c>
      <c r="D177" s="27">
        <v>9.6053091163115611E-2</v>
      </c>
      <c r="E177" s="27" t="s">
        <v>45</v>
      </c>
      <c r="F177" s="27" t="s">
        <v>45</v>
      </c>
      <c r="G177" s="27" t="s">
        <v>45</v>
      </c>
      <c r="H177" s="26">
        <v>4.5476772616136918E-2</v>
      </c>
      <c r="I177" s="26">
        <v>0.13971358714634999</v>
      </c>
      <c r="J177" s="27">
        <v>8.7320991966468742E-3</v>
      </c>
      <c r="K177" s="27">
        <v>0.10478519035976248</v>
      </c>
      <c r="L177" s="27">
        <v>1.0653161019909185</v>
      </c>
      <c r="M177" s="27">
        <v>3.9993014320642684</v>
      </c>
      <c r="N177" s="27">
        <v>6.2766329025497725E-2</v>
      </c>
      <c r="O177" s="27" t="s">
        <v>45</v>
      </c>
      <c r="P177" s="27">
        <v>0.18337408312958434</v>
      </c>
      <c r="Q177" s="27">
        <v>1.0033181976947258E-2</v>
      </c>
      <c r="R177" s="27">
        <v>36.342996856444294</v>
      </c>
      <c r="S177" s="27" t="s">
        <v>45</v>
      </c>
      <c r="T177" s="30" t="s">
        <v>45</v>
      </c>
      <c r="U177" s="27">
        <v>0.22703457911281874</v>
      </c>
      <c r="V177" s="27">
        <v>0.42787286063569679</v>
      </c>
      <c r="W177" s="30">
        <v>1.2312259867272091E-3</v>
      </c>
      <c r="X177" s="27">
        <v>1.0653161019909185</v>
      </c>
      <c r="Y177" s="27" t="s">
        <v>45</v>
      </c>
      <c r="Z177" s="27" t="s">
        <v>45</v>
      </c>
      <c r="AA177" s="27">
        <v>6.6189311910583317</v>
      </c>
      <c r="AB177" s="29">
        <v>4.5660146699266508E-3</v>
      </c>
      <c r="AC177" s="27">
        <v>2.8466643381068808</v>
      </c>
      <c r="AD177" s="27">
        <v>0.51519385260216555</v>
      </c>
      <c r="AE177" s="27" t="s">
        <v>45</v>
      </c>
      <c r="AF177" s="27" t="s">
        <v>45</v>
      </c>
      <c r="AG177" s="27">
        <v>6.060076842472931</v>
      </c>
    </row>
    <row r="178" spans="1:33" x14ac:dyDescent="0.2">
      <c r="A178" s="1">
        <v>163</v>
      </c>
      <c r="B178" s="25" t="s">
        <v>211</v>
      </c>
      <c r="C178" s="26">
        <v>135.51980198019803</v>
      </c>
      <c r="D178" s="27">
        <v>0.38366336633663362</v>
      </c>
      <c r="E178" s="27" t="s">
        <v>45</v>
      </c>
      <c r="F178" s="27" t="s">
        <v>45</v>
      </c>
      <c r="G178" s="27" t="s">
        <v>45</v>
      </c>
      <c r="H178" s="26">
        <v>0.34096534653465349</v>
      </c>
      <c r="I178" s="26">
        <v>0.11138613861386137</v>
      </c>
      <c r="J178" s="27" t="s">
        <v>45</v>
      </c>
      <c r="K178" s="27">
        <v>0.28465346534653463</v>
      </c>
      <c r="L178" s="27">
        <v>1.4975247524752473</v>
      </c>
      <c r="M178" s="27">
        <v>79.504950495049499</v>
      </c>
      <c r="N178" s="27">
        <v>9.349009900990099E-2</v>
      </c>
      <c r="O178" s="27" t="s">
        <v>45</v>
      </c>
      <c r="P178" s="27">
        <v>0.4455445544554455</v>
      </c>
      <c r="Q178" s="27">
        <v>4.1250000000000002E-2</v>
      </c>
      <c r="R178" s="27">
        <v>98.477722772277218</v>
      </c>
      <c r="S178" s="27" t="s">
        <v>45</v>
      </c>
      <c r="T178" s="30">
        <v>3.7871287128712872E-4</v>
      </c>
      <c r="U178" s="27">
        <v>1.2623762376237624</v>
      </c>
      <c r="V178" s="27">
        <v>1.1386138613861385</v>
      </c>
      <c r="W178" s="30">
        <v>7.4146039603960393E-3</v>
      </c>
      <c r="X178" s="27">
        <v>3.7995049504950495</v>
      </c>
      <c r="Y178" s="27" t="s">
        <v>45</v>
      </c>
      <c r="Z178" s="27" t="s">
        <v>45</v>
      </c>
      <c r="AA178" s="27">
        <v>185.02475247524751</v>
      </c>
      <c r="AB178" s="29">
        <v>2.9108910891089107E-2</v>
      </c>
      <c r="AC178" s="27">
        <v>19.678217821782177</v>
      </c>
      <c r="AD178" s="27">
        <v>7.2648514851485144</v>
      </c>
      <c r="AE178" s="27" t="s">
        <v>45</v>
      </c>
      <c r="AF178" s="27">
        <v>0.13613861386138612</v>
      </c>
      <c r="AG178" s="27">
        <v>8.5519801980198</v>
      </c>
    </row>
    <row r="179" spans="1:33" x14ac:dyDescent="0.2">
      <c r="A179" s="1">
        <v>164</v>
      </c>
      <c r="B179" s="25" t="s">
        <v>212</v>
      </c>
      <c r="C179" s="26">
        <v>20.081967213114758</v>
      </c>
      <c r="D179" s="27">
        <v>1.1709601873536301E-2</v>
      </c>
      <c r="E179" s="27" t="s">
        <v>45</v>
      </c>
      <c r="F179" s="27" t="s">
        <v>45</v>
      </c>
      <c r="G179" s="27" t="s">
        <v>45</v>
      </c>
      <c r="H179" s="26">
        <v>0.26569086651053869</v>
      </c>
      <c r="I179" s="26">
        <v>9.3676814988290405E-2</v>
      </c>
      <c r="J179" s="27">
        <v>2.3419203747072601E-2</v>
      </c>
      <c r="K179" s="27">
        <v>0.3044496487119438</v>
      </c>
      <c r="L179" s="27">
        <v>2.2482435597189694</v>
      </c>
      <c r="M179" s="27">
        <v>15.362997658079626</v>
      </c>
      <c r="N179" s="27">
        <v>2.2353629976580795E-2</v>
      </c>
      <c r="O179" s="27" t="s">
        <v>45</v>
      </c>
      <c r="P179" s="27">
        <v>0.21077283372365338</v>
      </c>
      <c r="Q179" s="27">
        <v>3.3278688524590164E-2</v>
      </c>
      <c r="R179" s="27">
        <v>159.36768149882903</v>
      </c>
      <c r="S179" s="27" t="s">
        <v>45</v>
      </c>
      <c r="T179" s="30">
        <v>1.1967213114754097E-3</v>
      </c>
      <c r="U179" s="27">
        <v>0.64402810304449642</v>
      </c>
      <c r="V179" s="27">
        <v>1.1943793911007026</v>
      </c>
      <c r="W179" s="30">
        <v>1.1537470725995315E-2</v>
      </c>
      <c r="X179" s="27">
        <v>0.74941451990632324</v>
      </c>
      <c r="Y179" s="27" t="s">
        <v>45</v>
      </c>
      <c r="Z179" s="27" t="s">
        <v>45</v>
      </c>
      <c r="AA179" s="27">
        <v>321.54566744730681</v>
      </c>
      <c r="AB179" s="29">
        <v>1.8548009367681501E-2</v>
      </c>
      <c r="AC179" s="27">
        <v>16.346604215456676</v>
      </c>
      <c r="AD179" s="27">
        <v>0.84309133489461352</v>
      </c>
      <c r="AE179" s="27" t="s">
        <v>45</v>
      </c>
      <c r="AF179" s="27" t="s">
        <v>45</v>
      </c>
      <c r="AG179" s="27">
        <v>7.2365339578454329</v>
      </c>
    </row>
    <row r="180" spans="1:33" x14ac:dyDescent="0.2">
      <c r="A180" s="1">
        <v>165</v>
      </c>
      <c r="B180" s="25" t="s">
        <v>213</v>
      </c>
      <c r="C180" s="26">
        <v>12.36075407026564</v>
      </c>
      <c r="D180" s="27">
        <v>4.2844901456726654E-2</v>
      </c>
      <c r="E180" s="27" t="s">
        <v>45</v>
      </c>
      <c r="F180" s="27" t="s">
        <v>45</v>
      </c>
      <c r="G180" s="27" t="s">
        <v>45</v>
      </c>
      <c r="H180" s="26">
        <v>0.23703941730934019</v>
      </c>
      <c r="I180" s="26">
        <v>7.4978577549271633E-2</v>
      </c>
      <c r="J180" s="27">
        <v>1.0711225364181664E-2</v>
      </c>
      <c r="K180" s="27">
        <v>0.11782347900599829</v>
      </c>
      <c r="L180" s="27">
        <v>1.8744644387317912</v>
      </c>
      <c r="M180" s="27">
        <v>13.281919451585262</v>
      </c>
      <c r="N180" s="27">
        <v>1.1932305055698372E-2</v>
      </c>
      <c r="O180" s="27" t="s">
        <v>45</v>
      </c>
      <c r="P180" s="27">
        <v>0.17137960582690662</v>
      </c>
      <c r="Q180" s="27">
        <v>2.5342759211653815E-2</v>
      </c>
      <c r="R180" s="27">
        <v>92.705655526992302</v>
      </c>
      <c r="S180" s="27" t="s">
        <v>45</v>
      </c>
      <c r="T180" s="30" t="s">
        <v>45</v>
      </c>
      <c r="U180" s="27">
        <v>0.86760925449871462</v>
      </c>
      <c r="V180" s="27">
        <v>1.0925449871465296</v>
      </c>
      <c r="W180" s="30">
        <v>8.1405312767780635E-3</v>
      </c>
      <c r="X180" s="27">
        <v>0.66409597257926312</v>
      </c>
      <c r="Y180" s="27" t="s">
        <v>45</v>
      </c>
      <c r="Z180" s="27" t="s">
        <v>45</v>
      </c>
      <c r="AA180" s="27">
        <v>374.25021422450732</v>
      </c>
      <c r="AB180" s="29">
        <v>1.7020137103684663E-2</v>
      </c>
      <c r="AC180" s="27">
        <v>14.674378748928879</v>
      </c>
      <c r="AD180" s="27">
        <v>0.58911739502999139</v>
      </c>
      <c r="AE180" s="27" t="s">
        <v>45</v>
      </c>
      <c r="AF180" s="27" t="s">
        <v>45</v>
      </c>
      <c r="AG180" s="27">
        <v>6.2660668380462727</v>
      </c>
    </row>
    <row r="181" spans="1:33" x14ac:dyDescent="0.2">
      <c r="A181" s="1">
        <v>166</v>
      </c>
      <c r="B181" s="25" t="s">
        <v>214</v>
      </c>
      <c r="C181" s="26">
        <v>5.9629629629629628</v>
      </c>
      <c r="D181" s="27">
        <v>0.14814814814814814</v>
      </c>
      <c r="E181" s="27" t="s">
        <v>45</v>
      </c>
      <c r="F181" s="27" t="s">
        <v>45</v>
      </c>
      <c r="G181" s="27" t="s">
        <v>45</v>
      </c>
      <c r="H181" s="26">
        <v>7.1444444444444435E-2</v>
      </c>
      <c r="I181" s="26">
        <v>0.16049382716049382</v>
      </c>
      <c r="J181" s="27" t="s">
        <v>45</v>
      </c>
      <c r="K181" s="27">
        <v>0.12345679012345678</v>
      </c>
      <c r="L181" s="27">
        <v>1.1234567901234567</v>
      </c>
      <c r="M181" s="27">
        <v>9.2222222222222232</v>
      </c>
      <c r="N181" s="27">
        <v>7.3481481481481481E-2</v>
      </c>
      <c r="O181" s="27" t="s">
        <v>45</v>
      </c>
      <c r="P181" s="27">
        <v>0.24691358024691357</v>
      </c>
      <c r="Q181" s="27">
        <v>1.6209876543209874E-2</v>
      </c>
      <c r="R181" s="27">
        <v>25.654320987654319</v>
      </c>
      <c r="S181" s="27" t="s">
        <v>45</v>
      </c>
      <c r="T181" s="30" t="s">
        <v>45</v>
      </c>
      <c r="U181" s="27">
        <v>0.37037037037037035</v>
      </c>
      <c r="V181" s="27">
        <v>0.16049382716049382</v>
      </c>
      <c r="W181" s="30">
        <v>1.6679012345679012E-3</v>
      </c>
      <c r="X181" s="27">
        <v>1.6296296296296295</v>
      </c>
      <c r="Y181" s="27" t="s">
        <v>45</v>
      </c>
      <c r="Z181" s="27" t="s">
        <v>45</v>
      </c>
      <c r="AA181" s="27">
        <v>9.7777777777777786</v>
      </c>
      <c r="AB181" s="29">
        <v>5.4901234567901226E-3</v>
      </c>
      <c r="AC181" s="27">
        <v>4.3950617283950617</v>
      </c>
      <c r="AD181" s="27">
        <v>0.4814814814814814</v>
      </c>
      <c r="AE181" s="27" t="s">
        <v>45</v>
      </c>
      <c r="AF181" s="27" t="s">
        <v>45</v>
      </c>
      <c r="AG181" s="27">
        <v>5.382716049382716</v>
      </c>
    </row>
    <row r="182" spans="1:33" x14ac:dyDescent="0.2">
      <c r="A182" s="1">
        <v>167</v>
      </c>
      <c r="B182" s="25" t="s">
        <v>215</v>
      </c>
      <c r="C182" s="26">
        <v>170.24539877300614</v>
      </c>
      <c r="D182" s="27" t="s">
        <v>45</v>
      </c>
      <c r="E182" s="27" t="s">
        <v>45</v>
      </c>
      <c r="F182" s="27" t="s">
        <v>45</v>
      </c>
      <c r="G182" s="27" t="s">
        <v>45</v>
      </c>
      <c r="H182" s="26">
        <v>0.43487494100991031</v>
      </c>
      <c r="I182" s="26">
        <v>1.0146295422369043</v>
      </c>
      <c r="J182" s="27">
        <v>2.3596035865974516E-2</v>
      </c>
      <c r="K182" s="27">
        <v>0.70788107597923544</v>
      </c>
      <c r="L182" s="27">
        <v>6.1585653610193489</v>
      </c>
      <c r="M182" s="27">
        <v>97.569608305804607</v>
      </c>
      <c r="N182" s="27">
        <v>3.1193959414818312E-2</v>
      </c>
      <c r="O182" s="27" t="s">
        <v>45</v>
      </c>
      <c r="P182" s="27">
        <v>0.44832468145351578</v>
      </c>
      <c r="Q182" s="27">
        <v>3.4237848041529025E-2</v>
      </c>
      <c r="R182" s="27">
        <v>192.07173194903254</v>
      </c>
      <c r="S182" s="27" t="s">
        <v>45</v>
      </c>
      <c r="T182" s="30">
        <v>2.373761208117036E-3</v>
      </c>
      <c r="U182" s="27">
        <v>1.5927324209532798</v>
      </c>
      <c r="V182" s="27">
        <v>8.2704105710240672</v>
      </c>
      <c r="W182" s="30">
        <v>1.7720622935346861E-2</v>
      </c>
      <c r="X182" s="27">
        <v>0.7550731477111845</v>
      </c>
      <c r="Y182" s="27" t="s">
        <v>45</v>
      </c>
      <c r="Z182" s="27" t="s">
        <v>45</v>
      </c>
      <c r="AA182" s="27">
        <v>157.38555922605002</v>
      </c>
      <c r="AB182" s="29">
        <v>3.1170363378952334E-2</v>
      </c>
      <c r="AC182" s="27">
        <v>17.850401132609719</v>
      </c>
      <c r="AD182" s="27">
        <v>5.3798961774421903</v>
      </c>
      <c r="AE182" s="27" t="s">
        <v>45</v>
      </c>
      <c r="AF182" s="27">
        <v>5.8990089664936296E-2</v>
      </c>
      <c r="AG182" s="27">
        <v>32.420953279848987</v>
      </c>
    </row>
    <row r="183" spans="1:33" x14ac:dyDescent="0.2">
      <c r="A183" s="1">
        <v>168</v>
      </c>
      <c r="B183" s="25" t="s">
        <v>216</v>
      </c>
      <c r="C183" s="26">
        <v>35.870016611295682</v>
      </c>
      <c r="D183" s="27" t="s">
        <v>45</v>
      </c>
      <c r="E183" s="27" t="s">
        <v>45</v>
      </c>
      <c r="F183" s="27" t="s">
        <v>45</v>
      </c>
      <c r="G183" s="27" t="s">
        <v>45</v>
      </c>
      <c r="H183" s="26">
        <v>0.1639327242524917</v>
      </c>
      <c r="I183" s="26">
        <v>0.70598006644518274</v>
      </c>
      <c r="J183" s="27">
        <v>2.0764119601328904E-2</v>
      </c>
      <c r="K183" s="27">
        <v>0.10382059800664453</v>
      </c>
      <c r="L183" s="27">
        <v>2.294435215946844</v>
      </c>
      <c r="M183" s="27">
        <v>20.629152823920265</v>
      </c>
      <c r="N183" s="27">
        <v>2.2362956810631232E-2</v>
      </c>
      <c r="O183" s="27" t="s">
        <v>45</v>
      </c>
      <c r="P183" s="27">
        <v>0.21802325581395349</v>
      </c>
      <c r="Q183" s="27">
        <v>2.5218023255813952E-2</v>
      </c>
      <c r="R183" s="27">
        <v>67.55606312292359</v>
      </c>
      <c r="S183" s="27" t="s">
        <v>45</v>
      </c>
      <c r="T183" s="30">
        <v>6.7171926910298998E-4</v>
      </c>
      <c r="U183" s="27">
        <v>0.20764119601328906</v>
      </c>
      <c r="V183" s="27">
        <v>0.92400332225913628</v>
      </c>
      <c r="W183" s="30">
        <v>2.9931478405315617E-3</v>
      </c>
      <c r="X183" s="27">
        <v>1.0797342192691031</v>
      </c>
      <c r="Y183" s="27" t="s">
        <v>45</v>
      </c>
      <c r="Z183" s="27" t="s">
        <v>45</v>
      </c>
      <c r="AA183" s="27">
        <v>42.524916943521596</v>
      </c>
      <c r="AB183" s="29">
        <v>1.0901162790697676E-2</v>
      </c>
      <c r="AC183" s="27">
        <v>9.416528239202659</v>
      </c>
      <c r="AD183" s="27">
        <v>1.7960963455149503</v>
      </c>
      <c r="AE183" s="27" t="s">
        <v>45</v>
      </c>
      <c r="AF183" s="27" t="s">
        <v>45</v>
      </c>
      <c r="AG183" s="27">
        <v>10.153654485049834</v>
      </c>
    </row>
    <row r="184" spans="1:33" x14ac:dyDescent="0.2">
      <c r="A184" s="1">
        <v>169</v>
      </c>
      <c r="B184" s="25" t="s">
        <v>217</v>
      </c>
      <c r="C184" s="26">
        <v>2.3756660746003546</v>
      </c>
      <c r="D184" s="27">
        <v>0.18872113676731792</v>
      </c>
      <c r="E184" s="27" t="s">
        <v>45</v>
      </c>
      <c r="F184" s="27" t="s">
        <v>45</v>
      </c>
      <c r="G184" s="27" t="s">
        <v>45</v>
      </c>
      <c r="H184" s="26">
        <v>0.1076265541740675</v>
      </c>
      <c r="I184" s="26">
        <v>0.13321492007104793</v>
      </c>
      <c r="J184" s="27">
        <v>6.6607460035523966E-2</v>
      </c>
      <c r="K184" s="27">
        <v>3.3303730017761983E-2</v>
      </c>
      <c r="L184" s="27">
        <v>1.0990230905861458</v>
      </c>
      <c r="M184" s="27">
        <v>3.3525754884547068</v>
      </c>
      <c r="N184" s="27">
        <v>9.6514209591474248E-2</v>
      </c>
      <c r="O184" s="27" t="s">
        <v>45</v>
      </c>
      <c r="P184" s="27">
        <v>0.18872113676731792</v>
      </c>
      <c r="Q184" s="27">
        <v>4.3128330373001768E-2</v>
      </c>
      <c r="R184" s="27">
        <v>76.265541740674948</v>
      </c>
      <c r="S184" s="27" t="s">
        <v>45</v>
      </c>
      <c r="T184" s="30" t="s">
        <v>45</v>
      </c>
      <c r="U184" s="27">
        <v>1.2100355239786857</v>
      </c>
      <c r="V184" s="27">
        <v>4.4404973357015987E-2</v>
      </c>
      <c r="W184" s="30">
        <v>8.5579484902309055E-3</v>
      </c>
      <c r="X184" s="27">
        <v>2.7753108348134989</v>
      </c>
      <c r="Y184" s="27" t="s">
        <v>45</v>
      </c>
      <c r="Z184" s="27" t="s">
        <v>45</v>
      </c>
      <c r="AA184" s="27">
        <v>12.932948490230906</v>
      </c>
      <c r="AB184" s="29">
        <v>1.2522202486678506E-2</v>
      </c>
      <c r="AC184" s="27">
        <v>8.481349911190053</v>
      </c>
      <c r="AD184" s="27">
        <v>0.18872113676731792</v>
      </c>
      <c r="AE184" s="27" t="s">
        <v>45</v>
      </c>
      <c r="AF184" s="27" t="s">
        <v>45</v>
      </c>
      <c r="AG184" s="27">
        <v>4.840142095914743</v>
      </c>
    </row>
    <row r="185" spans="1:33" x14ac:dyDescent="0.2">
      <c r="A185" s="1">
        <v>170</v>
      </c>
      <c r="B185" s="25" t="s">
        <v>218</v>
      </c>
      <c r="C185" s="26">
        <v>8.7633658763365858</v>
      </c>
      <c r="D185" s="27">
        <v>0.10460251046025104</v>
      </c>
      <c r="E185" s="27" t="s">
        <v>45</v>
      </c>
      <c r="F185" s="27" t="s">
        <v>45</v>
      </c>
      <c r="G185" s="27" t="s">
        <v>45</v>
      </c>
      <c r="H185" s="26">
        <v>6.8677359367735932E-2</v>
      </c>
      <c r="I185" s="26">
        <v>0.10460251046025104</v>
      </c>
      <c r="J185" s="27">
        <v>6.9735006973500685E-2</v>
      </c>
      <c r="K185" s="27">
        <v>0.58112505811250581</v>
      </c>
      <c r="L185" s="27">
        <v>0.99953509995350986</v>
      </c>
      <c r="M185" s="27">
        <v>5.1720130172013015</v>
      </c>
      <c r="N185" s="27">
        <v>0.13598326359832635</v>
      </c>
      <c r="O185" s="27" t="s">
        <v>45</v>
      </c>
      <c r="P185" s="27">
        <v>0.23245002324500233</v>
      </c>
      <c r="Q185" s="27">
        <v>1.9490934449093444E-2</v>
      </c>
      <c r="R185" s="27">
        <v>27.894002789400279</v>
      </c>
      <c r="S185" s="27" t="s">
        <v>45</v>
      </c>
      <c r="T185" s="30" t="s">
        <v>45</v>
      </c>
      <c r="U185" s="27">
        <v>0.27894002789400274</v>
      </c>
      <c r="V185" s="27">
        <v>0.13947001394700137</v>
      </c>
      <c r="W185" s="30">
        <v>3.4518828451882842E-3</v>
      </c>
      <c r="X185" s="27">
        <v>2.4291027429102741</v>
      </c>
      <c r="Y185" s="27" t="s">
        <v>45</v>
      </c>
      <c r="Z185" s="27" t="s">
        <v>45</v>
      </c>
      <c r="AA185" s="27">
        <v>9.8791259879125981</v>
      </c>
      <c r="AB185" s="29">
        <v>6.3656438865643886E-3</v>
      </c>
      <c r="AC185" s="27">
        <v>4.4746629474662942</v>
      </c>
      <c r="AD185" s="27">
        <v>0.79033007903300778</v>
      </c>
      <c r="AE185" s="27" t="s">
        <v>45</v>
      </c>
      <c r="AF185" s="27" t="s">
        <v>45</v>
      </c>
      <c r="AG185" s="27">
        <v>4.2073454207345415</v>
      </c>
    </row>
    <row r="186" spans="1:33" x14ac:dyDescent="0.2">
      <c r="A186" s="1">
        <v>171</v>
      </c>
      <c r="B186" s="25" t="s">
        <v>219</v>
      </c>
      <c r="C186" s="26">
        <v>12.059222423146473</v>
      </c>
      <c r="D186" s="27" t="s">
        <v>45</v>
      </c>
      <c r="E186" s="27" t="s">
        <v>45</v>
      </c>
      <c r="F186" s="27" t="s">
        <v>45</v>
      </c>
      <c r="G186" s="27" t="s">
        <v>45</v>
      </c>
      <c r="H186" s="26">
        <v>4.8327305605786616E-2</v>
      </c>
      <c r="I186" s="26">
        <v>0.13562386980108498</v>
      </c>
      <c r="J186" s="27" t="s">
        <v>45</v>
      </c>
      <c r="K186" s="27">
        <v>0.48598553345388784</v>
      </c>
      <c r="L186" s="27">
        <v>1.740506329113924</v>
      </c>
      <c r="M186" s="27">
        <v>16.986889692585894</v>
      </c>
      <c r="N186" s="27">
        <v>6.4308318264014466E-2</v>
      </c>
      <c r="O186" s="27" t="s">
        <v>45</v>
      </c>
      <c r="P186" s="27">
        <v>0.19213381555153705</v>
      </c>
      <c r="Q186" s="27">
        <v>1.0253164556962025E-2</v>
      </c>
      <c r="R186" s="27">
        <v>31.069168173598552</v>
      </c>
      <c r="S186" s="27" t="s">
        <v>45</v>
      </c>
      <c r="T186" s="30">
        <v>9.629294755877034E-4</v>
      </c>
      <c r="U186" s="27">
        <v>1.311030741410488</v>
      </c>
      <c r="V186" s="27">
        <v>0.62160940325497283</v>
      </c>
      <c r="W186" s="30">
        <v>1.9970614828209764E-3</v>
      </c>
      <c r="X186" s="27">
        <v>1.2319168173598554</v>
      </c>
      <c r="Y186" s="27" t="s">
        <v>45</v>
      </c>
      <c r="Z186" s="27" t="s">
        <v>45</v>
      </c>
      <c r="AA186" s="27">
        <v>10.36392405063291</v>
      </c>
      <c r="AB186" s="29">
        <v>8.4437160940325495E-3</v>
      </c>
      <c r="AC186" s="27">
        <v>3.0741410488245928</v>
      </c>
      <c r="AD186" s="27">
        <v>0.51989150090415903</v>
      </c>
      <c r="AE186" s="27" t="s">
        <v>45</v>
      </c>
      <c r="AF186" s="27" t="s">
        <v>45</v>
      </c>
      <c r="AG186" s="27">
        <v>7.7418625678119355</v>
      </c>
    </row>
    <row r="187" spans="1:33" x14ac:dyDescent="0.2">
      <c r="A187" s="1">
        <v>172</v>
      </c>
      <c r="B187" s="25" t="s">
        <v>220</v>
      </c>
      <c r="C187" s="26">
        <v>14.789936492427943</v>
      </c>
      <c r="D187" s="27">
        <v>0.18319491939423546</v>
      </c>
      <c r="E187" s="27" t="s">
        <v>45</v>
      </c>
      <c r="F187" s="27" t="s">
        <v>45</v>
      </c>
      <c r="G187" s="27" t="s">
        <v>45</v>
      </c>
      <c r="H187" s="26">
        <v>0.37799218368343918</v>
      </c>
      <c r="I187" s="26">
        <v>0.21983390327308255</v>
      </c>
      <c r="J187" s="27">
        <v>0.14655593551538837</v>
      </c>
      <c r="K187" s="27">
        <v>0.20762090864680019</v>
      </c>
      <c r="L187" s="27">
        <v>1.7098192476795313</v>
      </c>
      <c r="M187" s="27">
        <v>19.980459208597949</v>
      </c>
      <c r="N187" s="27">
        <v>6.6108939912066442E-3</v>
      </c>
      <c r="O187" s="27" t="s">
        <v>45</v>
      </c>
      <c r="P187" s="27">
        <v>0.25647288715192967</v>
      </c>
      <c r="Q187" s="27">
        <v>0.14008304836345875</v>
      </c>
      <c r="R187" s="27">
        <v>125.42745481191987</v>
      </c>
      <c r="S187" s="27" t="s">
        <v>45</v>
      </c>
      <c r="T187" s="30">
        <v>1.8978993649242796E-3</v>
      </c>
      <c r="U187" s="27">
        <v>2.4548119198827552</v>
      </c>
      <c r="V187" s="27">
        <v>0.39081582804103571</v>
      </c>
      <c r="W187" s="30">
        <v>9.4870542256961423E-3</v>
      </c>
      <c r="X187" s="27">
        <v>0.58622374206155348</v>
      </c>
      <c r="Y187" s="27" t="s">
        <v>45</v>
      </c>
      <c r="Z187" s="27" t="s">
        <v>45</v>
      </c>
      <c r="AA187" s="27">
        <v>49.108451392281388</v>
      </c>
      <c r="AB187" s="29">
        <v>1.9723986321446021E-2</v>
      </c>
      <c r="AC187" s="27">
        <v>26.245725451880805</v>
      </c>
      <c r="AD187" s="27">
        <v>1.038104543234001</v>
      </c>
      <c r="AE187" s="27" t="s">
        <v>45</v>
      </c>
      <c r="AF187" s="27" t="s">
        <v>45</v>
      </c>
      <c r="AG187" s="27">
        <v>9.6116267708842216</v>
      </c>
    </row>
    <row r="188" spans="1:33" x14ac:dyDescent="0.2">
      <c r="A188" s="1">
        <v>173</v>
      </c>
      <c r="B188" s="25" t="s">
        <v>221</v>
      </c>
      <c r="C188" s="26">
        <v>71.931927133269411</v>
      </c>
      <c r="D188" s="27">
        <v>0.23969319271332695</v>
      </c>
      <c r="E188" s="27" t="s">
        <v>45</v>
      </c>
      <c r="F188" s="27" t="s">
        <v>45</v>
      </c>
      <c r="G188" s="27" t="s">
        <v>45</v>
      </c>
      <c r="H188" s="26">
        <v>0.12991371045062319</v>
      </c>
      <c r="I188" s="26">
        <v>0.34755512943432404</v>
      </c>
      <c r="J188" s="27">
        <v>1.1984659635666348E-2</v>
      </c>
      <c r="K188" s="27">
        <v>1.1145733461169702</v>
      </c>
      <c r="L188" s="27">
        <v>3.2358581016299137</v>
      </c>
      <c r="M188" s="27">
        <v>24.161073825503355</v>
      </c>
      <c r="N188" s="27">
        <v>0.11752157238734419</v>
      </c>
      <c r="O188" s="27" t="s">
        <v>45</v>
      </c>
      <c r="P188" s="27">
        <v>0.25167785234899326</v>
      </c>
      <c r="Q188" s="27">
        <v>2.3909395973154366E-2</v>
      </c>
      <c r="R188" s="27">
        <v>112.12847555129434</v>
      </c>
      <c r="S188" s="27" t="s">
        <v>45</v>
      </c>
      <c r="T188" s="30" t="s">
        <v>45</v>
      </c>
      <c r="U188" s="27">
        <v>0.58724832214765099</v>
      </c>
      <c r="V188" s="27">
        <v>0.31160115052732501</v>
      </c>
      <c r="W188" s="30">
        <v>1.9990412272291466E-2</v>
      </c>
      <c r="X188" s="27">
        <v>2.3370086289549374</v>
      </c>
      <c r="Y188" s="27" t="s">
        <v>45</v>
      </c>
      <c r="Z188" s="27" t="s">
        <v>45</v>
      </c>
      <c r="AA188" s="27">
        <v>38.386864813039303</v>
      </c>
      <c r="AB188" s="29">
        <v>1.3842281879194632E-2</v>
      </c>
      <c r="AC188" s="27">
        <v>6.7713326941514866</v>
      </c>
      <c r="AD188" s="27">
        <v>1.2104506232023011</v>
      </c>
      <c r="AE188" s="27" t="s">
        <v>45</v>
      </c>
      <c r="AF188" s="27" t="s">
        <v>45</v>
      </c>
      <c r="AG188" s="27">
        <v>13.374880153403643</v>
      </c>
    </row>
    <row r="189" spans="1:33" x14ac:dyDescent="0.2">
      <c r="A189" s="1">
        <v>174</v>
      </c>
      <c r="B189" s="25" t="s">
        <v>222</v>
      </c>
      <c r="C189" s="26">
        <v>16.1910197869102</v>
      </c>
      <c r="D189" s="27">
        <v>1.9025875190258754E-2</v>
      </c>
      <c r="E189" s="27" t="s">
        <v>45</v>
      </c>
      <c r="F189" s="27" t="s">
        <v>45</v>
      </c>
      <c r="G189" s="27" t="s">
        <v>45</v>
      </c>
      <c r="H189" s="26">
        <v>0.20719178082191786</v>
      </c>
      <c r="I189" s="26">
        <v>5.7077625570776259E-2</v>
      </c>
      <c r="J189" s="27">
        <v>1.9025875190258754E-2</v>
      </c>
      <c r="K189" s="27">
        <v>0.10464231354642314</v>
      </c>
      <c r="L189" s="27">
        <v>0.88470319634703198</v>
      </c>
      <c r="M189" s="27">
        <v>8.6187214611872154</v>
      </c>
      <c r="N189" s="27">
        <v>7.4980974124809752E-2</v>
      </c>
      <c r="O189" s="27" t="s">
        <v>45</v>
      </c>
      <c r="P189" s="27">
        <v>0.29490106544901068</v>
      </c>
      <c r="Q189" s="27">
        <v>5.8609208523592089E-2</v>
      </c>
      <c r="R189" s="27">
        <v>77.920471841704739</v>
      </c>
      <c r="S189" s="27" t="s">
        <v>45</v>
      </c>
      <c r="T189" s="30" t="s">
        <v>45</v>
      </c>
      <c r="U189" s="27">
        <v>0.98934550989345527</v>
      </c>
      <c r="V189" s="27">
        <v>0.18074581430745815</v>
      </c>
      <c r="W189" s="30">
        <v>5.2606544901065456E-3</v>
      </c>
      <c r="X189" s="27">
        <v>2.378234398782344</v>
      </c>
      <c r="Y189" s="27" t="s">
        <v>45</v>
      </c>
      <c r="Z189" s="27" t="s">
        <v>45</v>
      </c>
      <c r="AA189" s="27">
        <v>43.94025875190259</v>
      </c>
      <c r="AB189" s="29">
        <v>9.9980974124809757E-3</v>
      </c>
      <c r="AC189" s="27">
        <v>11.244292237442924</v>
      </c>
      <c r="AD189" s="27">
        <v>0.63736681887366831</v>
      </c>
      <c r="AE189" s="27">
        <v>0.12366818873668191</v>
      </c>
      <c r="AF189" s="27" t="s">
        <v>45</v>
      </c>
      <c r="AG189" s="27">
        <v>2.7587519025875196</v>
      </c>
    </row>
    <row r="190" spans="1:33" x14ac:dyDescent="0.2">
      <c r="A190" s="1">
        <v>175</v>
      </c>
      <c r="B190" s="25" t="s">
        <v>223</v>
      </c>
      <c r="C190" s="26">
        <v>16.061643835616437</v>
      </c>
      <c r="D190" s="27" t="s">
        <v>45</v>
      </c>
      <c r="E190" s="27" t="s">
        <v>45</v>
      </c>
      <c r="F190" s="27" t="s">
        <v>45</v>
      </c>
      <c r="G190" s="27" t="s">
        <v>45</v>
      </c>
      <c r="H190" s="26">
        <v>9.1552511415525104E-2</v>
      </c>
      <c r="I190" s="26">
        <v>0.13698630136986301</v>
      </c>
      <c r="J190" s="27" t="s">
        <v>45</v>
      </c>
      <c r="K190" s="27">
        <v>0.50228310502283102</v>
      </c>
      <c r="L190" s="27">
        <v>1.3812785388127853</v>
      </c>
      <c r="M190" s="27">
        <v>17.214611872146115</v>
      </c>
      <c r="N190" s="27">
        <v>0.10982876712328768</v>
      </c>
      <c r="O190" s="27" t="s">
        <v>45</v>
      </c>
      <c r="P190" s="27">
        <v>0.30821917808219179</v>
      </c>
      <c r="Q190" s="27">
        <v>1.8253424657534247E-2</v>
      </c>
      <c r="R190" s="27">
        <v>60.8675799086758</v>
      </c>
      <c r="S190" s="27" t="s">
        <v>45</v>
      </c>
      <c r="T190" s="30">
        <v>1.3002283105022832E-3</v>
      </c>
      <c r="U190" s="27">
        <v>2.5799086757990866</v>
      </c>
      <c r="V190" s="27">
        <v>0.65068493150684936</v>
      </c>
      <c r="W190" s="30">
        <v>5.2317351598173516E-3</v>
      </c>
      <c r="X190" s="27">
        <v>3.6757990867579906</v>
      </c>
      <c r="Y190" s="27" t="s">
        <v>45</v>
      </c>
      <c r="Z190" s="27" t="s">
        <v>45</v>
      </c>
      <c r="AA190" s="27">
        <v>27.739726027397261</v>
      </c>
      <c r="AB190" s="29">
        <v>1.1351598173515982E-2</v>
      </c>
      <c r="AC190" s="27">
        <v>7.7397260273972606</v>
      </c>
      <c r="AD190" s="27">
        <v>1.1872146118721461</v>
      </c>
      <c r="AE190" s="27" t="s">
        <v>45</v>
      </c>
      <c r="AF190" s="27" t="s">
        <v>45</v>
      </c>
      <c r="AG190" s="27">
        <v>5.6392694063926934</v>
      </c>
    </row>
    <row r="191" spans="1:33" x14ac:dyDescent="0.2">
      <c r="A191" s="1">
        <v>176</v>
      </c>
      <c r="B191" s="25" t="s">
        <v>224</v>
      </c>
      <c r="C191" s="26">
        <v>17.3943661971831</v>
      </c>
      <c r="D191" s="27">
        <v>4.6948356807511742E-2</v>
      </c>
      <c r="E191" s="27" t="s">
        <v>45</v>
      </c>
      <c r="F191" s="27" t="s">
        <v>45</v>
      </c>
      <c r="G191" s="27" t="s">
        <v>45</v>
      </c>
      <c r="H191" s="26">
        <v>0.32969483568075114</v>
      </c>
      <c r="I191" s="26">
        <v>0.10563380281690141</v>
      </c>
      <c r="J191" s="27">
        <v>9.3896713615023483E-2</v>
      </c>
      <c r="K191" s="27">
        <v>1.5375586854460095</v>
      </c>
      <c r="L191" s="27">
        <v>2.5469483568075115</v>
      </c>
      <c r="M191" s="27">
        <v>22.124413145539908</v>
      </c>
      <c r="N191" s="27">
        <v>8.5645539906103282E-2</v>
      </c>
      <c r="O191" s="27" t="s">
        <v>45</v>
      </c>
      <c r="P191" s="27">
        <v>0.16431924882629106</v>
      </c>
      <c r="Q191" s="27">
        <v>2.3474178403755871E-2</v>
      </c>
      <c r="R191" s="27">
        <v>103.39201877934273</v>
      </c>
      <c r="S191" s="27" t="s">
        <v>45</v>
      </c>
      <c r="T191" s="30" t="s">
        <v>45</v>
      </c>
      <c r="U191" s="27">
        <v>1.1384976525821595</v>
      </c>
      <c r="V191" s="27">
        <v>1.1854460093896715</v>
      </c>
      <c r="W191" s="30">
        <v>1.715962441314554E-2</v>
      </c>
      <c r="X191" s="27">
        <v>2.5821596244131455</v>
      </c>
      <c r="Y191" s="27" t="s">
        <v>45</v>
      </c>
      <c r="Z191" s="27" t="s">
        <v>45</v>
      </c>
      <c r="AA191" s="27">
        <v>461.97183098591552</v>
      </c>
      <c r="AB191" s="29">
        <v>2.0387323943661974E-2</v>
      </c>
      <c r="AC191" s="27">
        <v>22.73474178403756</v>
      </c>
      <c r="AD191" s="27">
        <v>0.76291079812206575</v>
      </c>
      <c r="AE191" s="27" t="s">
        <v>45</v>
      </c>
      <c r="AF191" s="27" t="s">
        <v>45</v>
      </c>
      <c r="AG191" s="27">
        <v>7.652582159624413</v>
      </c>
    </row>
    <row r="192" spans="1:33" x14ac:dyDescent="0.2">
      <c r="A192" s="1">
        <v>177</v>
      </c>
      <c r="B192" s="25" t="s">
        <v>225</v>
      </c>
      <c r="C192" s="26">
        <v>5.1071003570011895</v>
      </c>
      <c r="D192" s="27">
        <v>3.9666798889329634E-2</v>
      </c>
      <c r="E192" s="27" t="s">
        <v>45</v>
      </c>
      <c r="F192" s="27" t="s">
        <v>45</v>
      </c>
      <c r="G192" s="27" t="s">
        <v>45</v>
      </c>
      <c r="H192" s="26">
        <v>4.3881396271320906E-2</v>
      </c>
      <c r="I192" s="26">
        <v>0.12891709639032131</v>
      </c>
      <c r="J192" s="27" t="s">
        <v>45</v>
      </c>
      <c r="K192" s="27">
        <v>0.14875049583498612</v>
      </c>
      <c r="L192" s="27">
        <v>1.4974216580721937</v>
      </c>
      <c r="M192" s="27">
        <v>3.9865132883776275</v>
      </c>
      <c r="N192" s="27">
        <v>8.5521618405394698E-2</v>
      </c>
      <c r="O192" s="27" t="s">
        <v>45</v>
      </c>
      <c r="P192" s="27">
        <v>0.1388337961126537</v>
      </c>
      <c r="Q192" s="27">
        <v>9.750099166997225E-3</v>
      </c>
      <c r="R192" s="27">
        <v>34.014280047600167</v>
      </c>
      <c r="S192" s="27" t="s">
        <v>45</v>
      </c>
      <c r="T192" s="30" t="s">
        <v>45</v>
      </c>
      <c r="U192" s="27">
        <v>8.9250297500991671E-2</v>
      </c>
      <c r="V192" s="27">
        <v>9.9166997223324085E-3</v>
      </c>
      <c r="W192" s="30">
        <v>9.728282427608093E-4</v>
      </c>
      <c r="X192" s="27">
        <v>1.5172550575168584</v>
      </c>
      <c r="Y192" s="27" t="s">
        <v>45</v>
      </c>
      <c r="Z192" s="27" t="s">
        <v>45</v>
      </c>
      <c r="AA192" s="27">
        <v>15.866719555731853</v>
      </c>
      <c r="AB192" s="29">
        <v>4.8611662038873463E-3</v>
      </c>
      <c r="AC192" s="27">
        <v>2.8857596191987307</v>
      </c>
      <c r="AD192" s="27">
        <v>0.19833399444664818</v>
      </c>
      <c r="AE192" s="27" t="s">
        <v>45</v>
      </c>
      <c r="AF192" s="27" t="s">
        <v>45</v>
      </c>
      <c r="AG192" s="27">
        <v>6.1582705275684253</v>
      </c>
    </row>
    <row r="193" spans="1:33" x14ac:dyDescent="0.2">
      <c r="A193" s="1">
        <v>178</v>
      </c>
      <c r="B193" s="25" t="s">
        <v>226</v>
      </c>
      <c r="C193" s="26">
        <v>4.5122887864823351</v>
      </c>
      <c r="D193" s="27">
        <v>6.7204301075268799E-2</v>
      </c>
      <c r="E193" s="27" t="s">
        <v>45</v>
      </c>
      <c r="F193" s="27" t="s">
        <v>45</v>
      </c>
      <c r="G193" s="27" t="s">
        <v>45</v>
      </c>
      <c r="H193" s="26">
        <v>0.32114055299539168</v>
      </c>
      <c r="I193" s="26">
        <v>9.6006144393241163E-2</v>
      </c>
      <c r="J193" s="27" t="s">
        <v>45</v>
      </c>
      <c r="K193" s="27" t="s">
        <v>45</v>
      </c>
      <c r="L193" s="27">
        <v>1.2864823348694316</v>
      </c>
      <c r="M193" s="27">
        <v>10.781490015360983</v>
      </c>
      <c r="N193" s="27">
        <v>9.8790322580645143E-2</v>
      </c>
      <c r="O193" s="27" t="s">
        <v>45</v>
      </c>
      <c r="P193" s="27">
        <v>0.18241167434715821</v>
      </c>
      <c r="Q193" s="27">
        <v>5.9408602150537629E-2</v>
      </c>
      <c r="R193" s="27">
        <v>75.134408602150529</v>
      </c>
      <c r="S193" s="27" t="s">
        <v>45</v>
      </c>
      <c r="T193" s="30" t="s">
        <v>45</v>
      </c>
      <c r="U193" s="27">
        <v>0.51843317972350234</v>
      </c>
      <c r="V193" s="27">
        <v>0.11520737327188939</v>
      </c>
      <c r="W193" s="30">
        <v>9.1983486943164345E-3</v>
      </c>
      <c r="X193" s="27">
        <v>2.7265745007680491</v>
      </c>
      <c r="Y193" s="27" t="s">
        <v>45</v>
      </c>
      <c r="Z193" s="27" t="s">
        <v>45</v>
      </c>
      <c r="AA193" s="27">
        <v>25.297619047619047</v>
      </c>
      <c r="AB193" s="29">
        <v>1.2615207373271889E-2</v>
      </c>
      <c r="AC193" s="27">
        <v>17.108294930875577</v>
      </c>
      <c r="AD193" s="27">
        <v>2.419354838709677</v>
      </c>
      <c r="AE193" s="27">
        <v>0.71044546850998458</v>
      </c>
      <c r="AF193" s="27" t="s">
        <v>45</v>
      </c>
      <c r="AG193" s="27">
        <v>3.3794162826420888</v>
      </c>
    </row>
    <row r="194" spans="1:33" x14ac:dyDescent="0.2">
      <c r="A194" s="1">
        <v>179</v>
      </c>
      <c r="B194" s="25" t="s">
        <v>227</v>
      </c>
      <c r="C194" s="26">
        <v>29.304834198961245</v>
      </c>
      <c r="D194" s="27">
        <v>5.9928086296444256E-2</v>
      </c>
      <c r="E194" s="27" t="s">
        <v>45</v>
      </c>
      <c r="F194" s="27" t="s">
        <v>45</v>
      </c>
      <c r="G194" s="27" t="s">
        <v>45</v>
      </c>
      <c r="H194" s="26">
        <v>0.12135437475029964</v>
      </c>
      <c r="I194" s="26">
        <v>0.21973631642029562</v>
      </c>
      <c r="J194" s="27" t="s">
        <v>45</v>
      </c>
      <c r="K194" s="27">
        <v>0.18977227327207349</v>
      </c>
      <c r="L194" s="27">
        <v>2.9864163004394721</v>
      </c>
      <c r="M194" s="27">
        <v>16.510187774670396</v>
      </c>
      <c r="N194" s="27">
        <v>2.4151018777467042E-2</v>
      </c>
      <c r="O194" s="27" t="s">
        <v>45</v>
      </c>
      <c r="P194" s="27">
        <v>0.18977227327207349</v>
      </c>
      <c r="Q194" s="27">
        <v>2.4980023971234517E-2</v>
      </c>
      <c r="R194" s="27">
        <v>42.548941270475424</v>
      </c>
      <c r="S194" s="27" t="s">
        <v>45</v>
      </c>
      <c r="T194" s="30">
        <v>7.8705553335996789E-4</v>
      </c>
      <c r="U194" s="27">
        <v>0.60926887734718327</v>
      </c>
      <c r="V194" s="27">
        <v>0.74910107870555331</v>
      </c>
      <c r="W194" s="30">
        <v>4.4756292449061119E-3</v>
      </c>
      <c r="X194" s="27">
        <v>0.69916100679184978</v>
      </c>
      <c r="Y194" s="27" t="s">
        <v>45</v>
      </c>
      <c r="Z194" s="27" t="s">
        <v>45</v>
      </c>
      <c r="AA194" s="27">
        <v>25.049940071913703</v>
      </c>
      <c r="AB194" s="29">
        <v>1.0647223332001599E-2</v>
      </c>
      <c r="AC194" s="27">
        <v>5.6232520974830198</v>
      </c>
      <c r="AD194" s="27">
        <v>0.75908909308829398</v>
      </c>
      <c r="AE194" s="27" t="s">
        <v>45</v>
      </c>
      <c r="AF194" s="27" t="s">
        <v>45</v>
      </c>
      <c r="AG194" s="27">
        <v>12.155413503795444</v>
      </c>
    </row>
    <row r="195" spans="1:33" x14ac:dyDescent="0.2">
      <c r="A195" s="1">
        <v>180</v>
      </c>
      <c r="B195" s="25" t="s">
        <v>228</v>
      </c>
      <c r="C195" s="26">
        <v>38.78250591016549</v>
      </c>
      <c r="D195" s="27">
        <v>0.1182033096926714</v>
      </c>
      <c r="E195" s="27" t="s">
        <v>45</v>
      </c>
      <c r="F195" s="27" t="s">
        <v>45</v>
      </c>
      <c r="G195" s="27" t="s">
        <v>45</v>
      </c>
      <c r="H195" s="26">
        <v>0.15401891252955083</v>
      </c>
      <c r="I195" s="26">
        <v>0.36643026004728135</v>
      </c>
      <c r="J195" s="27" t="s">
        <v>45</v>
      </c>
      <c r="K195" s="27">
        <v>0.1182033096926714</v>
      </c>
      <c r="L195" s="27">
        <v>2.2695035460992909</v>
      </c>
      <c r="M195" s="27">
        <v>18.51063829787234</v>
      </c>
      <c r="N195" s="27">
        <v>8.6182033096926722E-2</v>
      </c>
      <c r="O195" s="27" t="s">
        <v>45</v>
      </c>
      <c r="P195" s="27">
        <v>0.18912529550827425</v>
      </c>
      <c r="Q195" s="27">
        <v>2.7742316784869978E-2</v>
      </c>
      <c r="R195" s="27">
        <v>72.080378250591025</v>
      </c>
      <c r="S195" s="27" t="s">
        <v>45</v>
      </c>
      <c r="T195" s="30">
        <v>1.9267139479905434E-4</v>
      </c>
      <c r="U195" s="27">
        <v>2.3640661938534282E-2</v>
      </c>
      <c r="V195" s="27">
        <v>0.36643026004728135</v>
      </c>
      <c r="W195" s="30">
        <v>4.3676122931442084E-3</v>
      </c>
      <c r="X195" s="27">
        <v>2.0330969267139478</v>
      </c>
      <c r="Y195" s="27" t="s">
        <v>45</v>
      </c>
      <c r="Z195" s="27" t="s">
        <v>45</v>
      </c>
      <c r="AA195" s="27">
        <v>52.789598108747043</v>
      </c>
      <c r="AB195" s="29">
        <v>1.0630023640661937E-2</v>
      </c>
      <c r="AC195" s="27">
        <v>8.5106382978723403</v>
      </c>
      <c r="AD195" s="27">
        <v>1.7139479905437356</v>
      </c>
      <c r="AE195" s="27" t="s">
        <v>45</v>
      </c>
      <c r="AF195" s="27" t="s">
        <v>45</v>
      </c>
      <c r="AG195" s="27">
        <v>5.1891252955082754</v>
      </c>
    </row>
    <row r="196" spans="1:33" x14ac:dyDescent="0.2">
      <c r="A196" s="1">
        <v>181</v>
      </c>
      <c r="B196" s="25" t="s">
        <v>229</v>
      </c>
      <c r="C196" s="26">
        <v>10.842041800643086</v>
      </c>
      <c r="D196" s="27">
        <v>3.0144694533762059E-2</v>
      </c>
      <c r="E196" s="27" t="s">
        <v>45</v>
      </c>
      <c r="F196" s="27" t="s">
        <v>45</v>
      </c>
      <c r="G196" s="27" t="s">
        <v>45</v>
      </c>
      <c r="H196" s="26">
        <v>0.26647909967845657</v>
      </c>
      <c r="I196" s="26">
        <v>9.0434083601286172E-2</v>
      </c>
      <c r="J196" s="27">
        <v>3.0144694533762059E-2</v>
      </c>
      <c r="K196" s="27">
        <v>0.2009646302250804</v>
      </c>
      <c r="L196" s="27">
        <v>1.9091639871382635</v>
      </c>
      <c r="M196" s="27">
        <v>7.7773311897106101</v>
      </c>
      <c r="N196" s="27">
        <v>8.8434485530546628E-2</v>
      </c>
      <c r="O196" s="27" t="s">
        <v>45</v>
      </c>
      <c r="P196" s="27">
        <v>0.30144694533762056</v>
      </c>
      <c r="Q196" s="27">
        <v>2.0478295819935689E-2</v>
      </c>
      <c r="R196" s="27">
        <v>71.995578778135055</v>
      </c>
      <c r="S196" s="27" t="s">
        <v>45</v>
      </c>
      <c r="T196" s="30" t="s">
        <v>45</v>
      </c>
      <c r="U196" s="27">
        <v>0.74356913183279749</v>
      </c>
      <c r="V196" s="27">
        <v>1.1555466237942122</v>
      </c>
      <c r="W196" s="30">
        <v>1.434887459807074E-2</v>
      </c>
      <c r="X196" s="27">
        <v>2.3311897106109325</v>
      </c>
      <c r="Y196" s="27" t="s">
        <v>45</v>
      </c>
      <c r="Z196" s="27" t="s">
        <v>45</v>
      </c>
      <c r="AA196" s="27">
        <v>333.8022508038585</v>
      </c>
      <c r="AB196" s="29">
        <v>1.8137057877813504E-2</v>
      </c>
      <c r="AC196" s="27">
        <v>16.680064308681676</v>
      </c>
      <c r="AD196" s="27">
        <v>0.40192926045016081</v>
      </c>
      <c r="AE196" s="27" t="s">
        <v>45</v>
      </c>
      <c r="AF196" s="27" t="s">
        <v>45</v>
      </c>
      <c r="AG196" s="27">
        <v>8.2495980707395518</v>
      </c>
    </row>
    <row r="197" spans="1:33" x14ac:dyDescent="0.2">
      <c r="A197" s="1">
        <v>182</v>
      </c>
      <c r="B197" s="25" t="s">
        <v>230</v>
      </c>
      <c r="C197" s="26">
        <v>6.4008042895442356</v>
      </c>
      <c r="D197" s="27">
        <v>8.3780160857908851E-3</v>
      </c>
      <c r="E197" s="27" t="s">
        <v>45</v>
      </c>
      <c r="F197" s="27" t="s">
        <v>45</v>
      </c>
      <c r="G197" s="27" t="s">
        <v>45</v>
      </c>
      <c r="H197" s="26">
        <v>0.20350201072386059</v>
      </c>
      <c r="I197" s="26">
        <v>0.12567024128686327</v>
      </c>
      <c r="J197" s="27">
        <v>3.351206434316354E-2</v>
      </c>
      <c r="K197" s="27">
        <v>0.10053619302949061</v>
      </c>
      <c r="L197" s="27">
        <v>0.98022788203753342</v>
      </c>
      <c r="M197" s="27">
        <v>40.21447721179625</v>
      </c>
      <c r="N197" s="27">
        <v>5.8796916890080438E-2</v>
      </c>
      <c r="O197" s="27" t="s">
        <v>45</v>
      </c>
      <c r="P197" s="27">
        <v>0.19269436997319034</v>
      </c>
      <c r="Q197" s="27">
        <v>4.6020442359249333E-2</v>
      </c>
      <c r="R197" s="27">
        <v>113.94101876675603</v>
      </c>
      <c r="S197" s="27" t="s">
        <v>45</v>
      </c>
      <c r="T197" s="30" t="s">
        <v>45</v>
      </c>
      <c r="U197" s="27">
        <v>6.7024128686327081E-2</v>
      </c>
      <c r="V197" s="27">
        <v>0.27647453083109919</v>
      </c>
      <c r="W197" s="30">
        <v>2.0040214477211795E-3</v>
      </c>
      <c r="X197" s="27">
        <v>0.9048257372654156</v>
      </c>
      <c r="Y197" s="27" t="s">
        <v>45</v>
      </c>
      <c r="Z197" s="27" t="s">
        <v>45</v>
      </c>
      <c r="AA197" s="27">
        <v>10.388739946380698</v>
      </c>
      <c r="AB197" s="29">
        <v>7.5812667560321715E-3</v>
      </c>
      <c r="AC197" s="27">
        <v>9.0817694369973196</v>
      </c>
      <c r="AD197" s="27">
        <v>0.37701072386058976</v>
      </c>
      <c r="AE197" s="27">
        <v>8.3780160857908851E-3</v>
      </c>
      <c r="AF197" s="27" t="s">
        <v>45</v>
      </c>
      <c r="AG197" s="27">
        <v>6.9286193029490617</v>
      </c>
    </row>
    <row r="198" spans="1:33" x14ac:dyDescent="0.2">
      <c r="A198" s="1">
        <v>183</v>
      </c>
      <c r="B198" s="25" t="s">
        <v>231</v>
      </c>
      <c r="C198" s="26">
        <v>8.9173844949099443</v>
      </c>
      <c r="D198" s="27">
        <v>2.9365700861393888E-2</v>
      </c>
      <c r="E198" s="27" t="s">
        <v>45</v>
      </c>
      <c r="F198" s="27" t="s">
        <v>45</v>
      </c>
      <c r="G198" s="27" t="s">
        <v>45</v>
      </c>
      <c r="H198" s="26">
        <v>7.5274079874706343E-2</v>
      </c>
      <c r="I198" s="26">
        <v>6.8519968676585732E-2</v>
      </c>
      <c r="J198" s="27" t="s">
        <v>45</v>
      </c>
      <c r="K198" s="27">
        <v>0.1566170712607674</v>
      </c>
      <c r="L198" s="27">
        <v>1.9283476898981988</v>
      </c>
      <c r="M198" s="27">
        <v>6.4996084573218473</v>
      </c>
      <c r="N198" s="27">
        <v>7.1789350039154265E-2</v>
      </c>
      <c r="O198" s="27" t="s">
        <v>45</v>
      </c>
      <c r="P198" s="27">
        <v>0.19577133907595928</v>
      </c>
      <c r="Q198" s="27">
        <v>1.364526233359436E-2</v>
      </c>
      <c r="R198" s="27">
        <v>29.3167580266249</v>
      </c>
      <c r="S198" s="27" t="s">
        <v>45</v>
      </c>
      <c r="T198" s="30">
        <v>3.9937353171495696E-4</v>
      </c>
      <c r="U198" s="27">
        <v>0.21534847298355519</v>
      </c>
      <c r="V198" s="27">
        <v>0.11746280344557555</v>
      </c>
      <c r="W198" s="30">
        <v>3.7304228660924041E-3</v>
      </c>
      <c r="X198" s="27">
        <v>2.6624902114330458</v>
      </c>
      <c r="Y198" s="27" t="s">
        <v>45</v>
      </c>
      <c r="Z198" s="27" t="s">
        <v>45</v>
      </c>
      <c r="AA198" s="27">
        <v>9.7102584181675802</v>
      </c>
      <c r="AB198" s="29">
        <v>7.0301487862176977E-3</v>
      </c>
      <c r="AC198" s="27">
        <v>4.7768206734534058</v>
      </c>
      <c r="AD198" s="27">
        <v>0.43069694596711039</v>
      </c>
      <c r="AE198" s="27" t="s">
        <v>45</v>
      </c>
      <c r="AF198" s="27" t="s">
        <v>45</v>
      </c>
      <c r="AG198" s="27">
        <v>5.8731401722787782</v>
      </c>
    </row>
    <row r="199" spans="1:33" x14ac:dyDescent="0.2">
      <c r="A199" s="1">
        <v>184</v>
      </c>
      <c r="B199" s="25" t="s">
        <v>232</v>
      </c>
      <c r="C199" s="26">
        <v>9.9253055681303746</v>
      </c>
      <c r="D199" s="27">
        <v>3.3952014486192846E-2</v>
      </c>
      <c r="E199" s="27" t="s">
        <v>45</v>
      </c>
      <c r="F199" s="27" t="s">
        <v>45</v>
      </c>
      <c r="G199" s="27" t="s">
        <v>45</v>
      </c>
      <c r="H199" s="26">
        <v>5.3689452240832949E-2</v>
      </c>
      <c r="I199" s="26">
        <v>6.7904028972385691E-2</v>
      </c>
      <c r="J199" s="27">
        <v>2.2634676324128564E-2</v>
      </c>
      <c r="K199" s="27" t="s">
        <v>45</v>
      </c>
      <c r="L199" s="27">
        <v>0.75826165685830693</v>
      </c>
      <c r="M199" s="27">
        <v>15.855590765052058</v>
      </c>
      <c r="N199" s="27">
        <v>8.2401539157990034E-2</v>
      </c>
      <c r="O199" s="27" t="s">
        <v>45</v>
      </c>
      <c r="P199" s="27" t="s">
        <v>45</v>
      </c>
      <c r="Q199" s="27">
        <v>1.1588954277953825E-2</v>
      </c>
      <c r="R199" s="27">
        <v>22.521502942507922</v>
      </c>
      <c r="S199" s="27" t="s">
        <v>45</v>
      </c>
      <c r="T199" s="30" t="s">
        <v>45</v>
      </c>
      <c r="U199" s="27" t="s">
        <v>45</v>
      </c>
      <c r="V199" s="27">
        <v>0.21502942507922135</v>
      </c>
      <c r="W199" s="30">
        <v>1.7055228610230874E-3</v>
      </c>
      <c r="X199" s="27">
        <v>1.6862833861475779</v>
      </c>
      <c r="Y199" s="27" t="s">
        <v>45</v>
      </c>
      <c r="Z199" s="27" t="s">
        <v>45</v>
      </c>
      <c r="AA199" s="27">
        <v>201.10909913988226</v>
      </c>
      <c r="AB199" s="29">
        <v>4.1070620190131286E-3</v>
      </c>
      <c r="AC199" s="27">
        <v>3.1462200090538701</v>
      </c>
      <c r="AD199" s="27">
        <v>3.4631054775916703</v>
      </c>
      <c r="AE199" s="27" t="s">
        <v>45</v>
      </c>
      <c r="AF199" s="27" t="s">
        <v>45</v>
      </c>
      <c r="AG199" s="27">
        <v>2.6029877772747847</v>
      </c>
    </row>
    <row r="200" spans="1:33" x14ac:dyDescent="0.2">
      <c r="A200" s="1">
        <v>185</v>
      </c>
      <c r="B200" s="25" t="s">
        <v>233</v>
      </c>
      <c r="C200" s="26">
        <v>3.4261715296198054</v>
      </c>
      <c r="D200" s="27">
        <v>0.1326259946949602</v>
      </c>
      <c r="E200" s="27" t="s">
        <v>45</v>
      </c>
      <c r="F200" s="27" t="s">
        <v>45</v>
      </c>
      <c r="G200" s="27" t="s">
        <v>45</v>
      </c>
      <c r="H200" s="26">
        <v>0.11648983200707337</v>
      </c>
      <c r="I200" s="26">
        <v>8.8417329796640132E-2</v>
      </c>
      <c r="J200" s="27">
        <v>1.1052166224580016E-2</v>
      </c>
      <c r="K200" s="27" t="s">
        <v>45</v>
      </c>
      <c r="L200" s="27">
        <v>1.2709991158267018</v>
      </c>
      <c r="M200" s="27">
        <v>3.4261715296198054</v>
      </c>
      <c r="N200" s="27">
        <v>6.7716622458001766E-2</v>
      </c>
      <c r="O200" s="27" t="s">
        <v>45</v>
      </c>
      <c r="P200" s="27">
        <v>0.22104332449160036</v>
      </c>
      <c r="Q200" s="27">
        <v>2.7276746242263481E-2</v>
      </c>
      <c r="R200" s="27">
        <v>78.337754199823152</v>
      </c>
      <c r="S200" s="27" t="s">
        <v>45</v>
      </c>
      <c r="T200" s="30" t="s">
        <v>45</v>
      </c>
      <c r="U200" s="27">
        <v>0.92838196286472141</v>
      </c>
      <c r="V200" s="27">
        <v>0.18788682581786029</v>
      </c>
      <c r="W200" s="30">
        <v>6.247789566755084E-3</v>
      </c>
      <c r="X200" s="27">
        <v>2.4425287356321839</v>
      </c>
      <c r="Y200" s="27" t="s">
        <v>45</v>
      </c>
      <c r="Z200" s="27" t="s">
        <v>45</v>
      </c>
      <c r="AA200" s="27">
        <v>27.564102564102566</v>
      </c>
      <c r="AB200" s="29">
        <v>8.288019451812555E-3</v>
      </c>
      <c r="AC200" s="27">
        <v>8.1675508399646315</v>
      </c>
      <c r="AD200" s="27">
        <v>0.27630415561450045</v>
      </c>
      <c r="AE200" s="27" t="s">
        <v>45</v>
      </c>
      <c r="AF200" s="27" t="s">
        <v>45</v>
      </c>
      <c r="AG200" s="27">
        <v>2.8293545534924842</v>
      </c>
    </row>
    <row r="201" spans="1:33" x14ac:dyDescent="0.2">
      <c r="A201" s="1">
        <v>186</v>
      </c>
      <c r="B201" s="25" t="s">
        <v>234</v>
      </c>
      <c r="C201" s="26">
        <v>15.791238265534197</v>
      </c>
      <c r="D201" s="27" t="s">
        <v>45</v>
      </c>
      <c r="E201" s="27" t="s">
        <v>45</v>
      </c>
      <c r="F201" s="27" t="s">
        <v>45</v>
      </c>
      <c r="G201" s="27" t="s">
        <v>45</v>
      </c>
      <c r="H201" s="26">
        <v>0.20976754582029503</v>
      </c>
      <c r="I201" s="26">
        <v>0.49172999552972729</v>
      </c>
      <c r="J201" s="27">
        <v>1.1175681716584712E-2</v>
      </c>
      <c r="K201" s="27">
        <v>0.14528386231560125</v>
      </c>
      <c r="L201" s="27">
        <v>3.0062583817612873</v>
      </c>
      <c r="M201" s="27">
        <v>6.6495306213679024</v>
      </c>
      <c r="N201" s="27">
        <v>4.7641931157800625E-2</v>
      </c>
      <c r="O201" s="27" t="s">
        <v>45</v>
      </c>
      <c r="P201" s="27">
        <v>0.22351363433169424</v>
      </c>
      <c r="Q201" s="27">
        <v>4.7060795708538224E-2</v>
      </c>
      <c r="R201" s="27">
        <v>166.07063030844881</v>
      </c>
      <c r="S201" s="27" t="s">
        <v>45</v>
      </c>
      <c r="T201" s="30">
        <v>1.9222172552525703E-3</v>
      </c>
      <c r="U201" s="27">
        <v>0.24586499776486365</v>
      </c>
      <c r="V201" s="27">
        <v>0.86052749217702273</v>
      </c>
      <c r="W201" s="30">
        <v>3.892489941886455E-3</v>
      </c>
      <c r="X201" s="27">
        <v>1.240500670540903</v>
      </c>
      <c r="Y201" s="27" t="s">
        <v>45</v>
      </c>
      <c r="Z201" s="27" t="s">
        <v>45</v>
      </c>
      <c r="AA201" s="27">
        <v>11.198033080017881</v>
      </c>
      <c r="AB201" s="29">
        <v>1.7568171658471167E-2</v>
      </c>
      <c r="AC201" s="27">
        <v>11.343316942333482</v>
      </c>
      <c r="AD201" s="27">
        <v>0.42467590523021903</v>
      </c>
      <c r="AE201" s="27" t="s">
        <v>45</v>
      </c>
      <c r="AF201" s="27" t="s">
        <v>45</v>
      </c>
      <c r="AG201" s="27">
        <v>16.025927581582476</v>
      </c>
    </row>
    <row r="202" spans="1:33" x14ac:dyDescent="0.2">
      <c r="A202" s="1">
        <v>187</v>
      </c>
      <c r="B202" s="25" t="s">
        <v>235</v>
      </c>
      <c r="C202" s="26">
        <v>12.301777991350312</v>
      </c>
      <c r="D202" s="27">
        <v>2.4026910139356077E-2</v>
      </c>
      <c r="E202" s="27" t="s">
        <v>45</v>
      </c>
      <c r="F202" s="27" t="s">
        <v>45</v>
      </c>
      <c r="G202" s="27" t="s">
        <v>45</v>
      </c>
      <c r="H202" s="26">
        <v>0.12181643440653532</v>
      </c>
      <c r="I202" s="26">
        <v>0.10812109562710234</v>
      </c>
      <c r="J202" s="27">
        <v>7.2080730418068228E-2</v>
      </c>
      <c r="K202" s="27">
        <v>0.54060547813551174</v>
      </c>
      <c r="L202" s="27">
        <v>1.237385872176838</v>
      </c>
      <c r="M202" s="27">
        <v>41.830850552618934</v>
      </c>
      <c r="N202" s="27">
        <v>0.19882268140317155</v>
      </c>
      <c r="O202" s="27" t="s">
        <v>45</v>
      </c>
      <c r="P202" s="27">
        <v>0.34839019702066309</v>
      </c>
      <c r="Q202" s="27">
        <v>5.0792888034598749E-2</v>
      </c>
      <c r="R202" s="27">
        <v>45.242671792407492</v>
      </c>
      <c r="S202" s="27" t="s">
        <v>45</v>
      </c>
      <c r="T202" s="30">
        <v>1.1256607400288324E-3</v>
      </c>
      <c r="U202" s="27">
        <v>1.5977895242671789</v>
      </c>
      <c r="V202" s="27">
        <v>0.18020182604517057</v>
      </c>
      <c r="W202" s="30">
        <v>5.2366650648726573E-3</v>
      </c>
      <c r="X202" s="27">
        <v>7.0158577606919748</v>
      </c>
      <c r="Y202" s="27" t="s">
        <v>45</v>
      </c>
      <c r="Z202" s="27" t="s">
        <v>45</v>
      </c>
      <c r="AA202" s="27">
        <v>47.933685728015384</v>
      </c>
      <c r="AB202" s="29">
        <v>1.1841662662181644E-2</v>
      </c>
      <c r="AC202" s="27">
        <v>8.3974050937049487</v>
      </c>
      <c r="AD202" s="27">
        <v>5.3459875060067272</v>
      </c>
      <c r="AE202" s="27" t="s">
        <v>45</v>
      </c>
      <c r="AF202" s="27" t="s">
        <v>45</v>
      </c>
      <c r="AG202" s="27">
        <v>4.649207111965401</v>
      </c>
    </row>
    <row r="203" spans="1:33" x14ac:dyDescent="0.2">
      <c r="A203" s="1">
        <v>188</v>
      </c>
      <c r="B203" s="25" t="s">
        <v>236</v>
      </c>
      <c r="C203" s="26">
        <v>1.6560353287536802</v>
      </c>
      <c r="D203" s="27">
        <v>1.2266928361138371E-2</v>
      </c>
      <c r="E203" s="27" t="s">
        <v>45</v>
      </c>
      <c r="F203" s="27" t="s">
        <v>45</v>
      </c>
      <c r="G203" s="27" t="s">
        <v>45</v>
      </c>
      <c r="H203" s="26">
        <v>8.8591756624141316E-2</v>
      </c>
      <c r="I203" s="26">
        <v>6.1334641805691856E-2</v>
      </c>
      <c r="J203" s="27">
        <v>3.6800785083415097E-2</v>
      </c>
      <c r="K203" s="27">
        <v>2.7968596663395489</v>
      </c>
      <c r="L203" s="27">
        <v>1.0426889106967616</v>
      </c>
      <c r="M203" s="27">
        <v>3.7291462217860647</v>
      </c>
      <c r="N203" s="27">
        <v>7.6840039254170753E-2</v>
      </c>
      <c r="O203" s="27" t="s">
        <v>45</v>
      </c>
      <c r="P203" s="27">
        <v>0.14720314033366044</v>
      </c>
      <c r="Q203" s="27">
        <v>4.029685966633955E-2</v>
      </c>
      <c r="R203" s="27">
        <v>63.272816486751722</v>
      </c>
      <c r="S203" s="27" t="s">
        <v>45</v>
      </c>
      <c r="T203" s="30" t="s">
        <v>45</v>
      </c>
      <c r="U203" s="27">
        <v>1.5701668302257115</v>
      </c>
      <c r="V203" s="27">
        <v>0.18400392541707555</v>
      </c>
      <c r="W203" s="30">
        <v>3.9928851815505401E-3</v>
      </c>
      <c r="X203" s="27">
        <v>1.8155053974484787</v>
      </c>
      <c r="Y203" s="27" t="s">
        <v>45</v>
      </c>
      <c r="Z203" s="27" t="s">
        <v>45</v>
      </c>
      <c r="AA203" s="27">
        <v>27.060843964671243</v>
      </c>
      <c r="AB203" s="29">
        <v>9.0505397448478898E-3</v>
      </c>
      <c r="AC203" s="27">
        <v>7.8017664376840044</v>
      </c>
      <c r="AD203" s="27">
        <v>0.29440628066732089</v>
      </c>
      <c r="AE203" s="27" t="s">
        <v>45</v>
      </c>
      <c r="AF203" s="27" t="s">
        <v>45</v>
      </c>
      <c r="AG203" s="27">
        <v>2.5515210991167812</v>
      </c>
    </row>
    <row r="204" spans="1:33" x14ac:dyDescent="0.2">
      <c r="A204" s="1">
        <v>189</v>
      </c>
      <c r="B204" s="25" t="s">
        <v>237</v>
      </c>
      <c r="C204" s="26">
        <v>12.185495806610755</v>
      </c>
      <c r="D204" s="27">
        <v>0.16033547113961522</v>
      </c>
      <c r="E204" s="27" t="s">
        <v>45</v>
      </c>
      <c r="F204" s="27" t="s">
        <v>45</v>
      </c>
      <c r="G204" s="27" t="s">
        <v>45</v>
      </c>
      <c r="H204" s="26">
        <v>7.5037000493339917E-2</v>
      </c>
      <c r="I204" s="26">
        <v>9.8667982239763197E-2</v>
      </c>
      <c r="J204" s="27" t="s">
        <v>45</v>
      </c>
      <c r="K204" s="27">
        <v>0.56734089787863839</v>
      </c>
      <c r="L204" s="27">
        <v>2.0596941292550568</v>
      </c>
      <c r="M204" s="27">
        <v>11.544153922052294</v>
      </c>
      <c r="N204" s="27">
        <v>4.1243216576221015E-2</v>
      </c>
      <c r="O204" s="27" t="s">
        <v>45</v>
      </c>
      <c r="P204" s="27">
        <v>0.16033547113961522</v>
      </c>
      <c r="Q204" s="27">
        <v>1.2506166748889986E-2</v>
      </c>
      <c r="R204" s="27">
        <v>36.827824370991614</v>
      </c>
      <c r="S204" s="27" t="s">
        <v>45</v>
      </c>
      <c r="T204" s="30" t="s">
        <v>45</v>
      </c>
      <c r="U204" s="27">
        <v>0.2713369511593488</v>
      </c>
      <c r="V204" s="27">
        <v>0.1110014800197336</v>
      </c>
      <c r="W204" s="30">
        <v>7.0189935865811555E-3</v>
      </c>
      <c r="X204" s="27">
        <v>0.77701036013813518</v>
      </c>
      <c r="Y204" s="27" t="s">
        <v>45</v>
      </c>
      <c r="Z204" s="27" t="s">
        <v>45</v>
      </c>
      <c r="AA204" s="27">
        <v>17.143561914158859</v>
      </c>
      <c r="AB204" s="29">
        <v>7.3396645288603844E-3</v>
      </c>
      <c r="AC204" s="27">
        <v>3.4657128761716827</v>
      </c>
      <c r="AD204" s="27">
        <v>0.34533793783917116</v>
      </c>
      <c r="AE204" s="27" t="s">
        <v>45</v>
      </c>
      <c r="AF204" s="27" t="s">
        <v>45</v>
      </c>
      <c r="AG204" s="27">
        <v>5.6610754810064146</v>
      </c>
    </row>
    <row r="205" spans="1:33" x14ac:dyDescent="0.2">
      <c r="A205" s="1">
        <v>190</v>
      </c>
      <c r="B205" s="25" t="s">
        <v>238</v>
      </c>
      <c r="C205" s="26">
        <v>15.861200183234084</v>
      </c>
      <c r="D205" s="27">
        <v>0.10306917086578103</v>
      </c>
      <c r="E205" s="27" t="s">
        <v>45</v>
      </c>
      <c r="F205" s="27" t="s">
        <v>45</v>
      </c>
      <c r="G205" s="27" t="s">
        <v>45</v>
      </c>
      <c r="H205" s="26">
        <v>0.14028859367842419</v>
      </c>
      <c r="I205" s="26">
        <v>0.50389372423270729</v>
      </c>
      <c r="J205" s="27" t="s">
        <v>45</v>
      </c>
      <c r="K205" s="27">
        <v>0.12597343105817682</v>
      </c>
      <c r="L205" s="27">
        <v>2.1071919377004122</v>
      </c>
      <c r="M205" s="27">
        <v>12.081997251488776</v>
      </c>
      <c r="N205" s="27">
        <v>4.220109940448924E-2</v>
      </c>
      <c r="O205" s="27" t="s">
        <v>45</v>
      </c>
      <c r="P205" s="27">
        <v>0.22904260192395787</v>
      </c>
      <c r="Q205" s="27">
        <v>2.9122766834631244E-2</v>
      </c>
      <c r="R205" s="27">
        <v>54.12276683463125</v>
      </c>
      <c r="S205" s="27" t="s">
        <v>45</v>
      </c>
      <c r="T205" s="30" t="s">
        <v>45</v>
      </c>
      <c r="U205" s="27">
        <v>0.25194686211635364</v>
      </c>
      <c r="V205" s="27">
        <v>0.629867155290884</v>
      </c>
      <c r="W205" s="30">
        <v>1.701786532295007E-3</v>
      </c>
      <c r="X205" s="27">
        <v>1.0994044892349977</v>
      </c>
      <c r="Y205" s="27" t="s">
        <v>45</v>
      </c>
      <c r="Z205" s="27" t="s">
        <v>45</v>
      </c>
      <c r="AA205" s="27">
        <v>37.047640861200186</v>
      </c>
      <c r="AB205" s="29">
        <v>8.8879981676591863E-3</v>
      </c>
      <c r="AC205" s="27">
        <v>10.054970224461751</v>
      </c>
      <c r="AD205" s="27">
        <v>2.5538250114521301</v>
      </c>
      <c r="AE205" s="27" t="s">
        <v>45</v>
      </c>
      <c r="AF205" s="27" t="s">
        <v>45</v>
      </c>
      <c r="AG205" s="27">
        <v>9.058634906092534</v>
      </c>
    </row>
    <row r="206" spans="1:33" x14ac:dyDescent="0.2">
      <c r="A206" s="1">
        <v>191</v>
      </c>
      <c r="B206" s="25" t="s">
        <v>239</v>
      </c>
      <c r="C206" s="26">
        <v>10.916988416988417</v>
      </c>
      <c r="D206" s="27">
        <v>6.7567567567567557E-2</v>
      </c>
      <c r="E206" s="27" t="s">
        <v>45</v>
      </c>
      <c r="F206" s="27" t="s">
        <v>45</v>
      </c>
      <c r="G206" s="27" t="s">
        <v>45</v>
      </c>
      <c r="H206" s="26">
        <v>0.28223938223938222</v>
      </c>
      <c r="I206" s="26">
        <v>7.7220077220077218E-2</v>
      </c>
      <c r="J206" s="27" t="s">
        <v>45</v>
      </c>
      <c r="K206" s="27">
        <v>0.81081081081081074</v>
      </c>
      <c r="L206" s="27">
        <v>2.2393822393822393</v>
      </c>
      <c r="M206" s="27">
        <v>9.7393822393822393</v>
      </c>
      <c r="N206" s="27">
        <v>0.12905405405405404</v>
      </c>
      <c r="O206" s="27" t="s">
        <v>45</v>
      </c>
      <c r="P206" s="27">
        <v>0.13513513513513511</v>
      </c>
      <c r="Q206" s="27">
        <v>3.5617760617760619E-2</v>
      </c>
      <c r="R206" s="27">
        <v>88.320463320463318</v>
      </c>
      <c r="S206" s="27" t="s">
        <v>45</v>
      </c>
      <c r="T206" s="30" t="s">
        <v>45</v>
      </c>
      <c r="U206" s="27">
        <v>0.6853281853281854</v>
      </c>
      <c r="V206" s="27">
        <v>0.82046332046332049</v>
      </c>
      <c r="W206" s="30">
        <v>2.6052123552123552E-2</v>
      </c>
      <c r="X206" s="27">
        <v>4.1119691119691115</v>
      </c>
      <c r="Y206" s="27" t="s">
        <v>45</v>
      </c>
      <c r="Z206" s="27" t="s">
        <v>45</v>
      </c>
      <c r="AA206" s="27">
        <v>530.88803088803093</v>
      </c>
      <c r="AB206" s="29">
        <v>2.1534749034749032E-2</v>
      </c>
      <c r="AC206" s="27">
        <v>17.47104247104247</v>
      </c>
      <c r="AD206" s="27">
        <v>0.5501930501930502</v>
      </c>
      <c r="AE206" s="27" t="s">
        <v>45</v>
      </c>
      <c r="AF206" s="27" t="s">
        <v>45</v>
      </c>
      <c r="AG206" s="27">
        <v>4.9131274131274125</v>
      </c>
    </row>
    <row r="207" spans="1:33" x14ac:dyDescent="0.2">
      <c r="A207" s="1">
        <v>192</v>
      </c>
      <c r="B207" s="25" t="s">
        <v>240</v>
      </c>
      <c r="C207" s="26">
        <v>7.2092084006462045</v>
      </c>
      <c r="D207" s="27">
        <v>6.0581583198707593E-2</v>
      </c>
      <c r="E207" s="27" t="s">
        <v>45</v>
      </c>
      <c r="F207" s="27" t="s">
        <v>45</v>
      </c>
      <c r="G207" s="27" t="s">
        <v>45</v>
      </c>
      <c r="H207" s="26">
        <v>7.209208400646204E-2</v>
      </c>
      <c r="I207" s="26">
        <v>8.0775444264943458E-2</v>
      </c>
      <c r="J207" s="27">
        <v>3.0290791599353797E-2</v>
      </c>
      <c r="K207" s="27">
        <v>0.13126009693053314</v>
      </c>
      <c r="L207" s="27">
        <v>0.62600969305331178</v>
      </c>
      <c r="M207" s="27">
        <v>2.4232633279483036</v>
      </c>
      <c r="N207" s="27">
        <v>9.9273021001615516E-2</v>
      </c>
      <c r="O207" s="27" t="s">
        <v>45</v>
      </c>
      <c r="P207" s="27">
        <v>0.24232633279483037</v>
      </c>
      <c r="Q207" s="27">
        <v>1.8598546042003235E-2</v>
      </c>
      <c r="R207" s="27">
        <v>26.363085621970921</v>
      </c>
      <c r="S207" s="27" t="s">
        <v>45</v>
      </c>
      <c r="T207" s="30">
        <v>2.8978190630048466E-4</v>
      </c>
      <c r="U207" s="27" t="s">
        <v>45</v>
      </c>
      <c r="V207" s="27">
        <v>9.0872374798061387E-2</v>
      </c>
      <c r="W207" s="30">
        <v>1.0813812600969307E-3</v>
      </c>
      <c r="X207" s="27">
        <v>2.0294830371567043</v>
      </c>
      <c r="Y207" s="27" t="s">
        <v>45</v>
      </c>
      <c r="Z207" s="27" t="s">
        <v>45</v>
      </c>
      <c r="AA207" s="27">
        <v>14.246768982229403</v>
      </c>
      <c r="AB207" s="29">
        <v>4.6425686591276254E-3</v>
      </c>
      <c r="AC207" s="27">
        <v>4.5739095315024239</v>
      </c>
      <c r="AD207" s="27">
        <v>0.27261712439418417</v>
      </c>
      <c r="AE207" s="27" t="s">
        <v>45</v>
      </c>
      <c r="AF207" s="27" t="s">
        <v>45</v>
      </c>
      <c r="AG207" s="27">
        <v>3.3622778675282721</v>
      </c>
    </row>
    <row r="208" spans="1:33" x14ac:dyDescent="0.2">
      <c r="A208" s="1">
        <v>193</v>
      </c>
      <c r="B208" s="25" t="s">
        <v>241</v>
      </c>
      <c r="C208" s="26">
        <v>4.918032786885246</v>
      </c>
      <c r="D208" s="27" t="s">
        <v>45</v>
      </c>
      <c r="E208" s="27" t="s">
        <v>45</v>
      </c>
      <c r="F208" s="27" t="s">
        <v>45</v>
      </c>
      <c r="G208" s="27" t="s">
        <v>45</v>
      </c>
      <c r="H208" s="26">
        <v>6.8627049180327887E-2</v>
      </c>
      <c r="I208" s="26">
        <v>5.1229508196721313E-2</v>
      </c>
      <c r="J208" s="27">
        <v>5.1229508196721313E-2</v>
      </c>
      <c r="K208" s="27">
        <v>0.12295081967213115</v>
      </c>
      <c r="L208" s="27">
        <v>0.84016393442622961</v>
      </c>
      <c r="M208" s="27">
        <v>2.5512295081967213</v>
      </c>
      <c r="N208" s="27">
        <v>0.1598360655737705</v>
      </c>
      <c r="O208" s="27" t="s">
        <v>45</v>
      </c>
      <c r="P208" s="27">
        <v>3.0737704918032786E-2</v>
      </c>
      <c r="Q208" s="27">
        <v>1.8401639344262297E-2</v>
      </c>
      <c r="R208" s="27">
        <v>18.770491803278688</v>
      </c>
      <c r="S208" s="27" t="s">
        <v>45</v>
      </c>
      <c r="T208" s="30" t="s">
        <v>45</v>
      </c>
      <c r="U208" s="27" t="s">
        <v>45</v>
      </c>
      <c r="V208" s="27">
        <v>6.1475409836065573E-2</v>
      </c>
      <c r="W208" s="30">
        <v>1.4559426229508198E-3</v>
      </c>
      <c r="X208" s="27">
        <v>2.2745901639344264</v>
      </c>
      <c r="Y208" s="27" t="s">
        <v>45</v>
      </c>
      <c r="Z208" s="27" t="s">
        <v>45</v>
      </c>
      <c r="AA208" s="27">
        <v>6.8032786885245899</v>
      </c>
      <c r="AB208" s="29">
        <v>5.9047131147540993E-3</v>
      </c>
      <c r="AC208" s="27">
        <v>3.5348360655737707</v>
      </c>
      <c r="AD208" s="27">
        <v>0.36885245901639346</v>
      </c>
      <c r="AE208" s="27" t="s">
        <v>45</v>
      </c>
      <c r="AF208" s="27" t="s">
        <v>45</v>
      </c>
      <c r="AG208" s="27">
        <v>2.459016393442623</v>
      </c>
    </row>
    <row r="209" spans="1:33" x14ac:dyDescent="0.2">
      <c r="A209" s="1">
        <v>194</v>
      </c>
      <c r="B209" s="25" t="s">
        <v>242</v>
      </c>
      <c r="C209" s="26">
        <v>15.653465346534652</v>
      </c>
      <c r="D209" s="27" t="s">
        <v>45</v>
      </c>
      <c r="E209" s="27" t="s">
        <v>45</v>
      </c>
      <c r="F209" s="27" t="s">
        <v>45</v>
      </c>
      <c r="G209" s="27" t="s">
        <v>45</v>
      </c>
      <c r="H209" s="26">
        <v>9.115841584158417E-2</v>
      </c>
      <c r="I209" s="26">
        <v>0.14851485148514851</v>
      </c>
      <c r="J209" s="27" t="s">
        <v>45</v>
      </c>
      <c r="K209" s="27">
        <v>6.9306930693069299E-2</v>
      </c>
      <c r="L209" s="27">
        <v>2.0693069306930694</v>
      </c>
      <c r="M209" s="27">
        <v>7.564356435643564</v>
      </c>
      <c r="N209" s="27">
        <v>1.894059405940594E-2</v>
      </c>
      <c r="O209" s="27" t="s">
        <v>45</v>
      </c>
      <c r="P209" s="27">
        <v>0.18811881188118812</v>
      </c>
      <c r="Q209" s="27">
        <v>1.9702970297029703E-2</v>
      </c>
      <c r="R209" s="27">
        <v>34.663366336633665</v>
      </c>
      <c r="S209" s="27" t="s">
        <v>45</v>
      </c>
      <c r="T209" s="30">
        <v>9.1089108910891083E-5</v>
      </c>
      <c r="U209" s="27" t="s">
        <v>45</v>
      </c>
      <c r="V209" s="27">
        <v>0.31683168316831684</v>
      </c>
      <c r="W209" s="30">
        <v>3.5663366336633664E-3</v>
      </c>
      <c r="X209" s="27">
        <v>0.48514851485148514</v>
      </c>
      <c r="Y209" s="27" t="s">
        <v>45</v>
      </c>
      <c r="Z209" s="27" t="s">
        <v>45</v>
      </c>
      <c r="AA209" s="27">
        <v>23.881188118811881</v>
      </c>
      <c r="AB209" s="29">
        <v>7.1227722772277237E-3</v>
      </c>
      <c r="AC209" s="27">
        <v>4.5148514851485153</v>
      </c>
      <c r="AD209" s="27">
        <v>0.63366336633663367</v>
      </c>
      <c r="AE209" s="27" t="s">
        <v>45</v>
      </c>
      <c r="AF209" s="27" t="s">
        <v>45</v>
      </c>
      <c r="AG209" s="27">
        <v>8.2871287128712865</v>
      </c>
    </row>
    <row r="210" spans="1:33" x14ac:dyDescent="0.2">
      <c r="A210" s="1">
        <v>195</v>
      </c>
      <c r="B210" s="25" t="s">
        <v>243</v>
      </c>
      <c r="C210" s="26">
        <v>25.154185022026432</v>
      </c>
      <c r="D210" s="27">
        <v>1.1013215859030838E-2</v>
      </c>
      <c r="E210" s="27" t="s">
        <v>45</v>
      </c>
      <c r="F210" s="27" t="s">
        <v>45</v>
      </c>
      <c r="G210" s="27" t="s">
        <v>45</v>
      </c>
      <c r="H210" s="26">
        <v>0.28689427312775329</v>
      </c>
      <c r="I210" s="26">
        <v>0.66079295154185014</v>
      </c>
      <c r="J210" s="27" t="s">
        <v>45</v>
      </c>
      <c r="K210" s="27">
        <v>1.4977973568281937</v>
      </c>
      <c r="L210" s="27">
        <v>3.5352422907488981</v>
      </c>
      <c r="M210" s="27">
        <v>7.0814977973568274</v>
      </c>
      <c r="N210" s="27">
        <v>5.8248898678414096E-2</v>
      </c>
      <c r="O210" s="27" t="s">
        <v>45</v>
      </c>
      <c r="P210" s="27">
        <v>0.29735682819383263</v>
      </c>
      <c r="Q210" s="27">
        <v>6.3160792951541853E-2</v>
      </c>
      <c r="R210" s="27">
        <v>223.01762114537445</v>
      </c>
      <c r="S210" s="27" t="s">
        <v>45</v>
      </c>
      <c r="T210" s="30">
        <v>1.5671806167400883E-3</v>
      </c>
      <c r="U210" s="27">
        <v>0.25330396475770922</v>
      </c>
      <c r="V210" s="27">
        <v>0.88105726872246704</v>
      </c>
      <c r="W210" s="30">
        <v>3.9427312775330396E-3</v>
      </c>
      <c r="X210" s="27">
        <v>1.4317180616740088</v>
      </c>
      <c r="Y210" s="27" t="s">
        <v>45</v>
      </c>
      <c r="Z210" s="27" t="s">
        <v>45</v>
      </c>
      <c r="AA210" s="27">
        <v>25.2863436123348</v>
      </c>
      <c r="AB210" s="29">
        <v>2.4669603524229079E-2</v>
      </c>
      <c r="AC210" s="27">
        <v>14.306167400881055</v>
      </c>
      <c r="AD210" s="27">
        <v>0.74889867841409685</v>
      </c>
      <c r="AE210" s="27">
        <v>3.7555066079295152</v>
      </c>
      <c r="AF210" s="27" t="s">
        <v>45</v>
      </c>
      <c r="AG210" s="27">
        <v>21.453744493392069</v>
      </c>
    </row>
    <row r="211" spans="1:33" x14ac:dyDescent="0.2">
      <c r="A211" s="1">
        <v>196</v>
      </c>
      <c r="B211" s="25" t="s">
        <v>244</v>
      </c>
      <c r="C211" s="26">
        <v>5.1089588377723967</v>
      </c>
      <c r="D211" s="27" t="s">
        <v>45</v>
      </c>
      <c r="E211" s="27" t="s">
        <v>45</v>
      </c>
      <c r="F211" s="27" t="s">
        <v>45</v>
      </c>
      <c r="G211" s="27" t="s">
        <v>45</v>
      </c>
      <c r="H211" s="26">
        <v>5.0460048426150123E-2</v>
      </c>
      <c r="I211" s="26">
        <v>3.6319612590799029E-2</v>
      </c>
      <c r="J211" s="27">
        <v>2.4213075060532691E-2</v>
      </c>
      <c r="K211" s="27">
        <v>6.0532687651331726E-2</v>
      </c>
      <c r="L211" s="27">
        <v>0.89588377723970947</v>
      </c>
      <c r="M211" s="27">
        <v>3.5108958837772404</v>
      </c>
      <c r="N211" s="27">
        <v>0.12154963680387408</v>
      </c>
      <c r="O211" s="27" t="s">
        <v>45</v>
      </c>
      <c r="P211" s="27">
        <v>0.13317191283292978</v>
      </c>
      <c r="Q211" s="27">
        <v>1.1843825665859564E-2</v>
      </c>
      <c r="R211" s="27">
        <v>18.571428571428573</v>
      </c>
      <c r="S211" s="27" t="s">
        <v>45</v>
      </c>
      <c r="T211" s="30" t="s">
        <v>45</v>
      </c>
      <c r="U211" s="27">
        <v>0.66585956416464886</v>
      </c>
      <c r="V211" s="27">
        <v>0.12106537530266345</v>
      </c>
      <c r="W211" s="30">
        <v>7.7360774818401945E-4</v>
      </c>
      <c r="X211" s="27">
        <v>2.38498789346247</v>
      </c>
      <c r="Y211" s="27" t="s">
        <v>45</v>
      </c>
      <c r="Z211" s="27" t="s">
        <v>45</v>
      </c>
      <c r="AA211" s="27">
        <v>14.624697336561745</v>
      </c>
      <c r="AB211" s="29">
        <v>4.7893462469733661E-3</v>
      </c>
      <c r="AC211" s="27">
        <v>3.0629539951573848</v>
      </c>
      <c r="AD211" s="27">
        <v>0.78692493946731246</v>
      </c>
      <c r="AE211" s="27" t="s">
        <v>45</v>
      </c>
      <c r="AF211" s="27" t="s">
        <v>45</v>
      </c>
      <c r="AG211" s="27">
        <v>3.4261501210653758</v>
      </c>
    </row>
    <row r="212" spans="1:33" x14ac:dyDescent="0.2">
      <c r="A212" s="1">
        <v>197</v>
      </c>
      <c r="B212" s="25" t="s">
        <v>245</v>
      </c>
      <c r="C212" s="26">
        <v>134.26918131161591</v>
      </c>
      <c r="D212" s="27">
        <v>0.25717959708529786</v>
      </c>
      <c r="E212" s="27" t="s">
        <v>45</v>
      </c>
      <c r="F212" s="27" t="s">
        <v>45</v>
      </c>
      <c r="G212" s="27" t="s">
        <v>45</v>
      </c>
      <c r="H212" s="26">
        <v>0.16984569224174881</v>
      </c>
      <c r="I212" s="26">
        <v>0.4500642948992713</v>
      </c>
      <c r="J212" s="27">
        <v>6.4294899271324465E-2</v>
      </c>
      <c r="K212" s="27">
        <v>0.42863266180882986</v>
      </c>
      <c r="L212" s="27">
        <v>3.2790398628375481</v>
      </c>
      <c r="M212" s="27">
        <v>37.858979854264895</v>
      </c>
      <c r="N212" s="27">
        <v>0.16609515645092154</v>
      </c>
      <c r="O212" s="27" t="s">
        <v>45</v>
      </c>
      <c r="P212" s="27">
        <v>0.30004286326618085</v>
      </c>
      <c r="Q212" s="27">
        <v>2.9950707243891983E-2</v>
      </c>
      <c r="R212" s="27">
        <v>139.94856408058294</v>
      </c>
      <c r="S212" s="27" t="s">
        <v>45</v>
      </c>
      <c r="T212" s="30">
        <v>5.1328761251607374E-4</v>
      </c>
      <c r="U212" s="27">
        <v>0.40720102871838831</v>
      </c>
      <c r="V212" s="27">
        <v>0.417916845263609</v>
      </c>
      <c r="W212" s="30">
        <v>2.4335619374196316E-2</v>
      </c>
      <c r="X212" s="27">
        <v>3.6969567081011574</v>
      </c>
      <c r="Y212" s="27" t="s">
        <v>45</v>
      </c>
      <c r="Z212" s="27" t="s">
        <v>45</v>
      </c>
      <c r="AA212" s="27">
        <v>99.957136733819112</v>
      </c>
      <c r="AB212" s="29">
        <v>1.7713244749249891E-2</v>
      </c>
      <c r="AC212" s="27">
        <v>8.5405057865409333</v>
      </c>
      <c r="AD212" s="27">
        <v>2.9147021003000426</v>
      </c>
      <c r="AE212" s="27" t="s">
        <v>45</v>
      </c>
      <c r="AF212" s="27" t="s">
        <v>45</v>
      </c>
      <c r="AG212" s="27">
        <v>17.091727389627088</v>
      </c>
    </row>
    <row r="213" spans="1:33" x14ac:dyDescent="0.2">
      <c r="A213" s="1">
        <v>198</v>
      </c>
      <c r="B213" s="25" t="s">
        <v>246</v>
      </c>
      <c r="C213" s="26">
        <v>9.0370955011838987</v>
      </c>
      <c r="D213" s="27">
        <v>2.9597474348855561E-2</v>
      </c>
      <c r="E213" s="27" t="s">
        <v>45</v>
      </c>
      <c r="F213" s="27" t="s">
        <v>45</v>
      </c>
      <c r="G213" s="27" t="s">
        <v>45</v>
      </c>
      <c r="H213" s="26">
        <v>0.19810576164167321</v>
      </c>
      <c r="I213" s="26">
        <v>1.973164956590371E-2</v>
      </c>
      <c r="J213" s="27">
        <v>2.9597474348855561E-2</v>
      </c>
      <c r="K213" s="27">
        <v>8.879242304656669E-2</v>
      </c>
      <c r="L213" s="27">
        <v>2.3184688239936859</v>
      </c>
      <c r="M213" s="27">
        <v>8.2182320441988939</v>
      </c>
      <c r="N213" s="27">
        <v>8.8900947119179161E-2</v>
      </c>
      <c r="O213" s="27" t="s">
        <v>45</v>
      </c>
      <c r="P213" s="27">
        <v>0.14798737174427781</v>
      </c>
      <c r="Q213" s="27">
        <v>2.5276243093922651E-2</v>
      </c>
      <c r="R213" s="27">
        <v>66.653512233622735</v>
      </c>
      <c r="S213" s="27" t="s">
        <v>45</v>
      </c>
      <c r="T213" s="30">
        <v>3.0978689818468824E-4</v>
      </c>
      <c r="U213" s="27">
        <v>0.59194948697711125</v>
      </c>
      <c r="V213" s="27">
        <v>0.39463299131807417</v>
      </c>
      <c r="W213" s="30">
        <v>1.8192580899763222E-2</v>
      </c>
      <c r="X213" s="27">
        <v>2.7032359905288081</v>
      </c>
      <c r="Y213" s="27" t="s">
        <v>45</v>
      </c>
      <c r="Z213" s="27" t="s">
        <v>45</v>
      </c>
      <c r="AA213" s="27">
        <v>295.48145224940805</v>
      </c>
      <c r="AB213" s="29">
        <v>1.9593528018942381E-2</v>
      </c>
      <c r="AC213" s="27">
        <v>12.144830307813733</v>
      </c>
      <c r="AD213" s="27">
        <v>0.39463299131807417</v>
      </c>
      <c r="AE213" s="27" t="s">
        <v>45</v>
      </c>
      <c r="AF213" s="27" t="s">
        <v>45</v>
      </c>
      <c r="AG213" s="27">
        <v>7.9419889502762437</v>
      </c>
    </row>
    <row r="214" spans="1:33" x14ac:dyDescent="0.2">
      <c r="A214" s="1">
        <v>199</v>
      </c>
      <c r="B214" s="25" t="s">
        <v>247</v>
      </c>
      <c r="C214" s="26">
        <v>5.1284584980237158</v>
      </c>
      <c r="D214" s="27" t="s">
        <v>45</v>
      </c>
      <c r="E214" s="27" t="s">
        <v>45</v>
      </c>
      <c r="F214" s="27" t="s">
        <v>45</v>
      </c>
      <c r="G214" s="27" t="s">
        <v>45</v>
      </c>
      <c r="H214" s="26">
        <v>4.2292490118577081E-2</v>
      </c>
      <c r="I214" s="26">
        <v>3.9525691699604744E-2</v>
      </c>
      <c r="J214" s="27" t="s">
        <v>45</v>
      </c>
      <c r="K214" s="27">
        <v>6.916996047430829E-2</v>
      </c>
      <c r="L214" s="27">
        <v>0.95849802371541504</v>
      </c>
      <c r="M214" s="27">
        <v>2.6086956521739131</v>
      </c>
      <c r="N214" s="27">
        <v>6.7322134387351767E-2</v>
      </c>
      <c r="O214" s="27" t="s">
        <v>45</v>
      </c>
      <c r="P214" s="27">
        <v>0.18774703557312253</v>
      </c>
      <c r="Q214" s="27">
        <v>1.2213438735177865E-2</v>
      </c>
      <c r="R214" s="27">
        <v>19.03162055335968</v>
      </c>
      <c r="S214" s="27" t="s">
        <v>45</v>
      </c>
      <c r="T214" s="30" t="s">
        <v>45</v>
      </c>
      <c r="U214" s="27">
        <v>0.10869565217391304</v>
      </c>
      <c r="V214" s="27">
        <v>0.14822134387351779</v>
      </c>
      <c r="W214" s="30">
        <v>1.6047430830039525E-3</v>
      </c>
      <c r="X214" s="27">
        <v>1.3142292490118574</v>
      </c>
      <c r="Y214" s="27" t="s">
        <v>45</v>
      </c>
      <c r="Z214" s="27" t="s">
        <v>45</v>
      </c>
      <c r="AA214" s="27">
        <v>9.3280632411067188</v>
      </c>
      <c r="AB214" s="29">
        <v>5.8003952569169962E-3</v>
      </c>
      <c r="AC214" s="27">
        <v>3.3794466403162056</v>
      </c>
      <c r="AD214" s="27">
        <v>0.15810276679841898</v>
      </c>
      <c r="AE214" s="27" t="s">
        <v>45</v>
      </c>
      <c r="AF214" s="27" t="s">
        <v>45</v>
      </c>
      <c r="AG214" s="27">
        <v>2.5889328063241108</v>
      </c>
    </row>
    <row r="215" spans="1:33" x14ac:dyDescent="0.2">
      <c r="A215" s="1">
        <v>200</v>
      </c>
      <c r="B215" s="25" t="s">
        <v>248</v>
      </c>
      <c r="C215" s="26">
        <v>20.807153214113097</v>
      </c>
      <c r="D215" s="27">
        <v>0.14499758337361043</v>
      </c>
      <c r="E215" s="27" t="s">
        <v>45</v>
      </c>
      <c r="F215" s="27" t="s">
        <v>45</v>
      </c>
      <c r="G215" s="27" t="s">
        <v>45</v>
      </c>
      <c r="H215" s="26">
        <v>7.6449975833736111E-2</v>
      </c>
      <c r="I215" s="26">
        <v>7.2498791686805217E-2</v>
      </c>
      <c r="J215" s="27" t="s">
        <v>45</v>
      </c>
      <c r="K215" s="27">
        <v>0.79748670855485748</v>
      </c>
      <c r="L215" s="27">
        <v>1.1237312711454808</v>
      </c>
      <c r="M215" s="27">
        <v>12.179797003383277</v>
      </c>
      <c r="N215" s="27">
        <v>0.15623489608506524</v>
      </c>
      <c r="O215" s="27" t="s">
        <v>45</v>
      </c>
      <c r="P215" s="27">
        <v>0.42290961817303047</v>
      </c>
      <c r="Q215" s="27">
        <v>1.7061382310294828E-2</v>
      </c>
      <c r="R215" s="27">
        <v>32.805703238279364</v>
      </c>
      <c r="S215" s="27" t="s">
        <v>45</v>
      </c>
      <c r="T215" s="30" t="s">
        <v>45</v>
      </c>
      <c r="U215" s="27">
        <v>0.14499758337361043</v>
      </c>
      <c r="V215" s="27">
        <v>2.4891251812469792</v>
      </c>
      <c r="W215" s="30">
        <v>2.2692121797970033E-3</v>
      </c>
      <c r="X215" s="27">
        <v>4.0236829386176902</v>
      </c>
      <c r="Y215" s="27" t="s">
        <v>45</v>
      </c>
      <c r="Z215" s="27" t="s">
        <v>45</v>
      </c>
      <c r="AA215" s="27">
        <v>15.248912518124699</v>
      </c>
      <c r="AB215" s="29">
        <v>5.9074432092798453E-3</v>
      </c>
      <c r="AC215" s="27">
        <v>5.4736587723537946</v>
      </c>
      <c r="AD215" s="27">
        <v>5.7153214113098123</v>
      </c>
      <c r="AE215" s="27" t="s">
        <v>45</v>
      </c>
      <c r="AF215" s="27" t="s">
        <v>45</v>
      </c>
      <c r="AG215" s="27">
        <v>5.642822619623006</v>
      </c>
    </row>
    <row r="216" spans="1:33" x14ac:dyDescent="0.2">
      <c r="A216" s="1">
        <v>201</v>
      </c>
      <c r="B216" s="25" t="s">
        <v>249</v>
      </c>
      <c r="C216" s="26">
        <v>9.7135291285507943</v>
      </c>
      <c r="D216" s="27">
        <v>1.5286470871449207</v>
      </c>
      <c r="E216" s="27">
        <v>0.24073182474723159</v>
      </c>
      <c r="F216" s="27" t="s">
        <v>45</v>
      </c>
      <c r="G216" s="27" t="s">
        <v>45</v>
      </c>
      <c r="H216" s="26">
        <v>0.1364949446316803</v>
      </c>
      <c r="I216" s="26">
        <v>0.93885411651420314</v>
      </c>
      <c r="J216" s="27">
        <v>0.61386615310544057</v>
      </c>
      <c r="K216" s="27">
        <v>0.66201251805488681</v>
      </c>
      <c r="L216" s="27">
        <v>1.5045739046701974</v>
      </c>
      <c r="M216" s="27">
        <v>29.405392392874337</v>
      </c>
      <c r="N216" s="27">
        <v>4.4547424169475207E-2</v>
      </c>
      <c r="O216" s="27" t="s">
        <v>45</v>
      </c>
      <c r="P216" s="27">
        <v>0.60182956186807901</v>
      </c>
      <c r="Q216" s="27">
        <v>1.776600866634569E-2</v>
      </c>
      <c r="R216" s="27">
        <v>72.448242657679344</v>
      </c>
      <c r="S216" s="27">
        <v>2.3350987000481465</v>
      </c>
      <c r="T216" s="30">
        <v>6.2590274434280214E-5</v>
      </c>
      <c r="U216" s="27">
        <v>3.5628310062590276</v>
      </c>
      <c r="V216" s="27">
        <v>1.0351468464130957</v>
      </c>
      <c r="W216" s="30">
        <v>3.3341357727491579E-3</v>
      </c>
      <c r="X216" s="27">
        <v>1.9980741454020221</v>
      </c>
      <c r="Y216" s="27">
        <v>2.2147327876745306</v>
      </c>
      <c r="Z216" s="27">
        <v>0.55368319691863266</v>
      </c>
      <c r="AA216" s="27">
        <v>26.504573904670199</v>
      </c>
      <c r="AB216" s="29">
        <v>1.1107366393837265E-2</v>
      </c>
      <c r="AC216" s="27">
        <v>10.917188252286953</v>
      </c>
      <c r="AD216" s="27">
        <v>2.2508425613866154</v>
      </c>
      <c r="AE216" s="27" t="s">
        <v>45</v>
      </c>
      <c r="AF216" s="27">
        <v>0.22869523350987001</v>
      </c>
      <c r="AG216" s="27">
        <v>3.7313432835820897</v>
      </c>
    </row>
    <row r="217" spans="1:33" x14ac:dyDescent="0.2">
      <c r="A217" s="1">
        <v>202</v>
      </c>
      <c r="B217" s="25" t="s">
        <v>250</v>
      </c>
      <c r="C217" s="26">
        <v>2.1532990912682735</v>
      </c>
      <c r="D217" s="27">
        <v>0.29632556301856972</v>
      </c>
      <c r="E217" s="27" t="s">
        <v>45</v>
      </c>
      <c r="F217" s="27" t="s">
        <v>45</v>
      </c>
      <c r="G217" s="27" t="s">
        <v>45</v>
      </c>
      <c r="H217" s="26">
        <v>0.11764124851837218</v>
      </c>
      <c r="I217" s="26">
        <v>0.19755037534571318</v>
      </c>
      <c r="J217" s="27">
        <v>0.10865270644014224</v>
      </c>
      <c r="K217" s="27">
        <v>8.8897668905570923E-2</v>
      </c>
      <c r="L217" s="27">
        <v>1.0865270644014222</v>
      </c>
      <c r="M217" s="27">
        <v>3.2595811932042675</v>
      </c>
      <c r="N217" s="27">
        <v>3.0284472540497827E-2</v>
      </c>
      <c r="O217" s="27" t="s">
        <v>45</v>
      </c>
      <c r="P217" s="27">
        <v>0.34571315685499809</v>
      </c>
      <c r="Q217" s="27">
        <v>8.1015408929276958E-2</v>
      </c>
      <c r="R217" s="27">
        <v>47.876333465033582</v>
      </c>
      <c r="S217" s="27" t="s">
        <v>45</v>
      </c>
      <c r="T217" s="30" t="s">
        <v>45</v>
      </c>
      <c r="U217" s="27">
        <v>1.0272619517977084</v>
      </c>
      <c r="V217" s="27">
        <v>0.17779533781114185</v>
      </c>
      <c r="W217" s="30">
        <v>4.335242986961676E-3</v>
      </c>
      <c r="X217" s="27">
        <v>1.9162386408534176</v>
      </c>
      <c r="Y217" s="27" t="s">
        <v>45</v>
      </c>
      <c r="Z217" s="27" t="s">
        <v>45</v>
      </c>
      <c r="AA217" s="27">
        <v>12.188858158830502</v>
      </c>
      <c r="AB217" s="29">
        <v>1.0559067562228368E-2</v>
      </c>
      <c r="AC217" s="27">
        <v>9.4527854602923735</v>
      </c>
      <c r="AD217" s="27">
        <v>0.30620308178585542</v>
      </c>
      <c r="AE217" s="27">
        <v>2.0841564598972737</v>
      </c>
      <c r="AF217" s="27" t="s">
        <v>45</v>
      </c>
      <c r="AG217" s="27">
        <v>2.5780323982615569</v>
      </c>
    </row>
    <row r="218" spans="1:33" x14ac:dyDescent="0.2">
      <c r="A218" s="1">
        <v>203</v>
      </c>
      <c r="B218" s="25" t="s">
        <v>251</v>
      </c>
      <c r="C218" s="26">
        <v>6.9750211685012697</v>
      </c>
      <c r="D218" s="27">
        <v>0.275190516511431</v>
      </c>
      <c r="E218" s="27" t="s">
        <v>45</v>
      </c>
      <c r="F218" s="27" t="s">
        <v>45</v>
      </c>
      <c r="G218" s="27" t="s">
        <v>45</v>
      </c>
      <c r="H218" s="26">
        <v>0.1124047417442845</v>
      </c>
      <c r="I218" s="26">
        <v>0.17993226079593563</v>
      </c>
      <c r="J218" s="27">
        <v>8.4674005080440304E-2</v>
      </c>
      <c r="K218" s="27">
        <v>1.0584250635055038E-2</v>
      </c>
      <c r="L218" s="27">
        <v>1.2701100762066047</v>
      </c>
      <c r="M218" s="27">
        <v>4.6253175275190515</v>
      </c>
      <c r="N218" s="27">
        <v>0.10312235393734125</v>
      </c>
      <c r="O218" s="27" t="s">
        <v>45</v>
      </c>
      <c r="P218" s="27">
        <v>0.20110076206604574</v>
      </c>
      <c r="Q218" s="27">
        <v>7.538103302286199E-2</v>
      </c>
      <c r="R218" s="27">
        <v>87.193056731583397</v>
      </c>
      <c r="S218" s="27" t="s">
        <v>45</v>
      </c>
      <c r="T218" s="30">
        <v>9.9491955969517373E-5</v>
      </c>
      <c r="U218" s="27">
        <v>0.86790855207451323</v>
      </c>
      <c r="V218" s="27">
        <v>0.38103302286198137</v>
      </c>
      <c r="W218" s="30">
        <v>5.7842929720575784E-3</v>
      </c>
      <c r="X218" s="27">
        <v>3.7679932260795939</v>
      </c>
      <c r="Y218" s="27" t="s">
        <v>45</v>
      </c>
      <c r="Z218" s="27" t="s">
        <v>45</v>
      </c>
      <c r="AA218" s="27">
        <v>15.410668924640136</v>
      </c>
      <c r="AB218" s="29">
        <v>1.0022226926333616E-2</v>
      </c>
      <c r="AC218" s="27">
        <v>9.5681625740897545</v>
      </c>
      <c r="AD218" s="27">
        <v>0.68797629127857751</v>
      </c>
      <c r="AE218" s="27">
        <v>0.40220152413209148</v>
      </c>
      <c r="AF218" s="27" t="s">
        <v>45</v>
      </c>
      <c r="AG218" s="27">
        <v>2.2226926333615582</v>
      </c>
    </row>
    <row r="219" spans="1:33" x14ac:dyDescent="0.2">
      <c r="A219" s="1">
        <v>204</v>
      </c>
      <c r="B219" s="25" t="s">
        <v>252</v>
      </c>
      <c r="C219" s="26">
        <v>9.068236233040702</v>
      </c>
      <c r="D219" s="27">
        <v>0.13966480446927373</v>
      </c>
      <c r="E219" s="27" t="s">
        <v>45</v>
      </c>
      <c r="F219" s="27" t="s">
        <v>45</v>
      </c>
      <c r="G219" s="27" t="s">
        <v>45</v>
      </c>
      <c r="H219" s="26">
        <v>9.7795291300877898E-2</v>
      </c>
      <c r="I219" s="26">
        <v>5.9856344772545887E-2</v>
      </c>
      <c r="J219" s="27">
        <v>4.9880287310454914E-2</v>
      </c>
      <c r="K219" s="27">
        <v>3.9904229848363927E-2</v>
      </c>
      <c r="L219" s="27">
        <v>1.1173184357541899</v>
      </c>
      <c r="M219" s="27">
        <v>3.9405426975259381</v>
      </c>
      <c r="N219" s="27">
        <v>7.0331205107741421E-2</v>
      </c>
      <c r="O219" s="27" t="s">
        <v>45</v>
      </c>
      <c r="P219" s="27">
        <v>0.15961691939345571</v>
      </c>
      <c r="Q219" s="27">
        <v>6.3527533918595377E-2</v>
      </c>
      <c r="R219" s="27">
        <v>40.552673583399837</v>
      </c>
      <c r="S219" s="27" t="s">
        <v>45</v>
      </c>
      <c r="T219" s="30">
        <v>1.1412609736632085E-3</v>
      </c>
      <c r="U219" s="27">
        <v>0.58858739026336793</v>
      </c>
      <c r="V219" s="27">
        <v>8.9784517158818841E-2</v>
      </c>
      <c r="W219" s="30">
        <v>7.8142458100558653E-3</v>
      </c>
      <c r="X219" s="27">
        <v>2.4840383080606543</v>
      </c>
      <c r="Y219" s="27" t="s">
        <v>45</v>
      </c>
      <c r="Z219" s="27" t="s">
        <v>45</v>
      </c>
      <c r="AA219" s="27">
        <v>20.231444533120513</v>
      </c>
      <c r="AB219" s="29">
        <v>1.2110933758978452E-2</v>
      </c>
      <c r="AC219" s="27">
        <v>6.2749401436552281</v>
      </c>
      <c r="AD219" s="27">
        <v>0.72825219473264169</v>
      </c>
      <c r="AE219" s="27" t="s">
        <v>45</v>
      </c>
      <c r="AF219" s="27" t="s">
        <v>45</v>
      </c>
      <c r="AG219" s="27">
        <v>2.5139664804469275</v>
      </c>
    </row>
    <row r="220" spans="1:33" x14ac:dyDescent="0.2">
      <c r="A220" s="1">
        <v>205</v>
      </c>
      <c r="B220" s="25" t="s">
        <v>253</v>
      </c>
      <c r="C220" s="26">
        <v>25.173697270471461</v>
      </c>
      <c r="D220" s="27">
        <v>0.17369727047146399</v>
      </c>
      <c r="E220" s="27" t="s">
        <v>45</v>
      </c>
      <c r="F220" s="27" t="s">
        <v>45</v>
      </c>
      <c r="G220" s="27" t="s">
        <v>45</v>
      </c>
      <c r="H220" s="26">
        <v>0.21588089330024812</v>
      </c>
      <c r="I220" s="26">
        <v>0.12406947890818859</v>
      </c>
      <c r="J220" s="27">
        <v>8.6848635235731997E-2</v>
      </c>
      <c r="K220" s="27">
        <v>0.16129032258064516</v>
      </c>
      <c r="L220" s="27">
        <v>1.8114143920595531</v>
      </c>
      <c r="M220" s="27">
        <v>17.295285359801486</v>
      </c>
      <c r="N220" s="27">
        <v>2.8138957816377166E-2</v>
      </c>
      <c r="O220" s="27" t="s">
        <v>45</v>
      </c>
      <c r="P220" s="27">
        <v>9.9255583126550861E-2</v>
      </c>
      <c r="Q220" s="27">
        <v>2.4913151364764269E-2</v>
      </c>
      <c r="R220" s="27">
        <v>31.464019851116621</v>
      </c>
      <c r="S220" s="27" t="s">
        <v>45</v>
      </c>
      <c r="T220" s="30">
        <v>1.478908188585608E-3</v>
      </c>
      <c r="U220" s="27">
        <v>0.7568238213399503</v>
      </c>
      <c r="V220" s="27">
        <v>0.44665012406947885</v>
      </c>
      <c r="W220" s="30">
        <v>1.5545905707196028E-2</v>
      </c>
      <c r="X220" s="27">
        <v>0.91811414392059543</v>
      </c>
      <c r="Y220" s="27" t="s">
        <v>45</v>
      </c>
      <c r="Z220" s="27" t="s">
        <v>45</v>
      </c>
      <c r="AA220" s="27">
        <v>73.138957816377172</v>
      </c>
      <c r="AB220" s="29">
        <v>1.816377171215881E-2</v>
      </c>
      <c r="AC220" s="27">
        <v>20.062034739454095</v>
      </c>
      <c r="AD220" s="27">
        <v>1.6749379652605458</v>
      </c>
      <c r="AE220" s="27" t="s">
        <v>45</v>
      </c>
      <c r="AF220" s="27" t="s">
        <v>45</v>
      </c>
      <c r="AG220" s="27">
        <v>5.0372208436724559</v>
      </c>
    </row>
    <row r="221" spans="1:33" x14ac:dyDescent="0.2">
      <c r="A221" s="1">
        <v>206</v>
      </c>
      <c r="B221" s="25" t="s">
        <v>254</v>
      </c>
      <c r="C221" s="26">
        <v>13.20546737213404</v>
      </c>
      <c r="D221" s="27" t="s">
        <v>45</v>
      </c>
      <c r="E221" s="27" t="s">
        <v>45</v>
      </c>
      <c r="F221" s="27" t="s">
        <v>45</v>
      </c>
      <c r="G221" s="27" t="s">
        <v>45</v>
      </c>
      <c r="H221" s="26">
        <v>0.30125661375661372</v>
      </c>
      <c r="I221" s="26">
        <v>8.8183421516754845E-2</v>
      </c>
      <c r="J221" s="27" t="s">
        <v>45</v>
      </c>
      <c r="K221" s="27">
        <v>9.9206349206349201E-2</v>
      </c>
      <c r="L221" s="27">
        <v>2.1053791887125222</v>
      </c>
      <c r="M221" s="27">
        <v>9.1269841269841265</v>
      </c>
      <c r="N221" s="27">
        <v>7.4625220458553784E-2</v>
      </c>
      <c r="O221" s="27" t="s">
        <v>45</v>
      </c>
      <c r="P221" s="27">
        <v>0.36375661375661378</v>
      </c>
      <c r="Q221" s="27">
        <v>2.1593915343915342E-2</v>
      </c>
      <c r="R221" s="27">
        <v>104.6957671957672</v>
      </c>
      <c r="S221" s="27" t="s">
        <v>45</v>
      </c>
      <c r="T221" s="30" t="s">
        <v>45</v>
      </c>
      <c r="U221" s="27">
        <v>0.3968253968253968</v>
      </c>
      <c r="V221" s="27">
        <v>0.79365079365079361</v>
      </c>
      <c r="W221" s="30">
        <v>2.244268077601411E-2</v>
      </c>
      <c r="X221" s="27">
        <v>2.4029982363315696</v>
      </c>
      <c r="Y221" s="27" t="s">
        <v>45</v>
      </c>
      <c r="Z221" s="27" t="s">
        <v>45</v>
      </c>
      <c r="AA221" s="27">
        <v>596.45061728395046</v>
      </c>
      <c r="AB221" s="29">
        <v>1.6082451499118165E-2</v>
      </c>
      <c r="AC221" s="27">
        <v>18.529541446208111</v>
      </c>
      <c r="AD221" s="27">
        <v>0.66137566137566139</v>
      </c>
      <c r="AE221" s="27" t="s">
        <v>45</v>
      </c>
      <c r="AF221" s="27" t="s">
        <v>45</v>
      </c>
      <c r="AG221" s="27">
        <v>7.8042328042328046</v>
      </c>
    </row>
    <row r="222" spans="1:33" x14ac:dyDescent="0.2">
      <c r="A222" s="1">
        <v>207</v>
      </c>
      <c r="B222" s="25" t="s">
        <v>255</v>
      </c>
      <c r="C222" s="26">
        <v>10.923623445825932</v>
      </c>
      <c r="D222" s="27">
        <v>0.22202486678507993</v>
      </c>
      <c r="E222" s="27" t="s">
        <v>45</v>
      </c>
      <c r="F222" s="27" t="s">
        <v>45</v>
      </c>
      <c r="G222" s="27" t="s">
        <v>45</v>
      </c>
      <c r="H222" s="26">
        <v>0.17695381882770869</v>
      </c>
      <c r="I222" s="26">
        <v>6.6607460035523966E-2</v>
      </c>
      <c r="J222" s="27">
        <v>6.6607460035523966E-2</v>
      </c>
      <c r="K222" s="27">
        <v>3.3303730017761983E-2</v>
      </c>
      <c r="L222" s="27">
        <v>1.0879218472468917</v>
      </c>
      <c r="M222" s="27">
        <v>8.4369449378330366</v>
      </c>
      <c r="N222" s="27">
        <v>0.11989342806394317</v>
      </c>
      <c r="O222" s="27" t="s">
        <v>45</v>
      </c>
      <c r="P222" s="27">
        <v>0.33303730017761984</v>
      </c>
      <c r="Q222" s="27">
        <v>3.7289076376554174E-2</v>
      </c>
      <c r="R222" s="27">
        <v>61.034635879218463</v>
      </c>
      <c r="S222" s="27" t="s">
        <v>45</v>
      </c>
      <c r="T222" s="30">
        <v>6.7495559502664295E-4</v>
      </c>
      <c r="U222" s="27">
        <v>0.88809946714031973</v>
      </c>
      <c r="V222" s="27">
        <v>2.2202486678507993E-2</v>
      </c>
      <c r="W222" s="30">
        <v>7.2624333925399645E-3</v>
      </c>
      <c r="X222" s="27">
        <v>4.4960035523978679</v>
      </c>
      <c r="Y222" s="27" t="s">
        <v>45</v>
      </c>
      <c r="Z222" s="27" t="s">
        <v>45</v>
      </c>
      <c r="AA222" s="27">
        <v>40.452930728241562</v>
      </c>
      <c r="AB222" s="29">
        <v>1.2810834813499112E-2</v>
      </c>
      <c r="AC222" s="27">
        <v>13.521314387211367</v>
      </c>
      <c r="AD222" s="27">
        <v>3.097246891651865</v>
      </c>
      <c r="AE222" s="27" t="s">
        <v>45</v>
      </c>
      <c r="AF222" s="27" t="s">
        <v>45</v>
      </c>
      <c r="AG222" s="27">
        <v>6.9604795737122558</v>
      </c>
    </row>
    <row r="223" spans="1:33" x14ac:dyDescent="0.2">
      <c r="A223" s="1">
        <v>208</v>
      </c>
      <c r="B223" s="25" t="s">
        <v>256</v>
      </c>
      <c r="C223" s="26">
        <v>14.859389895138229</v>
      </c>
      <c r="D223" s="27" t="s">
        <v>45</v>
      </c>
      <c r="E223" s="27" t="s">
        <v>45</v>
      </c>
      <c r="F223" s="27" t="s">
        <v>45</v>
      </c>
      <c r="G223" s="27" t="s">
        <v>45</v>
      </c>
      <c r="H223" s="26">
        <v>6.0855576739752157E-2</v>
      </c>
      <c r="I223" s="26">
        <v>8.3412774070543372E-2</v>
      </c>
      <c r="J223" s="27" t="s">
        <v>45</v>
      </c>
      <c r="K223" s="27">
        <v>3.5748331744518587E-2</v>
      </c>
      <c r="L223" s="27">
        <v>0.81029551954242129</v>
      </c>
      <c r="M223" s="27">
        <v>74.022878932316488</v>
      </c>
      <c r="N223" s="27">
        <v>0.15014299332697809</v>
      </c>
      <c r="O223" s="27" t="s">
        <v>45</v>
      </c>
      <c r="P223" s="27">
        <v>0.20257387988560532</v>
      </c>
      <c r="Q223" s="27">
        <v>1.209485224022879E-2</v>
      </c>
      <c r="R223" s="27">
        <v>35.367016205910396</v>
      </c>
      <c r="S223" s="27" t="s">
        <v>45</v>
      </c>
      <c r="T223" s="30" t="s">
        <v>45</v>
      </c>
      <c r="U223" s="27" t="s">
        <v>45</v>
      </c>
      <c r="V223" s="27">
        <v>0.33365109628217349</v>
      </c>
      <c r="W223" s="30">
        <v>4.536463298379409E-3</v>
      </c>
      <c r="X223" s="27">
        <v>3.3722592945662537</v>
      </c>
      <c r="Y223" s="27" t="s">
        <v>45</v>
      </c>
      <c r="Z223" s="27" t="s">
        <v>45</v>
      </c>
      <c r="AA223" s="27">
        <v>20.316968541468068</v>
      </c>
      <c r="AB223" s="29">
        <v>5.7983794089609148E-3</v>
      </c>
      <c r="AC223" s="27">
        <v>3.7178265014299332</v>
      </c>
      <c r="AD223" s="27">
        <v>0.72688274547187803</v>
      </c>
      <c r="AE223" s="27" t="s">
        <v>45</v>
      </c>
      <c r="AF223" s="27" t="s">
        <v>45</v>
      </c>
      <c r="AG223" s="27">
        <v>4.6711153479504288</v>
      </c>
    </row>
    <row r="224" spans="1:33" x14ac:dyDescent="0.2">
      <c r="A224" s="1">
        <v>209</v>
      </c>
      <c r="B224" s="25" t="s">
        <v>257</v>
      </c>
      <c r="C224" s="26">
        <v>10.117389574214085</v>
      </c>
      <c r="D224" s="27">
        <v>0.13927576601671307</v>
      </c>
      <c r="E224" s="27" t="s">
        <v>45</v>
      </c>
      <c r="F224" s="27" t="s">
        <v>45</v>
      </c>
      <c r="G224" s="27" t="s">
        <v>45</v>
      </c>
      <c r="H224" s="26">
        <v>0.36758853959411064</v>
      </c>
      <c r="I224" s="26">
        <v>0.10943095901313171</v>
      </c>
      <c r="J224" s="27">
        <v>7.9586152009550326E-2</v>
      </c>
      <c r="K224" s="27">
        <v>0.64663748507759644</v>
      </c>
      <c r="L224" s="27">
        <v>1.7409470752089138</v>
      </c>
      <c r="M224" s="27">
        <v>9.2916832471150013</v>
      </c>
      <c r="N224" s="27">
        <v>6.7986470354158363E-2</v>
      </c>
      <c r="O224" s="27" t="s">
        <v>45</v>
      </c>
      <c r="P224" s="27">
        <v>0.17906884202148823</v>
      </c>
      <c r="Q224" s="27">
        <v>8.7793473935535202E-2</v>
      </c>
      <c r="R224" s="27">
        <v>199.56227616394742</v>
      </c>
      <c r="S224" s="27" t="s">
        <v>45</v>
      </c>
      <c r="T224" s="30">
        <v>3.3625149224035013E-4</v>
      </c>
      <c r="U224" s="27">
        <v>3.213290887385595</v>
      </c>
      <c r="V224" s="27">
        <v>0.21886191802626342</v>
      </c>
      <c r="W224" s="30">
        <v>2.1209709510545165E-2</v>
      </c>
      <c r="X224" s="27">
        <v>1.6514126541981693</v>
      </c>
      <c r="Y224" s="27" t="s">
        <v>45</v>
      </c>
      <c r="Z224" s="27" t="s">
        <v>45</v>
      </c>
      <c r="AA224" s="27">
        <v>34.072821329088733</v>
      </c>
      <c r="AB224" s="29">
        <v>2.1418623159570233E-2</v>
      </c>
      <c r="AC224" s="27">
        <v>25.596896140071621</v>
      </c>
      <c r="AD224" s="27">
        <v>0.48746518105849579</v>
      </c>
      <c r="AE224" s="27">
        <v>6.7051333068046155</v>
      </c>
      <c r="AF224" s="27" t="s">
        <v>45</v>
      </c>
      <c r="AG224" s="27">
        <v>6.3370473537604459</v>
      </c>
    </row>
    <row r="225" spans="1:33" x14ac:dyDescent="0.2">
      <c r="A225" s="1">
        <v>210</v>
      </c>
      <c r="B225" s="25" t="s">
        <v>258</v>
      </c>
      <c r="C225" s="26">
        <v>20.828011919965942</v>
      </c>
      <c r="D225" s="27" t="s">
        <v>45</v>
      </c>
      <c r="E225" s="27" t="s">
        <v>45</v>
      </c>
      <c r="F225" s="27" t="s">
        <v>45</v>
      </c>
      <c r="G225" s="27" t="s">
        <v>45</v>
      </c>
      <c r="H225" s="26">
        <v>0.39772243507875688</v>
      </c>
      <c r="I225" s="26">
        <v>6.3856960408684549E-2</v>
      </c>
      <c r="J225" s="27">
        <v>7.4499787143465293E-2</v>
      </c>
      <c r="K225" s="27">
        <v>0.19157088122605365</v>
      </c>
      <c r="L225" s="27">
        <v>2.4052788420604512</v>
      </c>
      <c r="M225" s="27">
        <v>12.49467858663261</v>
      </c>
      <c r="N225" s="27">
        <v>6.6060025542784171E-3</v>
      </c>
      <c r="O225" s="27" t="s">
        <v>45</v>
      </c>
      <c r="P225" s="27">
        <v>0.18092805449127286</v>
      </c>
      <c r="Q225" s="27">
        <v>2.8011919965942957E-2</v>
      </c>
      <c r="R225" s="27">
        <v>90.772669220945076</v>
      </c>
      <c r="S225" s="27" t="s">
        <v>45</v>
      </c>
      <c r="T225" s="30">
        <v>2.7352064708386546E-4</v>
      </c>
      <c r="U225" s="27">
        <v>0.67049808429118773</v>
      </c>
      <c r="V225" s="27">
        <v>1.5964240102171137</v>
      </c>
      <c r="W225" s="30">
        <v>7.1040868454661562E-3</v>
      </c>
      <c r="X225" s="27">
        <v>0.54278416347381864</v>
      </c>
      <c r="Y225" s="27" t="s">
        <v>45</v>
      </c>
      <c r="Z225" s="27" t="s">
        <v>45</v>
      </c>
      <c r="AA225" s="27">
        <v>644.95530012771394</v>
      </c>
      <c r="AB225" s="29">
        <v>1.7475521498510005E-2</v>
      </c>
      <c r="AC225" s="27">
        <v>28.405704555129844</v>
      </c>
      <c r="AD225" s="27">
        <v>0.90464027245636447</v>
      </c>
      <c r="AE225" s="27" t="s">
        <v>45</v>
      </c>
      <c r="AF225" s="27" t="s">
        <v>45</v>
      </c>
      <c r="AG225" s="27">
        <v>7.5564069816943373</v>
      </c>
    </row>
    <row r="226" spans="1:33" x14ac:dyDescent="0.2">
      <c r="A226" s="1">
        <v>211</v>
      </c>
      <c r="B226" s="25" t="s">
        <v>259</v>
      </c>
      <c r="C226" s="26">
        <v>46.110893416927901</v>
      </c>
      <c r="D226" s="27">
        <v>9.7962382445141074E-3</v>
      </c>
      <c r="E226" s="27" t="s">
        <v>45</v>
      </c>
      <c r="F226" s="27" t="s">
        <v>45</v>
      </c>
      <c r="G226" s="27" t="s">
        <v>45</v>
      </c>
      <c r="H226" s="26">
        <v>0.78301332288401271</v>
      </c>
      <c r="I226" s="26">
        <v>0.15673981191222572</v>
      </c>
      <c r="J226" s="27">
        <v>4.8981191222570539E-2</v>
      </c>
      <c r="K226" s="27">
        <v>0.18612852664576804</v>
      </c>
      <c r="L226" s="27">
        <v>3.125</v>
      </c>
      <c r="M226" s="27">
        <v>29.026253918495303</v>
      </c>
      <c r="N226" s="27">
        <v>4.5523119122257059E-2</v>
      </c>
      <c r="O226" s="27" t="s">
        <v>45</v>
      </c>
      <c r="P226" s="27">
        <v>0.22531347962382445</v>
      </c>
      <c r="Q226" s="27">
        <v>3.5041144200626963E-2</v>
      </c>
      <c r="R226" s="27">
        <v>97.2962382445141</v>
      </c>
      <c r="S226" s="27" t="s">
        <v>45</v>
      </c>
      <c r="T226" s="30">
        <v>8.9145768025078378E-4</v>
      </c>
      <c r="U226" s="27">
        <v>0.48001567398119127</v>
      </c>
      <c r="V226" s="27">
        <v>1.7829153605015675</v>
      </c>
      <c r="W226" s="30">
        <v>1.9778605015673984E-2</v>
      </c>
      <c r="X226" s="27">
        <v>1.547805642633229</v>
      </c>
      <c r="Y226" s="27" t="s">
        <v>45</v>
      </c>
      <c r="Z226" s="27" t="s">
        <v>45</v>
      </c>
      <c r="AA226" s="27">
        <v>695.33699059561127</v>
      </c>
      <c r="AB226" s="29">
        <v>2.7360893416927906E-2</v>
      </c>
      <c r="AC226" s="27">
        <v>60.462382445141067</v>
      </c>
      <c r="AD226" s="27">
        <v>1.998432601880878</v>
      </c>
      <c r="AE226" s="27" t="s">
        <v>45</v>
      </c>
      <c r="AF226" s="27" t="s">
        <v>45</v>
      </c>
      <c r="AG226" s="27">
        <v>17.525470219435739</v>
      </c>
    </row>
    <row r="227" spans="1:33" x14ac:dyDescent="0.2">
      <c r="A227" s="1">
        <v>212</v>
      </c>
      <c r="B227" s="25" t="s">
        <v>260</v>
      </c>
      <c r="C227" s="26">
        <v>7.4547903039630619</v>
      </c>
      <c r="D227" s="27">
        <v>6.7333589842247007E-2</v>
      </c>
      <c r="E227" s="27" t="s">
        <v>45</v>
      </c>
      <c r="F227" s="27" t="s">
        <v>45</v>
      </c>
      <c r="G227" s="27" t="s">
        <v>45</v>
      </c>
      <c r="H227" s="26">
        <v>0.20046171604463253</v>
      </c>
      <c r="I227" s="26">
        <v>0.10580992689495959</v>
      </c>
      <c r="J227" s="27">
        <v>0.10580992689495959</v>
      </c>
      <c r="K227" s="27">
        <v>0.19238168526356292</v>
      </c>
      <c r="L227" s="27">
        <v>2.0488649480569445</v>
      </c>
      <c r="M227" s="27">
        <v>8.9842247018083867</v>
      </c>
      <c r="N227" s="27">
        <v>0.10465563678337822</v>
      </c>
      <c r="O227" s="27" t="s">
        <v>45</v>
      </c>
      <c r="P227" s="27">
        <v>0.31742978068487882</v>
      </c>
      <c r="Q227" s="27">
        <v>2.3922662562524049E-2</v>
      </c>
      <c r="R227" s="27">
        <v>70.969603693728359</v>
      </c>
      <c r="S227" s="27" t="s">
        <v>45</v>
      </c>
      <c r="T227" s="30" t="s">
        <v>45</v>
      </c>
      <c r="U227" s="27">
        <v>2.1065794536360136</v>
      </c>
      <c r="V227" s="27">
        <v>0.39438245479030398</v>
      </c>
      <c r="W227" s="30">
        <v>2.5923432089265099E-2</v>
      </c>
      <c r="X227" s="27">
        <v>2.6260100038476333</v>
      </c>
      <c r="Y227" s="27" t="s">
        <v>45</v>
      </c>
      <c r="Z227" s="27" t="s">
        <v>45</v>
      </c>
      <c r="AA227" s="27">
        <v>288.3801462100808</v>
      </c>
      <c r="AB227" s="29">
        <v>1.6246633320507887E-2</v>
      </c>
      <c r="AC227" s="27">
        <v>12.889572912658714</v>
      </c>
      <c r="AD227" s="27">
        <v>0.37514428626394758</v>
      </c>
      <c r="AE227" s="27" t="s">
        <v>45</v>
      </c>
      <c r="AF227" s="27" t="s">
        <v>45</v>
      </c>
      <c r="AG227" s="27">
        <v>6.2331666025394377</v>
      </c>
    </row>
    <row r="228" spans="1:33" x14ac:dyDescent="0.2">
      <c r="A228" s="1">
        <v>213</v>
      </c>
      <c r="B228" s="25" t="s">
        <v>261</v>
      </c>
      <c r="C228" s="26">
        <v>17.922647527910684</v>
      </c>
      <c r="D228" s="27" t="s">
        <v>45</v>
      </c>
      <c r="E228" s="27" t="s">
        <v>45</v>
      </c>
      <c r="F228" s="27" t="s">
        <v>45</v>
      </c>
      <c r="G228" s="27" t="s">
        <v>45</v>
      </c>
      <c r="H228" s="26">
        <v>0.3759968102073365</v>
      </c>
      <c r="I228" s="26">
        <v>0.13955342902711321</v>
      </c>
      <c r="J228" s="27" t="s">
        <v>45</v>
      </c>
      <c r="K228" s="27">
        <v>0.28907496012759165</v>
      </c>
      <c r="L228" s="27">
        <v>3.967304625199362</v>
      </c>
      <c r="M228" s="27">
        <v>9.1108452950558192</v>
      </c>
      <c r="N228" s="27">
        <v>2.0663875598086125E-3</v>
      </c>
      <c r="O228" s="27" t="s">
        <v>45</v>
      </c>
      <c r="P228" s="27">
        <v>0.31897926634768736</v>
      </c>
      <c r="Q228" s="27">
        <v>2.6485247208931417E-2</v>
      </c>
      <c r="R228" s="27">
        <v>113.23763955342901</v>
      </c>
      <c r="S228" s="27" t="s">
        <v>45</v>
      </c>
      <c r="T228" s="30">
        <v>2.4870414673046253E-3</v>
      </c>
      <c r="U228" s="27">
        <v>0.99681020733652304</v>
      </c>
      <c r="V228" s="27">
        <v>0.34888357256778307</v>
      </c>
      <c r="W228" s="30">
        <v>8.3941387559808602E-3</v>
      </c>
      <c r="X228" s="27">
        <v>0.63795853269537472</v>
      </c>
      <c r="Y228" s="27" t="s">
        <v>45</v>
      </c>
      <c r="Z228" s="27" t="s">
        <v>45</v>
      </c>
      <c r="AA228" s="27">
        <v>44.946172248803826</v>
      </c>
      <c r="AB228" s="29">
        <v>2.3793859649122808E-2</v>
      </c>
      <c r="AC228" s="27">
        <v>24.750797448165866</v>
      </c>
      <c r="AD228" s="27">
        <v>1.0267145135566187</v>
      </c>
      <c r="AE228" s="27" t="s">
        <v>45</v>
      </c>
      <c r="AF228" s="27" t="s">
        <v>45</v>
      </c>
      <c r="AG228" s="27">
        <v>5.452551834130781</v>
      </c>
    </row>
    <row r="229" spans="1:33" x14ac:dyDescent="0.2">
      <c r="A229" s="1">
        <v>214</v>
      </c>
      <c r="B229" s="25" t="s">
        <v>262</v>
      </c>
      <c r="C229" s="26">
        <v>27.819055944055943</v>
      </c>
      <c r="D229" s="27">
        <v>0.10926573426573427</v>
      </c>
      <c r="E229" s="27" t="s">
        <v>45</v>
      </c>
      <c r="F229" s="27" t="s">
        <v>45</v>
      </c>
      <c r="G229" s="27" t="s">
        <v>45</v>
      </c>
      <c r="H229" s="26">
        <v>9.845935314685314E-2</v>
      </c>
      <c r="I229" s="26">
        <v>0.28409090909090912</v>
      </c>
      <c r="J229" s="27">
        <v>3.277972027972028E-2</v>
      </c>
      <c r="K229" s="27">
        <v>0.13111888111888112</v>
      </c>
      <c r="L229" s="27">
        <v>1.1254370629370629</v>
      </c>
      <c r="M229" s="27">
        <v>4.2067307692307692</v>
      </c>
      <c r="N229" s="27">
        <v>3.6243444055944062E-2</v>
      </c>
      <c r="O229" s="27" t="s">
        <v>45</v>
      </c>
      <c r="P229" s="27">
        <v>0.27316433566433568</v>
      </c>
      <c r="Q229" s="27">
        <v>2.9228583916083916E-2</v>
      </c>
      <c r="R229" s="27">
        <v>48.7652972027972</v>
      </c>
      <c r="S229" s="27" t="s">
        <v>45</v>
      </c>
      <c r="T229" s="30">
        <v>3.2910839160839164E-3</v>
      </c>
      <c r="U229" s="27">
        <v>1.103583916083916</v>
      </c>
      <c r="V229" s="27">
        <v>0.5026223776223776</v>
      </c>
      <c r="W229" s="30">
        <v>6.1822552447552441E-3</v>
      </c>
      <c r="X229" s="27">
        <v>1.6608391608391608</v>
      </c>
      <c r="Y229" s="27" t="s">
        <v>45</v>
      </c>
      <c r="Z229" s="27" t="s">
        <v>45</v>
      </c>
      <c r="AA229" s="27">
        <v>175.80856643356643</v>
      </c>
      <c r="AB229" s="29">
        <v>9.2121940559440549E-3</v>
      </c>
      <c r="AC229" s="27">
        <v>10.249125874125873</v>
      </c>
      <c r="AD229" s="27">
        <v>0.28409090909090912</v>
      </c>
      <c r="AE229" s="27" t="s">
        <v>45</v>
      </c>
      <c r="AF229" s="27" t="s">
        <v>45</v>
      </c>
      <c r="AG229" s="27">
        <v>24.39903846153846</v>
      </c>
    </row>
    <row r="230" spans="1:33" x14ac:dyDescent="0.2">
      <c r="A230" s="1">
        <v>215</v>
      </c>
      <c r="B230" s="25" t="s">
        <v>263</v>
      </c>
      <c r="C230" s="26">
        <v>22.079160705770146</v>
      </c>
      <c r="D230" s="27">
        <v>0.11921793037672866</v>
      </c>
      <c r="E230" s="27" t="s">
        <v>45</v>
      </c>
      <c r="F230" s="27" t="s">
        <v>45</v>
      </c>
      <c r="G230" s="27" t="s">
        <v>45</v>
      </c>
      <c r="H230" s="26">
        <v>5.3540772532188842E-2</v>
      </c>
      <c r="I230" s="26">
        <v>4.7687172150691466E-2</v>
      </c>
      <c r="J230" s="27" t="s">
        <v>45</v>
      </c>
      <c r="K230" s="27">
        <v>5.9608965188364331E-2</v>
      </c>
      <c r="L230" s="27">
        <v>0.79876013352408204</v>
      </c>
      <c r="M230" s="27">
        <v>3.5884597043395323</v>
      </c>
      <c r="N230" s="27">
        <v>4.0641392465426807E-2</v>
      </c>
      <c r="O230" s="27" t="s">
        <v>45</v>
      </c>
      <c r="P230" s="27">
        <v>0.30996661897949451</v>
      </c>
      <c r="Q230" s="27">
        <v>1.438960419647115E-2</v>
      </c>
      <c r="R230" s="27">
        <v>22.365283738674293</v>
      </c>
      <c r="S230" s="27" t="s">
        <v>45</v>
      </c>
      <c r="T230" s="30">
        <v>6.2827849308536013E-3</v>
      </c>
      <c r="U230" s="27">
        <v>0.15498330948974726</v>
      </c>
      <c r="V230" s="27">
        <v>0.13113972341440153</v>
      </c>
      <c r="W230" s="30">
        <v>1.0491177873152122E-3</v>
      </c>
      <c r="X230" s="27">
        <v>0.77491654744873628</v>
      </c>
      <c r="Y230" s="27" t="s">
        <v>45</v>
      </c>
      <c r="Z230" s="27" t="s">
        <v>45</v>
      </c>
      <c r="AA230" s="27">
        <v>97.126847877920838</v>
      </c>
      <c r="AB230" s="29">
        <v>5.3767286599904623E-3</v>
      </c>
      <c r="AC230" s="27">
        <v>5.0548402479732957</v>
      </c>
      <c r="AD230" s="27">
        <v>0.45302813543156895</v>
      </c>
      <c r="AE230" s="27" t="s">
        <v>45</v>
      </c>
      <c r="AF230" s="27" t="s">
        <v>45</v>
      </c>
      <c r="AG230" s="27">
        <v>32.188841201716741</v>
      </c>
    </row>
    <row r="231" spans="1:33" x14ac:dyDescent="0.2">
      <c r="A231" s="1">
        <v>216</v>
      </c>
      <c r="B231" s="25" t="s">
        <v>264</v>
      </c>
      <c r="C231" s="26">
        <v>1.4592760180995474</v>
      </c>
      <c r="D231" s="27">
        <v>0.23755656108597284</v>
      </c>
      <c r="E231" s="27" t="s">
        <v>45</v>
      </c>
      <c r="F231" s="27" t="s">
        <v>45</v>
      </c>
      <c r="G231" s="27" t="s">
        <v>45</v>
      </c>
      <c r="H231" s="26">
        <v>0.1159502262443439</v>
      </c>
      <c r="I231" s="26">
        <v>0.13574660633484162</v>
      </c>
      <c r="J231" s="27">
        <v>7.9185520361990946E-2</v>
      </c>
      <c r="K231" s="27">
        <v>1.1312217194570135E-2</v>
      </c>
      <c r="L231" s="27">
        <v>1.1199095022624435</v>
      </c>
      <c r="M231" s="27">
        <v>5.3393665158371038</v>
      </c>
      <c r="N231" s="27">
        <v>0.17556561085972852</v>
      </c>
      <c r="O231" s="27" t="s">
        <v>45</v>
      </c>
      <c r="P231" s="27">
        <v>0.1244343891402715</v>
      </c>
      <c r="Q231" s="27">
        <v>4.73868778280543E-2</v>
      </c>
      <c r="R231" s="27">
        <v>43.744343891402714</v>
      </c>
      <c r="S231" s="27" t="s">
        <v>45</v>
      </c>
      <c r="T231" s="30">
        <v>3.076923076923077E-4</v>
      </c>
      <c r="U231" s="27">
        <v>1.3574660633484161</v>
      </c>
      <c r="V231" s="27">
        <v>0.16968325791855202</v>
      </c>
      <c r="W231" s="30">
        <v>6.7839366515837114E-3</v>
      </c>
      <c r="X231" s="27">
        <v>6.5497737556561084</v>
      </c>
      <c r="Y231" s="27" t="s">
        <v>45</v>
      </c>
      <c r="Z231" s="27" t="s">
        <v>45</v>
      </c>
      <c r="AA231" s="27">
        <v>21.221719457013574</v>
      </c>
      <c r="AB231" s="29">
        <v>1.2319004524886878E-2</v>
      </c>
      <c r="AC231" s="27">
        <v>8.5294117647058805</v>
      </c>
      <c r="AD231" s="27">
        <v>0.53167420814479638</v>
      </c>
      <c r="AE231" s="27" t="s">
        <v>45</v>
      </c>
      <c r="AF231" s="27" t="s">
        <v>45</v>
      </c>
      <c r="AG231" s="27">
        <v>3.3597285067873304</v>
      </c>
    </row>
    <row r="232" spans="1:33" x14ac:dyDescent="0.2">
      <c r="A232" s="1">
        <v>217</v>
      </c>
      <c r="B232" s="25" t="s">
        <v>265</v>
      </c>
      <c r="C232" s="26">
        <v>47.644710578842314</v>
      </c>
      <c r="D232" s="27">
        <v>7.9840319361277445E-2</v>
      </c>
      <c r="E232" s="27" t="s">
        <v>45</v>
      </c>
      <c r="F232" s="27" t="s">
        <v>45</v>
      </c>
      <c r="G232" s="27" t="s">
        <v>45</v>
      </c>
      <c r="H232" s="26">
        <v>8.6047904191616773E-2</v>
      </c>
      <c r="I232" s="26">
        <v>0.279441117764471</v>
      </c>
      <c r="J232" s="27">
        <v>1.9960079840319361E-2</v>
      </c>
      <c r="K232" s="27">
        <v>1.4171656686626748</v>
      </c>
      <c r="L232" s="27">
        <v>2.0459081836327346</v>
      </c>
      <c r="M232" s="27">
        <v>20.489021956087825</v>
      </c>
      <c r="N232" s="27">
        <v>7.3283433133732534E-2</v>
      </c>
      <c r="O232" s="27" t="s">
        <v>45</v>
      </c>
      <c r="P232" s="27">
        <v>0.16966067864271456</v>
      </c>
      <c r="Q232" s="27">
        <v>1.5469061876247506E-2</v>
      </c>
      <c r="R232" s="27">
        <v>48.672654690618764</v>
      </c>
      <c r="S232" s="27" t="s">
        <v>45</v>
      </c>
      <c r="T232" s="30" t="s">
        <v>45</v>
      </c>
      <c r="U232" s="27">
        <v>5.9880239520958084E-2</v>
      </c>
      <c r="V232" s="27">
        <v>0.26946107784431139</v>
      </c>
      <c r="W232" s="30">
        <v>3.0608782435129741E-3</v>
      </c>
      <c r="X232" s="27">
        <v>2.0558882235528944</v>
      </c>
      <c r="Y232" s="27" t="s">
        <v>45</v>
      </c>
      <c r="Z232" s="27" t="s">
        <v>45</v>
      </c>
      <c r="AA232" s="27">
        <v>30.718562874251496</v>
      </c>
      <c r="AB232" s="29">
        <v>8.7574850299401187E-3</v>
      </c>
      <c r="AC232" s="27">
        <v>5.1297405189620768</v>
      </c>
      <c r="AD232" s="27">
        <v>9.6806387225548907</v>
      </c>
      <c r="AE232" s="27" t="s">
        <v>45</v>
      </c>
      <c r="AF232" s="27" t="s">
        <v>45</v>
      </c>
      <c r="AG232" s="27">
        <v>5.5489021956087816</v>
      </c>
    </row>
    <row r="233" spans="1:33" x14ac:dyDescent="0.2">
      <c r="A233" s="1">
        <v>218</v>
      </c>
      <c r="B233" s="25" t="s">
        <v>266</v>
      </c>
      <c r="C233" s="26">
        <v>23.202892386218629</v>
      </c>
      <c r="D233" s="27">
        <v>0.12760527435133984</v>
      </c>
      <c r="E233" s="27" t="s">
        <v>45</v>
      </c>
      <c r="F233" s="27" t="s">
        <v>45</v>
      </c>
      <c r="G233" s="27" t="s">
        <v>45</v>
      </c>
      <c r="H233" s="26">
        <v>0.1072947681837516</v>
      </c>
      <c r="I233" s="26">
        <v>0.12760527435133984</v>
      </c>
      <c r="J233" s="27" t="s">
        <v>45</v>
      </c>
      <c r="K233" s="27">
        <v>0.19140791152700978</v>
      </c>
      <c r="L233" s="27">
        <v>1.4355593364525734</v>
      </c>
      <c r="M233" s="27">
        <v>7.805189281156955</v>
      </c>
      <c r="N233" s="27">
        <v>6.4887282007656324E-2</v>
      </c>
      <c r="O233" s="27" t="s">
        <v>45</v>
      </c>
      <c r="P233" s="27">
        <v>8.5070182900893243E-2</v>
      </c>
      <c r="Q233" s="27">
        <v>2.2065078689919183E-2</v>
      </c>
      <c r="R233" s="27">
        <v>61.431305827307526</v>
      </c>
      <c r="S233" s="27" t="s">
        <v>45</v>
      </c>
      <c r="T233" s="30">
        <v>8.2199064227988085E-4</v>
      </c>
      <c r="U233" s="27">
        <v>0.19140791152700978</v>
      </c>
      <c r="V233" s="27">
        <v>0.24457677584006804</v>
      </c>
      <c r="W233" s="30">
        <v>4.1684389621437683E-3</v>
      </c>
      <c r="X233" s="27">
        <v>0.80816673755848578</v>
      </c>
      <c r="Y233" s="27" t="s">
        <v>45</v>
      </c>
      <c r="Z233" s="27" t="s">
        <v>45</v>
      </c>
      <c r="AA233" s="27">
        <v>19.587409612930671</v>
      </c>
      <c r="AB233" s="29">
        <v>8.7186303700552952E-3</v>
      </c>
      <c r="AC233" s="27">
        <v>7.6244151424925564</v>
      </c>
      <c r="AD233" s="27">
        <v>1.5099957464908551</v>
      </c>
      <c r="AE233" s="27" t="s">
        <v>45</v>
      </c>
      <c r="AF233" s="27" t="s">
        <v>45</v>
      </c>
      <c r="AG233" s="27">
        <v>7.7201190982560606</v>
      </c>
    </row>
    <row r="234" spans="1:33" x14ac:dyDescent="0.2">
      <c r="A234" s="1">
        <v>219</v>
      </c>
      <c r="B234" s="25" t="s">
        <v>267</v>
      </c>
      <c r="C234" s="26">
        <v>56.244218316373725</v>
      </c>
      <c r="D234" s="27" t="s">
        <v>45</v>
      </c>
      <c r="E234" s="27" t="s">
        <v>45</v>
      </c>
      <c r="F234" s="27" t="s">
        <v>45</v>
      </c>
      <c r="G234" s="27" t="s">
        <v>45</v>
      </c>
      <c r="H234" s="26">
        <v>0.27717391304347827</v>
      </c>
      <c r="I234" s="26">
        <v>0.33533765032377427</v>
      </c>
      <c r="J234" s="27" t="s">
        <v>45</v>
      </c>
      <c r="K234" s="27">
        <v>0.20814061054579092</v>
      </c>
      <c r="L234" s="27">
        <v>2.7173913043478262</v>
      </c>
      <c r="M234" s="27">
        <v>18.027289546716005</v>
      </c>
      <c r="N234" s="27">
        <v>6.1112395929694731E-2</v>
      </c>
      <c r="O234" s="27" t="s">
        <v>45</v>
      </c>
      <c r="P234" s="27">
        <v>0.15032377428307123</v>
      </c>
      <c r="Q234" s="27">
        <v>2.4248381128584642E-2</v>
      </c>
      <c r="R234" s="27">
        <v>98.635522664199812</v>
      </c>
      <c r="S234" s="27" t="s">
        <v>45</v>
      </c>
      <c r="T234" s="30">
        <v>4.1859389454209067E-4</v>
      </c>
      <c r="U234" s="27">
        <v>0.35846438482886217</v>
      </c>
      <c r="V234" s="27">
        <v>1.6188714153561519</v>
      </c>
      <c r="W234" s="30">
        <v>1.3031914893617021E-2</v>
      </c>
      <c r="X234" s="27">
        <v>1.3991674375578167</v>
      </c>
      <c r="Y234" s="27" t="s">
        <v>45</v>
      </c>
      <c r="Z234" s="27" t="s">
        <v>45</v>
      </c>
      <c r="AA234" s="27">
        <v>49.595282146160962</v>
      </c>
      <c r="AB234" s="29">
        <v>1.7275670675300649E-2</v>
      </c>
      <c r="AC234" s="27">
        <v>12.557816836262718</v>
      </c>
      <c r="AD234" s="27">
        <v>1.2950971322849212</v>
      </c>
      <c r="AE234" s="27" t="s">
        <v>45</v>
      </c>
      <c r="AF234" s="27" t="s">
        <v>45</v>
      </c>
      <c r="AG234" s="27">
        <v>17.969472710453285</v>
      </c>
    </row>
    <row r="235" spans="1:33" x14ac:dyDescent="0.2">
      <c r="A235" s="1">
        <v>220</v>
      </c>
      <c r="B235" s="25" t="s">
        <v>268</v>
      </c>
      <c r="C235" s="26">
        <v>10.391225689733153</v>
      </c>
      <c r="D235" s="27">
        <v>3.3921302578018994E-2</v>
      </c>
      <c r="E235" s="27" t="s">
        <v>45</v>
      </c>
      <c r="F235" s="27" t="s">
        <v>45</v>
      </c>
      <c r="G235" s="27" t="s">
        <v>45</v>
      </c>
      <c r="H235" s="26">
        <v>0.30088195386702848</v>
      </c>
      <c r="I235" s="26">
        <v>4.5228403437358664E-2</v>
      </c>
      <c r="J235" s="27" t="s">
        <v>45</v>
      </c>
      <c r="K235" s="27">
        <v>0.27137042062415195</v>
      </c>
      <c r="L235" s="27">
        <v>2.1031207598371777</v>
      </c>
      <c r="M235" s="27">
        <v>7.8132066938037079</v>
      </c>
      <c r="N235" s="27">
        <v>0.15061058344640435</v>
      </c>
      <c r="O235" s="27" t="s">
        <v>45</v>
      </c>
      <c r="P235" s="27">
        <v>0.35052012663952964</v>
      </c>
      <c r="Q235" s="27">
        <v>3.0178652193577571E-2</v>
      </c>
      <c r="R235" s="27">
        <v>71.426956128448666</v>
      </c>
      <c r="S235" s="27" t="s">
        <v>45</v>
      </c>
      <c r="T235" s="30" t="s">
        <v>45</v>
      </c>
      <c r="U235" s="27">
        <v>0.52012663952962457</v>
      </c>
      <c r="V235" s="27">
        <v>0.66711895070104021</v>
      </c>
      <c r="W235" s="30">
        <v>2.1472184531886027E-2</v>
      </c>
      <c r="X235" s="27">
        <v>4.3419267299864313</v>
      </c>
      <c r="Y235" s="27" t="s">
        <v>45</v>
      </c>
      <c r="Z235" s="27" t="s">
        <v>45</v>
      </c>
      <c r="AA235" s="27">
        <v>487.56218905472645</v>
      </c>
      <c r="AB235" s="29">
        <v>1.8928086838534603E-2</v>
      </c>
      <c r="AC235" s="27">
        <v>18.034825870646767</v>
      </c>
      <c r="AD235" s="27">
        <v>0.55404794210764363</v>
      </c>
      <c r="AE235" s="27" t="s">
        <v>45</v>
      </c>
      <c r="AF235" s="27" t="s">
        <v>45</v>
      </c>
      <c r="AG235" s="27">
        <v>3.8896426956128449</v>
      </c>
    </row>
    <row r="236" spans="1:33" x14ac:dyDescent="0.2">
      <c r="A236" s="1">
        <v>221</v>
      </c>
      <c r="B236" s="25" t="s">
        <v>269</v>
      </c>
      <c r="C236" s="26">
        <v>4.4599018003273327</v>
      </c>
      <c r="D236" s="27">
        <v>0.10229132569558101</v>
      </c>
      <c r="E236" s="27" t="s">
        <v>45</v>
      </c>
      <c r="F236" s="27" t="s">
        <v>45</v>
      </c>
      <c r="G236" s="27" t="s">
        <v>45</v>
      </c>
      <c r="H236" s="26">
        <v>5.408142389525368E-2</v>
      </c>
      <c r="I236" s="26">
        <v>4.0916530278232409E-2</v>
      </c>
      <c r="J236" s="27">
        <v>1.0229132569558102E-2</v>
      </c>
      <c r="K236" s="27">
        <v>0.27618657937806873</v>
      </c>
      <c r="L236" s="27">
        <v>0.91039279869067102</v>
      </c>
      <c r="M236" s="27">
        <v>5.0838788870703757</v>
      </c>
      <c r="N236" s="27">
        <v>0.11916939443535189</v>
      </c>
      <c r="O236" s="27" t="s">
        <v>45</v>
      </c>
      <c r="P236" s="27">
        <v>0.11252045826513911</v>
      </c>
      <c r="Q236" s="27">
        <v>1.2121522094926351E-2</v>
      </c>
      <c r="R236" s="27">
        <v>17.768003273322424</v>
      </c>
      <c r="S236" s="27" t="s">
        <v>45</v>
      </c>
      <c r="T236" s="30" t="s">
        <v>45</v>
      </c>
      <c r="U236" s="27">
        <v>0.15343698854337151</v>
      </c>
      <c r="V236" s="27">
        <v>0.11252045826513911</v>
      </c>
      <c r="W236" s="30">
        <v>9.5846972176759425E-4</v>
      </c>
      <c r="X236" s="27">
        <v>2.4549918166939442</v>
      </c>
      <c r="Y236" s="27" t="s">
        <v>45</v>
      </c>
      <c r="Z236" s="27" t="s">
        <v>45</v>
      </c>
      <c r="AA236" s="27">
        <v>7.5184124386252043</v>
      </c>
      <c r="AB236" s="29">
        <v>4.9263502454991812E-3</v>
      </c>
      <c r="AC236" s="27">
        <v>3.2630932896890341</v>
      </c>
      <c r="AD236" s="27">
        <v>0.98199672667757765</v>
      </c>
      <c r="AE236" s="27" t="s">
        <v>45</v>
      </c>
      <c r="AF236" s="27" t="s">
        <v>45</v>
      </c>
      <c r="AG236" s="27">
        <v>3.2937806873977085</v>
      </c>
    </row>
    <row r="237" spans="1:33" x14ac:dyDescent="0.2">
      <c r="A237" s="1">
        <v>222</v>
      </c>
      <c r="B237" s="25" t="s">
        <v>270</v>
      </c>
      <c r="C237" s="26">
        <v>10.463800904977376</v>
      </c>
      <c r="D237" s="27">
        <v>4.5248868778280542E-2</v>
      </c>
      <c r="E237" s="27" t="s">
        <v>45</v>
      </c>
      <c r="F237" s="27" t="s">
        <v>45</v>
      </c>
      <c r="G237" s="27" t="s">
        <v>45</v>
      </c>
      <c r="H237" s="26">
        <v>6.876696832579185E-2</v>
      </c>
      <c r="I237" s="26">
        <v>0.10180995475113122</v>
      </c>
      <c r="J237" s="27">
        <v>3.3936651583710405E-2</v>
      </c>
      <c r="K237" s="27">
        <v>0.56561085972850678</v>
      </c>
      <c r="L237" s="27">
        <v>0.80316742081447967</v>
      </c>
      <c r="M237" s="27">
        <v>3.1447963800904977</v>
      </c>
      <c r="N237" s="27">
        <v>0.30169683257918556</v>
      </c>
      <c r="O237" s="27" t="s">
        <v>45</v>
      </c>
      <c r="P237" s="27">
        <v>0.37330316742081449</v>
      </c>
      <c r="Q237" s="27">
        <v>3.1085972850678739E-2</v>
      </c>
      <c r="R237" s="27">
        <v>36.493212669683253</v>
      </c>
      <c r="S237" s="27" t="s">
        <v>45</v>
      </c>
      <c r="T237" s="30" t="s">
        <v>45</v>
      </c>
      <c r="U237" s="27" t="s">
        <v>45</v>
      </c>
      <c r="V237" s="27">
        <v>0.83710407239819007</v>
      </c>
      <c r="W237" s="30">
        <v>1.4570135746606336E-3</v>
      </c>
      <c r="X237" s="27">
        <v>6.7986425339366514</v>
      </c>
      <c r="Y237" s="27" t="s">
        <v>45</v>
      </c>
      <c r="Z237" s="27" t="s">
        <v>45</v>
      </c>
      <c r="AA237" s="27">
        <v>19.027149321266968</v>
      </c>
      <c r="AB237" s="29">
        <v>5.5882352941176473E-3</v>
      </c>
      <c r="AC237" s="27">
        <v>3.7669683257918556</v>
      </c>
      <c r="AD237" s="27">
        <v>1.2104072398190044</v>
      </c>
      <c r="AE237" s="27" t="s">
        <v>45</v>
      </c>
      <c r="AF237" s="27" t="s">
        <v>45</v>
      </c>
      <c r="AG237" s="27">
        <v>3.6085972850678734</v>
      </c>
    </row>
    <row r="238" spans="1:33" x14ac:dyDescent="0.2">
      <c r="A238" s="1">
        <v>223</v>
      </c>
      <c r="B238" s="25" t="s">
        <v>271</v>
      </c>
      <c r="C238" s="26">
        <v>5.9762435040831479</v>
      </c>
      <c r="D238" s="27" t="s">
        <v>45</v>
      </c>
      <c r="E238" s="27" t="s">
        <v>45</v>
      </c>
      <c r="F238" s="27" t="s">
        <v>45</v>
      </c>
      <c r="G238" s="27" t="s">
        <v>45</v>
      </c>
      <c r="H238" s="26">
        <v>0.10866740905716409</v>
      </c>
      <c r="I238" s="26">
        <v>0.111358574610245</v>
      </c>
      <c r="J238" s="27">
        <v>5.5679287305122498E-2</v>
      </c>
      <c r="K238" s="27">
        <v>0.12991833704528583</v>
      </c>
      <c r="L238" s="27">
        <v>1.0300668151447663</v>
      </c>
      <c r="M238" s="27">
        <v>5.1781737193763924</v>
      </c>
      <c r="N238" s="27">
        <v>0.24990720118782481</v>
      </c>
      <c r="O238" s="27" t="s">
        <v>45</v>
      </c>
      <c r="P238" s="27">
        <v>0.23199703043801043</v>
      </c>
      <c r="Q238" s="27">
        <v>5.2236451373422428E-2</v>
      </c>
      <c r="R238" s="27">
        <v>49.081291759465486</v>
      </c>
      <c r="S238" s="27" t="s">
        <v>45</v>
      </c>
      <c r="T238" s="30">
        <v>1.3548626577579808E-4</v>
      </c>
      <c r="U238" s="27">
        <v>2.050853749072012</v>
      </c>
      <c r="V238" s="27">
        <v>5.5679287305122498E-2</v>
      </c>
      <c r="W238" s="30">
        <v>1.1581291759465481E-2</v>
      </c>
      <c r="X238" s="27">
        <v>9.14068299925761</v>
      </c>
      <c r="Y238" s="27" t="s">
        <v>45</v>
      </c>
      <c r="Z238" s="27" t="s">
        <v>45</v>
      </c>
      <c r="AA238" s="27">
        <v>39.708611729769864</v>
      </c>
      <c r="AB238" s="29">
        <v>1.494060876020787E-2</v>
      </c>
      <c r="AC238" s="27">
        <v>8.184855233853007</v>
      </c>
      <c r="AD238" s="27">
        <v>0.90942835931700083</v>
      </c>
      <c r="AE238" s="27" t="s">
        <v>45</v>
      </c>
      <c r="AF238" s="27" t="s">
        <v>45</v>
      </c>
      <c r="AG238" s="27">
        <v>3.8604305864884934</v>
      </c>
    </row>
    <row r="239" spans="1:33" x14ac:dyDescent="0.2">
      <c r="A239" s="1">
        <v>224</v>
      </c>
      <c r="B239" s="25" t="s">
        <v>272</v>
      </c>
      <c r="C239" s="26">
        <v>38.609675904180357</v>
      </c>
      <c r="D239" s="27">
        <v>7.0455612963832778E-2</v>
      </c>
      <c r="E239" s="27" t="s">
        <v>45</v>
      </c>
      <c r="F239" s="27" t="s">
        <v>45</v>
      </c>
      <c r="G239" s="27" t="s">
        <v>45</v>
      </c>
      <c r="H239" s="26">
        <v>7.2052606857679669E-2</v>
      </c>
      <c r="I239" s="26">
        <v>0.24659464537341474</v>
      </c>
      <c r="J239" s="27" t="s">
        <v>45</v>
      </c>
      <c r="K239" s="27">
        <v>2.1371535932362611</v>
      </c>
      <c r="L239" s="27">
        <v>1.385627054955378</v>
      </c>
      <c r="M239" s="27">
        <v>22.44011272898074</v>
      </c>
      <c r="N239" s="27">
        <v>6.7402536402066698E-2</v>
      </c>
      <c r="O239" s="27" t="s">
        <v>45</v>
      </c>
      <c r="P239" s="27">
        <v>0.41099107562235793</v>
      </c>
      <c r="Q239" s="27">
        <v>1.4138093001409112E-2</v>
      </c>
      <c r="R239" s="27">
        <v>38.70361672146548</v>
      </c>
      <c r="S239" s="27" t="s">
        <v>45</v>
      </c>
      <c r="T239" s="30">
        <v>4.8849224988257393E-4</v>
      </c>
      <c r="U239" s="27">
        <v>5.8713010803193987E-2</v>
      </c>
      <c r="V239" s="27">
        <v>0.70455612963832781</v>
      </c>
      <c r="W239" s="30">
        <v>1.3116486613433537E-3</v>
      </c>
      <c r="X239" s="27">
        <v>1.4443400657585721</v>
      </c>
      <c r="Y239" s="27" t="s">
        <v>45</v>
      </c>
      <c r="Z239" s="27" t="s">
        <v>45</v>
      </c>
      <c r="AA239" s="27">
        <v>97.146547674964779</v>
      </c>
      <c r="AB239" s="29">
        <v>5.6587599812118368E-3</v>
      </c>
      <c r="AC239" s="27">
        <v>5.2724283701268204</v>
      </c>
      <c r="AD239" s="27">
        <v>12.999060591827149</v>
      </c>
      <c r="AE239" s="27" t="s">
        <v>45</v>
      </c>
      <c r="AF239" s="27" t="s">
        <v>45</v>
      </c>
      <c r="AG239" s="27">
        <v>7.8088304368248007</v>
      </c>
    </row>
    <row r="240" spans="1:33" x14ac:dyDescent="0.2">
      <c r="A240" s="1">
        <v>225</v>
      </c>
      <c r="B240" s="25" t="s">
        <v>273</v>
      </c>
      <c r="C240" s="26">
        <v>13.728395061728394</v>
      </c>
      <c r="D240" s="27">
        <v>7.407407407407407E-2</v>
      </c>
      <c r="E240" s="27" t="s">
        <v>45</v>
      </c>
      <c r="F240" s="27" t="s">
        <v>45</v>
      </c>
      <c r="G240" s="27" t="s">
        <v>45</v>
      </c>
      <c r="H240" s="26">
        <v>0.10669135802469135</v>
      </c>
      <c r="I240" s="26">
        <v>0.50617283950617287</v>
      </c>
      <c r="J240" s="27">
        <v>2.4691358024691357E-2</v>
      </c>
      <c r="K240" s="27">
        <v>2.4691358024691357E-2</v>
      </c>
      <c r="L240" s="27">
        <v>1.6419753086419751</v>
      </c>
      <c r="M240" s="27">
        <v>4.9382716049382713</v>
      </c>
      <c r="N240" s="27">
        <v>1.0743209876543208E-2</v>
      </c>
      <c r="O240" s="27" t="s">
        <v>45</v>
      </c>
      <c r="P240" s="27">
        <v>0.38271604938271603</v>
      </c>
      <c r="Q240" s="27">
        <v>2.2209876543209873E-2</v>
      </c>
      <c r="R240" s="27">
        <v>47.617283950617278</v>
      </c>
      <c r="S240" s="27" t="s">
        <v>45</v>
      </c>
      <c r="T240" s="30" t="s">
        <v>45</v>
      </c>
      <c r="U240" s="27">
        <v>0.77777777777777768</v>
      </c>
      <c r="V240" s="27">
        <v>0.95061728395061729</v>
      </c>
      <c r="W240" s="30">
        <v>8.9876543209876545E-4</v>
      </c>
      <c r="X240" s="27">
        <v>0.66666666666666663</v>
      </c>
      <c r="Y240" s="27" t="s">
        <v>45</v>
      </c>
      <c r="Z240" s="27" t="s">
        <v>45</v>
      </c>
      <c r="AA240" s="27">
        <v>2787.654320987654</v>
      </c>
      <c r="AB240" s="29">
        <v>6.4802469135802464E-3</v>
      </c>
      <c r="AC240" s="27">
        <v>7.4074074074074066</v>
      </c>
      <c r="AD240" s="27">
        <v>0.38271604938271603</v>
      </c>
      <c r="AE240" s="27" t="s">
        <v>45</v>
      </c>
      <c r="AF240" s="27" t="s">
        <v>45</v>
      </c>
      <c r="AG240" s="27">
        <v>6.8765432098765435</v>
      </c>
    </row>
    <row r="241" spans="1:33" x14ac:dyDescent="0.2">
      <c r="A241" s="1">
        <v>226</v>
      </c>
      <c r="B241" s="25" t="s">
        <v>274</v>
      </c>
      <c r="C241" s="26">
        <v>3.1986190089358244</v>
      </c>
      <c r="D241" s="27">
        <v>0.14216084484159219</v>
      </c>
      <c r="E241" s="27" t="s">
        <v>45</v>
      </c>
      <c r="F241" s="27" t="s">
        <v>45</v>
      </c>
      <c r="G241" s="27" t="s">
        <v>45</v>
      </c>
      <c r="H241" s="26">
        <v>0.10824532900081235</v>
      </c>
      <c r="I241" s="26">
        <v>6.0926076360682369E-2</v>
      </c>
      <c r="J241" s="27">
        <v>6.0926076360682369E-2</v>
      </c>
      <c r="K241" s="27">
        <v>7.1080422420796097E-2</v>
      </c>
      <c r="L241" s="27">
        <v>1.5637692932575142</v>
      </c>
      <c r="M241" s="27">
        <v>5.4427294882209587</v>
      </c>
      <c r="N241" s="27">
        <v>8.2229894394800981E-2</v>
      </c>
      <c r="O241" s="27" t="s">
        <v>45</v>
      </c>
      <c r="P241" s="27">
        <v>0.3960194963444354</v>
      </c>
      <c r="Q241" s="27">
        <v>6.6186027619821286E-2</v>
      </c>
      <c r="R241" s="27">
        <v>40.77985377741674</v>
      </c>
      <c r="S241" s="27" t="s">
        <v>45</v>
      </c>
      <c r="T241" s="30" t="s">
        <v>45</v>
      </c>
      <c r="U241" s="27">
        <v>1.7770105605199027</v>
      </c>
      <c r="V241" s="27">
        <v>0.31478472786352557</v>
      </c>
      <c r="W241" s="30">
        <v>5.0731112916328185E-3</v>
      </c>
      <c r="X241" s="27">
        <v>2.7822908204711618</v>
      </c>
      <c r="Y241" s="27" t="s">
        <v>45</v>
      </c>
      <c r="Z241" s="27" t="s">
        <v>45</v>
      </c>
      <c r="AA241" s="27">
        <v>1358.6515028432168</v>
      </c>
      <c r="AB241" s="29">
        <v>1.0438667749796914E-2</v>
      </c>
      <c r="AC241" s="27">
        <v>9.6161657189277019</v>
      </c>
      <c r="AD241" s="27">
        <v>0.34524776604386676</v>
      </c>
      <c r="AE241" s="27" t="s">
        <v>45</v>
      </c>
      <c r="AF241" s="27" t="s">
        <v>45</v>
      </c>
      <c r="AG241" s="27">
        <v>2.1222583265637693</v>
      </c>
    </row>
    <row r="242" spans="1:33" x14ac:dyDescent="0.2">
      <c r="A242" s="1">
        <v>227</v>
      </c>
      <c r="B242" s="25" t="s">
        <v>275</v>
      </c>
      <c r="C242" s="26">
        <v>23.222277473893584</v>
      </c>
      <c r="D242" s="27" t="s">
        <v>45</v>
      </c>
      <c r="E242" s="27" t="s">
        <v>45</v>
      </c>
      <c r="F242" s="27" t="s">
        <v>45</v>
      </c>
      <c r="G242" s="27" t="s">
        <v>45</v>
      </c>
      <c r="H242" s="26">
        <v>7.4254102436598704E-2</v>
      </c>
      <c r="I242" s="26" t="s">
        <v>45</v>
      </c>
      <c r="J242" s="27" t="s">
        <v>45</v>
      </c>
      <c r="K242" s="27" t="s">
        <v>45</v>
      </c>
      <c r="L242" s="27">
        <v>0.8577821979114868</v>
      </c>
      <c r="M242" s="27">
        <v>7.0238687220288414</v>
      </c>
      <c r="N242" s="27">
        <v>7.0350571854798608E-2</v>
      </c>
      <c r="O242" s="27" t="s">
        <v>45</v>
      </c>
      <c r="P242" s="27" t="s">
        <v>45</v>
      </c>
      <c r="Q242" s="27">
        <v>1.6894579811039284E-2</v>
      </c>
      <c r="R242" s="27">
        <v>31.539035305817997</v>
      </c>
      <c r="S242" s="27" t="s">
        <v>45</v>
      </c>
      <c r="T242" s="30">
        <v>3.505718547986077E-4</v>
      </c>
      <c r="U242" s="27" t="s">
        <v>45</v>
      </c>
      <c r="V242" s="27">
        <v>0.17404276479363498</v>
      </c>
      <c r="W242" s="30">
        <v>4.6693187468920929E-3</v>
      </c>
      <c r="X242" s="27">
        <v>2.026355047240179</v>
      </c>
      <c r="Y242" s="27">
        <v>0.23620089507707609</v>
      </c>
      <c r="Z242" s="27" t="s">
        <v>45</v>
      </c>
      <c r="AA242" s="27">
        <v>30.271009448035802</v>
      </c>
      <c r="AB242" s="29">
        <v>6.6907011437095975E-3</v>
      </c>
      <c r="AC242" s="27">
        <v>3.667329686723023</v>
      </c>
      <c r="AD242" s="27">
        <v>0.55942317255096963</v>
      </c>
      <c r="AE242" s="27">
        <v>0.57185479860765787</v>
      </c>
      <c r="AF242" s="27" t="s">
        <v>45</v>
      </c>
      <c r="AG242" s="27">
        <v>4.0900049726504228</v>
      </c>
    </row>
    <row r="243" spans="1:33" x14ac:dyDescent="0.2">
      <c r="A243" s="1">
        <v>228</v>
      </c>
      <c r="B243" s="25" t="s">
        <v>276</v>
      </c>
      <c r="C243" s="26">
        <v>11.136999068033552</v>
      </c>
      <c r="D243" s="27" t="s">
        <v>45</v>
      </c>
      <c r="E243" s="27" t="s">
        <v>45</v>
      </c>
      <c r="F243" s="27" t="s">
        <v>45</v>
      </c>
      <c r="G243" s="27" t="s">
        <v>45</v>
      </c>
      <c r="H243" s="26">
        <v>0.30055917986952468</v>
      </c>
      <c r="I243" s="26" t="s">
        <v>45</v>
      </c>
      <c r="J243" s="27" t="s">
        <v>45</v>
      </c>
      <c r="K243" s="27" t="s">
        <v>45</v>
      </c>
      <c r="L243" s="27">
        <v>1.8755824790307547</v>
      </c>
      <c r="M243" s="27">
        <v>8.6090400745573152</v>
      </c>
      <c r="N243" s="27">
        <v>8.5216682199440827E-2</v>
      </c>
      <c r="O243" s="27" t="s">
        <v>45</v>
      </c>
      <c r="P243" s="27" t="s">
        <v>45</v>
      </c>
      <c r="Q243" s="27">
        <v>2.1062441752096928E-2</v>
      </c>
      <c r="R243" s="27">
        <v>79.566635601118364</v>
      </c>
      <c r="S243" s="27" t="s">
        <v>45</v>
      </c>
      <c r="T243" s="30">
        <v>3.9958061509785646E-4</v>
      </c>
      <c r="U243" s="27">
        <v>0.72227399813606707</v>
      </c>
      <c r="V243" s="27">
        <v>1.4095992544268405</v>
      </c>
      <c r="W243" s="30">
        <v>1.5866728797763283E-2</v>
      </c>
      <c r="X243" s="27">
        <v>1.8755824790307547</v>
      </c>
      <c r="Y243" s="27" t="s">
        <v>45</v>
      </c>
      <c r="Z243" s="27" t="s">
        <v>45</v>
      </c>
      <c r="AA243" s="27">
        <v>604.03075489282378</v>
      </c>
      <c r="AB243" s="29">
        <v>1.7870456663560113E-2</v>
      </c>
      <c r="AC243" s="27">
        <v>20.701304753028889</v>
      </c>
      <c r="AD243" s="27">
        <v>0.46598322460391428</v>
      </c>
      <c r="AE243" s="27">
        <v>3.9492078285181731</v>
      </c>
      <c r="AF243" s="27" t="s">
        <v>45</v>
      </c>
      <c r="AG243" s="27">
        <v>6.9897483690587139</v>
      </c>
    </row>
    <row r="244" spans="1:33" x14ac:dyDescent="0.2">
      <c r="A244" s="1">
        <v>229</v>
      </c>
      <c r="B244" s="25" t="s">
        <v>277</v>
      </c>
      <c r="C244" s="26">
        <v>28.471350899205348</v>
      </c>
      <c r="D244" s="27" t="s">
        <v>45</v>
      </c>
      <c r="E244" s="27" t="s">
        <v>45</v>
      </c>
      <c r="F244" s="27" t="s">
        <v>45</v>
      </c>
      <c r="G244" s="27" t="s">
        <v>45</v>
      </c>
      <c r="H244" s="26">
        <v>0.11334169803429527</v>
      </c>
      <c r="I244" s="26">
        <v>9.4102885821831864E-2</v>
      </c>
      <c r="J244" s="27" t="s">
        <v>45</v>
      </c>
      <c r="K244" s="27">
        <v>0.42869092429945632</v>
      </c>
      <c r="L244" s="27">
        <v>1.1501463822668339</v>
      </c>
      <c r="M244" s="27">
        <v>9.7135089920535336</v>
      </c>
      <c r="N244" s="27">
        <v>8.7672521957340016E-2</v>
      </c>
      <c r="O244" s="27" t="s">
        <v>45</v>
      </c>
      <c r="P244" s="27" t="s">
        <v>45</v>
      </c>
      <c r="Q244" s="27">
        <v>1.5809284818067752E-2</v>
      </c>
      <c r="R244" s="27">
        <v>54.318276871601832</v>
      </c>
      <c r="S244" s="27" t="s">
        <v>45</v>
      </c>
      <c r="T244" s="30">
        <v>4.0882475951484735E-4</v>
      </c>
      <c r="U244" s="27">
        <v>6.2735257214554571E-2</v>
      </c>
      <c r="V244" s="27">
        <v>0.62735257214554574</v>
      </c>
      <c r="W244" s="30">
        <v>5.2028439983270603E-3</v>
      </c>
      <c r="X244" s="27">
        <v>1.589293182768716</v>
      </c>
      <c r="Y244" s="27">
        <v>8.3647009619406104E-2</v>
      </c>
      <c r="Z244" s="27" t="s">
        <v>45</v>
      </c>
      <c r="AA244" s="27">
        <v>21.068590547887915</v>
      </c>
      <c r="AB244" s="29">
        <v>8.3741112505227918E-3</v>
      </c>
      <c r="AC244" s="27">
        <v>5.7193642827268922</v>
      </c>
      <c r="AD244" s="27">
        <v>0.63780844834797157</v>
      </c>
      <c r="AE244" s="27">
        <v>2.2898368883312421</v>
      </c>
      <c r="AF244" s="27" t="s">
        <v>45</v>
      </c>
      <c r="AG244" s="27">
        <v>10.173567544960267</v>
      </c>
    </row>
    <row r="245" spans="1:33" x14ac:dyDescent="0.2">
      <c r="A245" s="1">
        <v>230</v>
      </c>
      <c r="B245" s="25" t="s">
        <v>278</v>
      </c>
      <c r="C245" s="26">
        <v>48.985003657644477</v>
      </c>
      <c r="D245" s="27" t="s">
        <v>45</v>
      </c>
      <c r="E245" s="27" t="s">
        <v>45</v>
      </c>
      <c r="F245" s="27" t="s">
        <v>45</v>
      </c>
      <c r="G245" s="27" t="s">
        <v>45</v>
      </c>
      <c r="H245" s="26">
        <v>0.14676298463789322</v>
      </c>
      <c r="I245" s="26">
        <v>9.1441111923921015E-2</v>
      </c>
      <c r="J245" s="27" t="s">
        <v>45</v>
      </c>
      <c r="K245" s="27">
        <v>9.1441111923921004E-3</v>
      </c>
      <c r="L245" s="27">
        <v>2.6700804681784933</v>
      </c>
      <c r="M245" s="27">
        <v>19.056327724945138</v>
      </c>
      <c r="N245" s="27">
        <v>0.13496708119970741</v>
      </c>
      <c r="O245" s="27" t="s">
        <v>45</v>
      </c>
      <c r="P245" s="27" t="s">
        <v>45</v>
      </c>
      <c r="Q245" s="27">
        <v>2.4945135332845651E-2</v>
      </c>
      <c r="R245" s="27">
        <v>103.6027798098025</v>
      </c>
      <c r="S245" s="27" t="s">
        <v>45</v>
      </c>
      <c r="T245" s="30">
        <v>4.3068763716166795E-4</v>
      </c>
      <c r="U245" s="27" t="s">
        <v>45</v>
      </c>
      <c r="V245" s="27">
        <v>0.33833211411850772</v>
      </c>
      <c r="W245" s="30">
        <v>2.0089612289685446E-2</v>
      </c>
      <c r="X245" s="27">
        <v>2.5329188002926117</v>
      </c>
      <c r="Y245" s="27">
        <v>4.5720555961960507E-2</v>
      </c>
      <c r="Z245" s="27" t="s">
        <v>45</v>
      </c>
      <c r="AA245" s="27">
        <v>65.682150694952455</v>
      </c>
      <c r="AB245" s="29">
        <v>1.3844184345281641E-2</v>
      </c>
      <c r="AC245" s="27">
        <v>6.5929041697147044</v>
      </c>
      <c r="AD245" s="27">
        <v>1.4356254572055596</v>
      </c>
      <c r="AE245" s="27">
        <v>5.31272860277981</v>
      </c>
      <c r="AF245" s="27" t="s">
        <v>45</v>
      </c>
      <c r="AG245" s="27">
        <v>11.631309436722752</v>
      </c>
    </row>
    <row r="246" spans="1:33" x14ac:dyDescent="0.2">
      <c r="A246" s="1">
        <v>231</v>
      </c>
      <c r="B246" s="25" t="s">
        <v>279</v>
      </c>
      <c r="C246" s="26">
        <v>91.617647058823522</v>
      </c>
      <c r="D246" s="27" t="s">
        <v>45</v>
      </c>
      <c r="E246" s="27" t="s">
        <v>45</v>
      </c>
      <c r="F246" s="27" t="s">
        <v>45</v>
      </c>
      <c r="G246" s="27" t="s">
        <v>45</v>
      </c>
      <c r="H246" s="26">
        <v>0.50565610859728516</v>
      </c>
      <c r="I246" s="26" t="s">
        <v>45</v>
      </c>
      <c r="J246" s="27" t="s">
        <v>45</v>
      </c>
      <c r="K246" s="27">
        <v>0.26018099547511309</v>
      </c>
      <c r="L246" s="27">
        <v>2.8167420814479636</v>
      </c>
      <c r="M246" s="27">
        <v>72.398190045248867</v>
      </c>
      <c r="N246" s="27">
        <v>7.8178733031674191E-2</v>
      </c>
      <c r="O246" s="27" t="s">
        <v>45</v>
      </c>
      <c r="P246" s="27" t="s">
        <v>45</v>
      </c>
      <c r="Q246" s="27">
        <v>9.3665158371040724E-2</v>
      </c>
      <c r="R246" s="27">
        <v>129.07239819004525</v>
      </c>
      <c r="S246" s="27" t="s">
        <v>45</v>
      </c>
      <c r="T246" s="30">
        <v>9.4004524886877815E-4</v>
      </c>
      <c r="U246" s="27">
        <v>0.96153846153846168</v>
      </c>
      <c r="V246" s="27">
        <v>0.39592760180995479</v>
      </c>
      <c r="W246" s="30">
        <v>2.8223981900452489E-2</v>
      </c>
      <c r="X246" s="27">
        <v>1.1877828054298643</v>
      </c>
      <c r="Y246" s="27" t="s">
        <v>45</v>
      </c>
      <c r="Z246" s="27" t="s">
        <v>45</v>
      </c>
      <c r="AA246" s="27">
        <v>152.82805429864251</v>
      </c>
      <c r="AB246" s="29">
        <v>2.7828054298642536E-2</v>
      </c>
      <c r="AC246" s="27">
        <v>25.904977375565615</v>
      </c>
      <c r="AD246" s="27">
        <v>5.9615384615384608</v>
      </c>
      <c r="AE246" s="27">
        <v>17.420814479638008</v>
      </c>
      <c r="AF246" s="27" t="s">
        <v>45</v>
      </c>
      <c r="AG246" s="27">
        <v>6.7194570135746607</v>
      </c>
    </row>
    <row r="247" spans="1:33" x14ac:dyDescent="0.2">
      <c r="A247" s="1">
        <v>232</v>
      </c>
      <c r="B247" s="25" t="s">
        <v>280</v>
      </c>
      <c r="C247" s="26">
        <v>9.0271055179090034</v>
      </c>
      <c r="D247" s="27" t="s">
        <v>45</v>
      </c>
      <c r="E247" s="27" t="s">
        <v>45</v>
      </c>
      <c r="F247" s="27" t="s">
        <v>45</v>
      </c>
      <c r="G247" s="27" t="s">
        <v>45</v>
      </c>
      <c r="H247" s="26">
        <v>0.23027589545014523</v>
      </c>
      <c r="I247" s="26" t="s">
        <v>45</v>
      </c>
      <c r="J247" s="27" t="s">
        <v>45</v>
      </c>
      <c r="K247" s="27" t="s">
        <v>45</v>
      </c>
      <c r="L247" s="27">
        <v>1.3310745401742496</v>
      </c>
      <c r="M247" s="27">
        <v>6.3407550822846082</v>
      </c>
      <c r="N247" s="27">
        <v>4.0004840271055178E-2</v>
      </c>
      <c r="O247" s="27" t="s">
        <v>45</v>
      </c>
      <c r="P247" s="27" t="s">
        <v>45</v>
      </c>
      <c r="Q247" s="27">
        <v>2.4951597289448207E-2</v>
      </c>
      <c r="R247" s="27">
        <v>99.624878993223618</v>
      </c>
      <c r="S247" s="27" t="s">
        <v>45</v>
      </c>
      <c r="T247" s="30">
        <v>2.2386253630203291E-4</v>
      </c>
      <c r="U247" s="27">
        <v>0.12100677637947725</v>
      </c>
      <c r="V247" s="27">
        <v>0.36302032913843174</v>
      </c>
      <c r="W247" s="30">
        <v>1.1916747337850921E-2</v>
      </c>
      <c r="X247" s="27">
        <v>0.38722168441432719</v>
      </c>
      <c r="Y247" s="27" t="s">
        <v>45</v>
      </c>
      <c r="Z247" s="27" t="s">
        <v>45</v>
      </c>
      <c r="AA247" s="27">
        <v>180.30009680542111</v>
      </c>
      <c r="AB247" s="29">
        <v>1.4351403678606E-2</v>
      </c>
      <c r="AC247" s="27">
        <v>13.395450145208132</v>
      </c>
      <c r="AD247" s="27">
        <v>0.35091965150048399</v>
      </c>
      <c r="AE247" s="27">
        <v>5.9293320425943854</v>
      </c>
      <c r="AF247" s="27" t="s">
        <v>45</v>
      </c>
      <c r="AG247" s="27">
        <v>7.5266214908034845</v>
      </c>
    </row>
    <row r="248" spans="1:33" x14ac:dyDescent="0.2">
      <c r="A248" s="1">
        <v>233</v>
      </c>
      <c r="B248" s="25" t="s">
        <v>281</v>
      </c>
      <c r="C248" s="26">
        <v>10.552913198573126</v>
      </c>
      <c r="D248" s="27" t="s">
        <v>45</v>
      </c>
      <c r="E248" s="27" t="s">
        <v>45</v>
      </c>
      <c r="F248" s="27" t="s">
        <v>45</v>
      </c>
      <c r="G248" s="27" t="s">
        <v>45</v>
      </c>
      <c r="H248" s="26">
        <v>0.16300039635354735</v>
      </c>
      <c r="I248" s="26">
        <v>1.9817677368212445E-2</v>
      </c>
      <c r="J248" s="27" t="s">
        <v>45</v>
      </c>
      <c r="K248" s="27">
        <v>7.9270709472849782E-2</v>
      </c>
      <c r="L248" s="27">
        <v>4.9445105033690053</v>
      </c>
      <c r="M248" s="27">
        <v>8.0856123662306771</v>
      </c>
      <c r="N248" s="27">
        <v>1.0156559651208876E-2</v>
      </c>
      <c r="O248" s="27" t="s">
        <v>45</v>
      </c>
      <c r="P248" s="27" t="s">
        <v>45</v>
      </c>
      <c r="Q248" s="27">
        <v>8.8040031708283787E-3</v>
      </c>
      <c r="R248" s="27">
        <v>98.4244946492271</v>
      </c>
      <c r="S248" s="27" t="s">
        <v>45</v>
      </c>
      <c r="T248" s="30">
        <v>6.5596512088783186E-4</v>
      </c>
      <c r="U248" s="27">
        <v>1.6250495441934205</v>
      </c>
      <c r="V248" s="27">
        <v>0.28735632183908039</v>
      </c>
      <c r="W248" s="30">
        <v>5.9988109393579068E-3</v>
      </c>
      <c r="X248" s="27">
        <v>0.16845025762980576</v>
      </c>
      <c r="Y248" s="27">
        <v>1.9817677368212445E-2</v>
      </c>
      <c r="Z248" s="27" t="s">
        <v>45</v>
      </c>
      <c r="AA248" s="27">
        <v>29.904875148632577</v>
      </c>
      <c r="AB248" s="29">
        <v>1.7627824019024969E-2</v>
      </c>
      <c r="AC248" s="27">
        <v>14.189456995640111</v>
      </c>
      <c r="AD248" s="27">
        <v>1.4565992865636146</v>
      </c>
      <c r="AE248" s="27">
        <v>2.536662703131193</v>
      </c>
      <c r="AF248" s="27" t="s">
        <v>45</v>
      </c>
      <c r="AG248" s="27">
        <v>4.8156956004756228</v>
      </c>
    </row>
    <row r="249" spans="1:33" x14ac:dyDescent="0.2">
      <c r="A249" s="1">
        <v>234</v>
      </c>
      <c r="B249" s="25" t="s">
        <v>282</v>
      </c>
      <c r="C249" s="26">
        <v>35.341685649202738</v>
      </c>
      <c r="D249" s="27" t="s">
        <v>45</v>
      </c>
      <c r="E249" s="27" t="s">
        <v>45</v>
      </c>
      <c r="F249" s="27" t="s">
        <v>45</v>
      </c>
      <c r="G249" s="27" t="s">
        <v>45</v>
      </c>
      <c r="H249" s="26">
        <v>0.17927107061503419</v>
      </c>
      <c r="I249" s="26" t="s">
        <v>45</v>
      </c>
      <c r="J249" s="27" t="s">
        <v>45</v>
      </c>
      <c r="K249" s="27" t="s">
        <v>45</v>
      </c>
      <c r="L249" s="27">
        <v>3.2687927107061503</v>
      </c>
      <c r="M249" s="27">
        <v>12.813211845102506</v>
      </c>
      <c r="N249" s="27">
        <v>5.5330296127562642E-2</v>
      </c>
      <c r="O249" s="27" t="s">
        <v>45</v>
      </c>
      <c r="P249" s="27" t="s">
        <v>45</v>
      </c>
      <c r="Q249" s="27">
        <v>3.0979498861047838E-2</v>
      </c>
      <c r="R249" s="27">
        <v>75.05694760820046</v>
      </c>
      <c r="S249" s="27" t="s">
        <v>45</v>
      </c>
      <c r="T249" s="30">
        <v>4.1457858769931665E-4</v>
      </c>
      <c r="U249" s="27" t="s">
        <v>45</v>
      </c>
      <c r="V249" s="27">
        <v>0.22779043280182235</v>
      </c>
      <c r="W249" s="30">
        <v>8.7266514806378145E-3</v>
      </c>
      <c r="X249" s="27">
        <v>1.1503416856492028</v>
      </c>
      <c r="Y249" s="27" t="s">
        <v>45</v>
      </c>
      <c r="Z249" s="27" t="s">
        <v>45</v>
      </c>
      <c r="AA249" s="27">
        <v>36.833712984054671</v>
      </c>
      <c r="AB249" s="29">
        <v>1.3337129840546696E-2</v>
      </c>
      <c r="AC249" s="27">
        <v>7.425968109339407</v>
      </c>
      <c r="AD249" s="27">
        <v>0.79726651480637822</v>
      </c>
      <c r="AE249" s="27">
        <v>5.9794988610478361</v>
      </c>
      <c r="AF249" s="27" t="s">
        <v>45</v>
      </c>
      <c r="AG249" s="27">
        <v>12.300683371298406</v>
      </c>
    </row>
    <row r="250" spans="1:33" x14ac:dyDescent="0.2">
      <c r="A250" s="1">
        <v>235</v>
      </c>
      <c r="B250" s="25" t="s">
        <v>283</v>
      </c>
      <c r="C250" s="26">
        <v>22.331574675324674</v>
      </c>
      <c r="D250" s="27" t="s">
        <v>45</v>
      </c>
      <c r="E250" s="27" t="s">
        <v>45</v>
      </c>
      <c r="F250" s="27" t="s">
        <v>45</v>
      </c>
      <c r="G250" s="27" t="s">
        <v>45</v>
      </c>
      <c r="H250" s="26">
        <v>0.1542207792207792</v>
      </c>
      <c r="I250" s="26" t="s">
        <v>45</v>
      </c>
      <c r="J250" s="27" t="s">
        <v>45</v>
      </c>
      <c r="K250" s="27" t="s">
        <v>45</v>
      </c>
      <c r="L250" s="27">
        <v>0.62905844155844148</v>
      </c>
      <c r="M250" s="27">
        <v>17.928165584415581</v>
      </c>
      <c r="N250" s="27">
        <v>5.172483766233766E-2</v>
      </c>
      <c r="O250" s="27" t="s">
        <v>45</v>
      </c>
      <c r="P250" s="27" t="s">
        <v>45</v>
      </c>
      <c r="Q250" s="27">
        <v>1.7654220779220776E-2</v>
      </c>
      <c r="R250" s="27">
        <v>64.742288961038966</v>
      </c>
      <c r="S250" s="27" t="s">
        <v>45</v>
      </c>
      <c r="T250" s="30" t="s">
        <v>45</v>
      </c>
      <c r="U250" s="27">
        <v>1.1972402597402596</v>
      </c>
      <c r="V250" s="27">
        <v>0.11160714285714285</v>
      </c>
      <c r="W250" s="30">
        <v>2.6095779220779219E-3</v>
      </c>
      <c r="X250" s="27">
        <v>1.4711850649350651</v>
      </c>
      <c r="Y250" s="27" t="s">
        <v>45</v>
      </c>
      <c r="Z250" s="27" t="s">
        <v>45</v>
      </c>
      <c r="AA250" s="27">
        <v>41.355519480519483</v>
      </c>
      <c r="AB250" s="29">
        <v>1.0988230519480519E-2</v>
      </c>
      <c r="AC250" s="27">
        <v>11.262175324675324</v>
      </c>
      <c r="AD250" s="27">
        <v>10.80560064935065</v>
      </c>
      <c r="AE250" s="27">
        <v>2.7191558441558441</v>
      </c>
      <c r="AF250" s="27" t="s">
        <v>45</v>
      </c>
      <c r="AG250" s="27">
        <v>1.8364448051948052</v>
      </c>
    </row>
    <row r="251" spans="1:33" x14ac:dyDescent="0.2">
      <c r="A251" s="1">
        <v>236</v>
      </c>
      <c r="B251" s="25" t="s">
        <v>284</v>
      </c>
      <c r="C251" s="26">
        <v>53.700078308535623</v>
      </c>
      <c r="D251" s="27" t="s">
        <v>45</v>
      </c>
      <c r="E251" s="27" t="s">
        <v>45</v>
      </c>
      <c r="F251" s="27" t="s">
        <v>45</v>
      </c>
      <c r="G251" s="27" t="s">
        <v>45</v>
      </c>
      <c r="H251" s="26">
        <v>0.21603367267032106</v>
      </c>
      <c r="I251" s="26">
        <v>7.8308535630383702E-2</v>
      </c>
      <c r="J251" s="27" t="s">
        <v>45</v>
      </c>
      <c r="K251" s="27" t="s">
        <v>45</v>
      </c>
      <c r="L251" s="27">
        <v>2.7799530148786218</v>
      </c>
      <c r="M251" s="27">
        <v>17.932654659357869</v>
      </c>
      <c r="N251" s="27">
        <v>1.6934220830070477E-2</v>
      </c>
      <c r="O251" s="27" t="s">
        <v>45</v>
      </c>
      <c r="P251" s="27" t="s">
        <v>45</v>
      </c>
      <c r="Q251" s="27">
        <v>1.6601409553641346E-2</v>
      </c>
      <c r="R251" s="27">
        <v>86.59945184025058</v>
      </c>
      <c r="S251" s="27" t="s">
        <v>45</v>
      </c>
      <c r="T251" s="30">
        <v>1.9812059514487078E-3</v>
      </c>
      <c r="U251" s="27" t="s">
        <v>45</v>
      </c>
      <c r="V251" s="27">
        <v>1.4976507439310884</v>
      </c>
      <c r="W251" s="30">
        <v>6.4653484729835543E-3</v>
      </c>
      <c r="X251" s="27">
        <v>0.30344557556773688</v>
      </c>
      <c r="Y251" s="27" t="s">
        <v>45</v>
      </c>
      <c r="Z251" s="27" t="s">
        <v>45</v>
      </c>
      <c r="AA251" s="27">
        <v>89.888410336726693</v>
      </c>
      <c r="AB251" s="29">
        <v>1.5093970242756461E-2</v>
      </c>
      <c r="AC251" s="27">
        <v>8.5552075176194204</v>
      </c>
      <c r="AD251" s="27">
        <v>1.2235708692247453</v>
      </c>
      <c r="AE251" s="27">
        <v>4.2482380579483161</v>
      </c>
      <c r="AF251" s="27" t="s">
        <v>45</v>
      </c>
      <c r="AG251" s="27">
        <v>14.584964761158965</v>
      </c>
    </row>
    <row r="252" spans="1:33" x14ac:dyDescent="0.2">
      <c r="A252" s="1">
        <v>237</v>
      </c>
      <c r="B252" s="25" t="s">
        <v>285</v>
      </c>
      <c r="C252" s="26">
        <v>38.24091778202677</v>
      </c>
      <c r="D252" s="27" t="s">
        <v>45</v>
      </c>
      <c r="E252" s="27" t="s">
        <v>45</v>
      </c>
      <c r="F252" s="27" t="s">
        <v>45</v>
      </c>
      <c r="G252" s="27" t="s">
        <v>45</v>
      </c>
      <c r="H252" s="26">
        <v>0.23386711281070749</v>
      </c>
      <c r="I252" s="26">
        <v>1.1950286806883365E-2</v>
      </c>
      <c r="J252" s="27" t="s">
        <v>45</v>
      </c>
      <c r="K252" s="27">
        <v>0.28680688336520077</v>
      </c>
      <c r="L252" s="27">
        <v>2.4617590822179731</v>
      </c>
      <c r="M252" s="27">
        <v>20.207934990439771</v>
      </c>
      <c r="N252" s="27">
        <v>1.5152963671128108E-2</v>
      </c>
      <c r="O252" s="27" t="s">
        <v>45</v>
      </c>
      <c r="P252" s="27" t="s">
        <v>45</v>
      </c>
      <c r="Q252" s="27">
        <v>2.2860898661567878E-2</v>
      </c>
      <c r="R252" s="27">
        <v>57.30162523900573</v>
      </c>
      <c r="S252" s="27" t="s">
        <v>45</v>
      </c>
      <c r="T252" s="30">
        <v>3.8121414913957937E-4</v>
      </c>
      <c r="U252" s="27" t="s">
        <v>45</v>
      </c>
      <c r="V252" s="27">
        <v>2.3542065009560229</v>
      </c>
      <c r="W252" s="30">
        <v>6.1771032504780114E-3</v>
      </c>
      <c r="X252" s="27">
        <v>0.20315487571701718</v>
      </c>
      <c r="Y252" s="27" t="s">
        <v>45</v>
      </c>
      <c r="Z252" s="27" t="s">
        <v>45</v>
      </c>
      <c r="AA252" s="27">
        <v>39.627151051625241</v>
      </c>
      <c r="AB252" s="29">
        <v>1.6336042065009559E-2</v>
      </c>
      <c r="AC252" s="27">
        <v>10.301147227533461</v>
      </c>
      <c r="AD252" s="27">
        <v>0.92017208413001916</v>
      </c>
      <c r="AE252" s="27">
        <v>3.3102294455066921</v>
      </c>
      <c r="AF252" s="27" t="s">
        <v>45</v>
      </c>
      <c r="AG252" s="27">
        <v>14.854206500956023</v>
      </c>
    </row>
    <row r="253" spans="1:33" x14ac:dyDescent="0.2">
      <c r="A253" s="1">
        <v>238</v>
      </c>
      <c r="B253" s="25" t="s">
        <v>286</v>
      </c>
      <c r="C253" s="26">
        <v>71.048233046800377</v>
      </c>
      <c r="D253" s="27" t="s">
        <v>45</v>
      </c>
      <c r="E253" s="27" t="s">
        <v>45</v>
      </c>
      <c r="F253" s="27" t="s">
        <v>45</v>
      </c>
      <c r="G253" s="27" t="s">
        <v>45</v>
      </c>
      <c r="H253" s="26">
        <v>0.19221585482330469</v>
      </c>
      <c r="I253" s="26">
        <v>0.19102196752626552</v>
      </c>
      <c r="J253" s="27" t="s">
        <v>45</v>
      </c>
      <c r="K253" s="27" t="s">
        <v>45</v>
      </c>
      <c r="L253" s="27">
        <v>2.5787965616045847</v>
      </c>
      <c r="M253" s="27">
        <v>19.161891117478511</v>
      </c>
      <c r="N253" s="27">
        <v>5.2913085004775554E-2</v>
      </c>
      <c r="O253" s="27" t="s">
        <v>45</v>
      </c>
      <c r="P253" s="27" t="s">
        <v>45</v>
      </c>
      <c r="Q253" s="27">
        <v>2.5811843361986629E-2</v>
      </c>
      <c r="R253" s="27">
        <v>127.62655205348614</v>
      </c>
      <c r="S253" s="27" t="s">
        <v>45</v>
      </c>
      <c r="T253" s="30">
        <v>3.3548233046800383E-4</v>
      </c>
      <c r="U253" s="27" t="s">
        <v>45</v>
      </c>
      <c r="V253" s="27">
        <v>0.89541547277936961</v>
      </c>
      <c r="W253" s="30">
        <v>1.1815902578796562E-2</v>
      </c>
      <c r="X253" s="27">
        <v>0.64469914040114618</v>
      </c>
      <c r="Y253" s="27" t="s">
        <v>45</v>
      </c>
      <c r="Z253" s="27" t="s">
        <v>45</v>
      </c>
      <c r="AA253" s="27">
        <v>50.465616045845273</v>
      </c>
      <c r="AB253" s="29">
        <v>1.4684813753581662E-2</v>
      </c>
      <c r="AC253" s="27">
        <v>8.5124164278892067</v>
      </c>
      <c r="AD253" s="27">
        <v>1.0744985673352434</v>
      </c>
      <c r="AE253" s="27">
        <v>4.274116523400191</v>
      </c>
      <c r="AF253" s="27" t="s">
        <v>45</v>
      </c>
      <c r="AG253" s="27">
        <v>16.392072588347659</v>
      </c>
    </row>
    <row r="254" spans="1:33" x14ac:dyDescent="0.2">
      <c r="A254" s="1">
        <v>239</v>
      </c>
      <c r="B254" s="25" t="s">
        <v>287</v>
      </c>
      <c r="C254" s="26">
        <v>26.459764474975465</v>
      </c>
      <c r="D254" s="27" t="s">
        <v>45</v>
      </c>
      <c r="E254" s="27" t="s">
        <v>45</v>
      </c>
      <c r="F254" s="27" t="s">
        <v>45</v>
      </c>
      <c r="G254" s="27" t="s">
        <v>45</v>
      </c>
      <c r="H254" s="26">
        <v>0.15419528949950934</v>
      </c>
      <c r="I254" s="26" t="s">
        <v>45</v>
      </c>
      <c r="J254" s="27" t="s">
        <v>45</v>
      </c>
      <c r="K254" s="27">
        <v>0.42934249263984303</v>
      </c>
      <c r="L254" s="27">
        <v>1.987242394504416</v>
      </c>
      <c r="M254" s="27">
        <v>11.297841020608439</v>
      </c>
      <c r="N254" s="27">
        <v>3.1256133464180574E-2</v>
      </c>
      <c r="O254" s="27" t="s">
        <v>45</v>
      </c>
      <c r="P254" s="27" t="s">
        <v>45</v>
      </c>
      <c r="Q254" s="27">
        <v>2.4153581943081454E-2</v>
      </c>
      <c r="R254" s="27">
        <v>50.552011776251227</v>
      </c>
      <c r="S254" s="27" t="s">
        <v>45</v>
      </c>
      <c r="T254" s="30">
        <v>1.9259077526987241E-4</v>
      </c>
      <c r="U254" s="27" t="s">
        <v>45</v>
      </c>
      <c r="V254" s="27">
        <v>0.78508341511285573</v>
      </c>
      <c r="W254" s="30">
        <v>5.5078508341511283E-3</v>
      </c>
      <c r="X254" s="27">
        <v>0.31894013738959764</v>
      </c>
      <c r="Y254" s="27" t="s">
        <v>45</v>
      </c>
      <c r="Z254" s="27" t="s">
        <v>45</v>
      </c>
      <c r="AA254" s="27">
        <v>37.463199214916585</v>
      </c>
      <c r="AB254" s="29">
        <v>1.0441609421000982E-2</v>
      </c>
      <c r="AC254" s="27">
        <v>6.4156035328753669</v>
      </c>
      <c r="AD254" s="27">
        <v>0.79735034347399414</v>
      </c>
      <c r="AE254" s="27">
        <v>3.9990186457311085</v>
      </c>
      <c r="AF254" s="27" t="s">
        <v>45</v>
      </c>
      <c r="AG254" s="27">
        <v>12.561334641805692</v>
      </c>
    </row>
    <row r="255" spans="1:33" x14ac:dyDescent="0.2">
      <c r="A255" s="1">
        <v>240</v>
      </c>
      <c r="B255" s="25" t="s">
        <v>288</v>
      </c>
      <c r="C255" s="26">
        <v>10.64508506616257</v>
      </c>
      <c r="D255" s="27" t="s">
        <v>45</v>
      </c>
      <c r="E255" s="27" t="s">
        <v>45</v>
      </c>
      <c r="F255" s="27" t="s">
        <v>45</v>
      </c>
      <c r="G255" s="27" t="s">
        <v>45</v>
      </c>
      <c r="H255" s="26">
        <v>7.7504725897920596E-2</v>
      </c>
      <c r="I255" s="26" t="s">
        <v>45</v>
      </c>
      <c r="J255" s="27" t="s">
        <v>45</v>
      </c>
      <c r="K255" s="27" t="s">
        <v>45</v>
      </c>
      <c r="L255" s="27">
        <v>0.50803402646502838</v>
      </c>
      <c r="M255" s="27">
        <v>21.065689981096405</v>
      </c>
      <c r="N255" s="27">
        <v>0.35385160680529298</v>
      </c>
      <c r="O255" s="27" t="s">
        <v>45</v>
      </c>
      <c r="P255" s="27" t="s">
        <v>45</v>
      </c>
      <c r="Q255" s="27">
        <v>3.988657844990548E-2</v>
      </c>
      <c r="R255" s="27">
        <v>40.938090737240074</v>
      </c>
      <c r="S255" s="27" t="s">
        <v>45</v>
      </c>
      <c r="T255" s="30">
        <v>1.0042533081285445E-3</v>
      </c>
      <c r="U255" s="27" t="s">
        <v>45</v>
      </c>
      <c r="V255" s="27">
        <v>0.92155009451795822</v>
      </c>
      <c r="W255" s="30">
        <v>5.8246691871455573E-4</v>
      </c>
      <c r="X255" s="27">
        <v>6.9470699432892244</v>
      </c>
      <c r="Y255" s="27" t="s">
        <v>45</v>
      </c>
      <c r="Z255" s="27" t="s">
        <v>45</v>
      </c>
      <c r="AA255" s="27">
        <v>12.5</v>
      </c>
      <c r="AB255" s="29">
        <v>7.2861531190926282E-3</v>
      </c>
      <c r="AC255" s="27">
        <v>3.9815689981096409</v>
      </c>
      <c r="AD255" s="27">
        <v>1.0160680529300568</v>
      </c>
      <c r="AE255" s="27">
        <v>4.7849716446124759</v>
      </c>
      <c r="AF255" s="27" t="s">
        <v>45</v>
      </c>
      <c r="AG255" s="27">
        <v>3.1190926275992439</v>
      </c>
    </row>
    <row r="256" spans="1:33" x14ac:dyDescent="0.2">
      <c r="A256" s="1">
        <v>241</v>
      </c>
      <c r="B256" s="25" t="s">
        <v>289</v>
      </c>
      <c r="C256" s="26">
        <v>5.8021390374331547</v>
      </c>
      <c r="D256" s="27" t="s">
        <v>45</v>
      </c>
      <c r="E256" s="27" t="s">
        <v>45</v>
      </c>
      <c r="F256" s="27" t="s">
        <v>45</v>
      </c>
      <c r="G256" s="27" t="s">
        <v>45</v>
      </c>
      <c r="H256" s="26">
        <v>7.2878787878787862E-2</v>
      </c>
      <c r="I256" s="26" t="s">
        <v>45</v>
      </c>
      <c r="J256" s="27" t="s">
        <v>45</v>
      </c>
      <c r="K256" s="27" t="s">
        <v>45</v>
      </c>
      <c r="L256" s="27">
        <v>0.49910873440285197</v>
      </c>
      <c r="M256" s="27">
        <v>1.8092691622103383</v>
      </c>
      <c r="N256" s="27">
        <v>0.12397504456327985</v>
      </c>
      <c r="O256" s="27" t="s">
        <v>45</v>
      </c>
      <c r="P256" s="27" t="s">
        <v>45</v>
      </c>
      <c r="Q256" s="27">
        <v>1.5561497326203207E-2</v>
      </c>
      <c r="R256" s="27">
        <v>24.322638146167556</v>
      </c>
      <c r="S256" s="27" t="s">
        <v>45</v>
      </c>
      <c r="T256" s="30" t="s">
        <v>45</v>
      </c>
      <c r="U256" s="27" t="s">
        <v>45</v>
      </c>
      <c r="V256" s="27">
        <v>5.3475935828876997E-2</v>
      </c>
      <c r="W256" s="30">
        <v>1.0463458110516934E-3</v>
      </c>
      <c r="X256" s="27">
        <v>1.9340463458110515</v>
      </c>
      <c r="Y256" s="27" t="s">
        <v>45</v>
      </c>
      <c r="Z256" s="27" t="s">
        <v>45</v>
      </c>
      <c r="AA256" s="27">
        <v>8.5026737967914414</v>
      </c>
      <c r="AB256" s="29">
        <v>5.4465240641711227E-3</v>
      </c>
      <c r="AC256" s="27">
        <v>4.5098039215686265</v>
      </c>
      <c r="AD256" s="27">
        <v>0.15151515151515149</v>
      </c>
      <c r="AE256" s="27">
        <v>2.1390374331550799</v>
      </c>
      <c r="AF256" s="27" t="s">
        <v>45</v>
      </c>
      <c r="AG256" s="27">
        <v>3.2709447415329769</v>
      </c>
    </row>
    <row r="257" spans="1:33" x14ac:dyDescent="0.2">
      <c r="A257" s="1">
        <v>242</v>
      </c>
      <c r="B257" s="25" t="s">
        <v>290</v>
      </c>
      <c r="C257" s="26">
        <v>0.37846930193439898</v>
      </c>
      <c r="D257" s="27" t="s">
        <v>45</v>
      </c>
      <c r="E257" s="27" t="s">
        <v>45</v>
      </c>
      <c r="F257" s="27" t="s">
        <v>45</v>
      </c>
      <c r="G257" s="27" t="s">
        <v>45</v>
      </c>
      <c r="H257" s="26">
        <v>9.4701429772918413E-2</v>
      </c>
      <c r="I257" s="26" t="s">
        <v>45</v>
      </c>
      <c r="J257" s="27" t="s">
        <v>45</v>
      </c>
      <c r="K257" s="27" t="s">
        <v>45</v>
      </c>
      <c r="L257" s="27">
        <v>0.59924306139613126</v>
      </c>
      <c r="M257" s="27">
        <v>1.0407905803195963</v>
      </c>
      <c r="N257" s="27">
        <v>7.8227502102607233E-2</v>
      </c>
      <c r="O257" s="27" t="s">
        <v>45</v>
      </c>
      <c r="P257" s="27" t="s">
        <v>45</v>
      </c>
      <c r="Q257" s="27">
        <v>2.3275862068965515E-2</v>
      </c>
      <c r="R257" s="27">
        <v>53.626997476871317</v>
      </c>
      <c r="S257" s="27" t="s">
        <v>45</v>
      </c>
      <c r="T257" s="30">
        <v>1.8502943650126159E-4</v>
      </c>
      <c r="U257" s="27">
        <v>0.47308662741799823</v>
      </c>
      <c r="V257" s="27">
        <v>4.2052144659377629E-2</v>
      </c>
      <c r="W257" s="30">
        <v>4.6730445752733388E-3</v>
      </c>
      <c r="X257" s="27">
        <v>2.0710681244743481</v>
      </c>
      <c r="Y257" s="27" t="s">
        <v>45</v>
      </c>
      <c r="Z257" s="27" t="s">
        <v>45</v>
      </c>
      <c r="AA257" s="27">
        <v>12.447434819175777</v>
      </c>
      <c r="AB257" s="29">
        <v>7.1888141295206043E-3</v>
      </c>
      <c r="AC257" s="27">
        <v>6.3708999158957109</v>
      </c>
      <c r="AD257" s="27">
        <v>0.12615643397813286</v>
      </c>
      <c r="AE257" s="27">
        <v>3.5113540790580315</v>
      </c>
      <c r="AF257" s="27" t="s">
        <v>45</v>
      </c>
      <c r="AG257" s="27">
        <v>2.5021026072329691</v>
      </c>
    </row>
    <row r="258" spans="1:33" x14ac:dyDescent="0.2">
      <c r="A258" s="1">
        <v>243</v>
      </c>
      <c r="B258" s="25" t="s">
        <v>291</v>
      </c>
      <c r="C258" s="26">
        <v>44.984736153510688</v>
      </c>
      <c r="D258" s="27" t="s">
        <v>45</v>
      </c>
      <c r="E258" s="27" t="s">
        <v>45</v>
      </c>
      <c r="F258" s="27" t="s">
        <v>45</v>
      </c>
      <c r="G258" s="27" t="s">
        <v>45</v>
      </c>
      <c r="H258" s="26">
        <v>0.13770170082860883</v>
      </c>
      <c r="I258" s="26">
        <v>0.11993022241604884</v>
      </c>
      <c r="J258" s="27" t="s">
        <v>45</v>
      </c>
      <c r="K258" s="27" t="s">
        <v>45</v>
      </c>
      <c r="L258" s="27">
        <v>3.1290885303096383</v>
      </c>
      <c r="M258" s="27">
        <v>12.98517226341038</v>
      </c>
      <c r="N258" s="27">
        <v>0.12974269515918013</v>
      </c>
      <c r="O258" s="27" t="s">
        <v>45</v>
      </c>
      <c r="P258" s="27" t="s">
        <v>45</v>
      </c>
      <c r="Q258" s="27">
        <v>2.3451809856083729E-2</v>
      </c>
      <c r="R258" s="27">
        <v>110.11774967291757</v>
      </c>
      <c r="S258" s="27" t="s">
        <v>45</v>
      </c>
      <c r="T258" s="30">
        <v>7.4138682948102924E-4</v>
      </c>
      <c r="U258" s="27">
        <v>8.7221979938944608E-2</v>
      </c>
      <c r="V258" s="27">
        <v>0.30527692978630611</v>
      </c>
      <c r="W258" s="30">
        <v>1.973397296118622E-2</v>
      </c>
      <c r="X258" s="27">
        <v>2.2132577409507195</v>
      </c>
      <c r="Y258" s="27" t="s">
        <v>45</v>
      </c>
      <c r="Z258" s="27" t="s">
        <v>45</v>
      </c>
      <c r="AA258" s="27">
        <v>28.576101177496728</v>
      </c>
      <c r="AB258" s="29">
        <v>1.410815525512429E-2</v>
      </c>
      <c r="AC258" s="27">
        <v>6.0837331007413864</v>
      </c>
      <c r="AD258" s="27">
        <v>0.70867858700392505</v>
      </c>
      <c r="AE258" s="27">
        <v>2.4422154382904488</v>
      </c>
      <c r="AF258" s="27" t="s">
        <v>45</v>
      </c>
      <c r="AG258" s="27">
        <v>11.50239860444832</v>
      </c>
    </row>
    <row r="259" spans="1:33" x14ac:dyDescent="0.2">
      <c r="A259" s="1">
        <v>244</v>
      </c>
      <c r="B259" s="25" t="s">
        <v>292</v>
      </c>
      <c r="C259" s="26">
        <v>8.9204973624717407</v>
      </c>
      <c r="D259" s="27" t="s">
        <v>45</v>
      </c>
      <c r="E259" s="27" t="s">
        <v>45</v>
      </c>
      <c r="F259" s="27" t="s">
        <v>45</v>
      </c>
      <c r="G259" s="27" t="s">
        <v>45</v>
      </c>
      <c r="H259" s="26">
        <v>0.24755086661642803</v>
      </c>
      <c r="I259" s="26" t="s">
        <v>45</v>
      </c>
      <c r="J259" s="27" t="s">
        <v>45</v>
      </c>
      <c r="K259" s="27" t="s">
        <v>45</v>
      </c>
      <c r="L259" s="27">
        <v>1.5730972117558399</v>
      </c>
      <c r="M259" s="27">
        <v>9.203089675960813</v>
      </c>
      <c r="N259" s="27">
        <v>0.13046345139412208</v>
      </c>
      <c r="O259" s="27" t="s">
        <v>45</v>
      </c>
      <c r="P259" s="27" t="s">
        <v>45</v>
      </c>
      <c r="Q259" s="27">
        <v>3.0454031650339112E-2</v>
      </c>
      <c r="R259" s="27">
        <v>77.656367746797272</v>
      </c>
      <c r="S259" s="27" t="s">
        <v>45</v>
      </c>
      <c r="T259" s="30">
        <v>3.7396382818387337E-4</v>
      </c>
      <c r="U259" s="27">
        <v>0.42388847023360954</v>
      </c>
      <c r="V259" s="27">
        <v>0.95139412207987939</v>
      </c>
      <c r="W259" s="30">
        <v>1.6428033157498117E-2</v>
      </c>
      <c r="X259" s="27">
        <v>3.4382064807837223</v>
      </c>
      <c r="Y259" s="27" t="s">
        <v>45</v>
      </c>
      <c r="Z259" s="27" t="s">
        <v>45</v>
      </c>
      <c r="AA259" s="27">
        <v>375.84777694046716</v>
      </c>
      <c r="AB259" s="29">
        <v>2.0459683496608892E-2</v>
      </c>
      <c r="AC259" s="27">
        <v>14.46872645064054</v>
      </c>
      <c r="AD259" s="27">
        <v>0.54634513941220786</v>
      </c>
      <c r="AE259" s="27">
        <v>5.7931424265259981</v>
      </c>
      <c r="AF259" s="27" t="s">
        <v>45</v>
      </c>
      <c r="AG259" s="27">
        <v>2.8259231348907305</v>
      </c>
    </row>
    <row r="260" spans="1:33" x14ac:dyDescent="0.2">
      <c r="A260" s="1">
        <v>245</v>
      </c>
      <c r="B260" s="25" t="s">
        <v>293</v>
      </c>
      <c r="C260" s="26">
        <v>17.028711749149981</v>
      </c>
      <c r="D260" s="27" t="s">
        <v>45</v>
      </c>
      <c r="E260" s="27" t="s">
        <v>45</v>
      </c>
      <c r="F260" s="27" t="s">
        <v>45</v>
      </c>
      <c r="G260" s="27" t="s">
        <v>45</v>
      </c>
      <c r="H260" s="26">
        <v>0.49168870419342658</v>
      </c>
      <c r="I260" s="26" t="s">
        <v>45</v>
      </c>
      <c r="J260" s="27" t="s">
        <v>45</v>
      </c>
      <c r="K260" s="27" t="s">
        <v>45</v>
      </c>
      <c r="L260" s="27">
        <v>2.1911598035511899</v>
      </c>
      <c r="M260" s="27">
        <v>13.439743105402343</v>
      </c>
      <c r="N260" s="27">
        <v>0.14034756327918399</v>
      </c>
      <c r="O260" s="27" t="s">
        <v>45</v>
      </c>
      <c r="P260" s="27" t="s">
        <v>45</v>
      </c>
      <c r="Q260" s="27">
        <v>3.9998111069134874E-2</v>
      </c>
      <c r="R260" s="27">
        <v>94.635436343029852</v>
      </c>
      <c r="S260" s="27" t="s">
        <v>45</v>
      </c>
      <c r="T260" s="30">
        <v>5.383452965621459E-4</v>
      </c>
      <c r="U260" s="27">
        <v>0.40612013600302227</v>
      </c>
      <c r="V260" s="27">
        <v>1.1428031734038535</v>
      </c>
      <c r="W260" s="30">
        <v>2.5916131469588218E-2</v>
      </c>
      <c r="X260" s="27">
        <v>2.9561768039289764</v>
      </c>
      <c r="Y260" s="27" t="s">
        <v>45</v>
      </c>
      <c r="Z260" s="27" t="s">
        <v>45</v>
      </c>
      <c r="AA260" s="27">
        <v>515.5836796373253</v>
      </c>
      <c r="AB260" s="29">
        <v>2.5141669814884776E-2</v>
      </c>
      <c r="AC260" s="27">
        <v>26.07669059312429</v>
      </c>
      <c r="AD260" s="27">
        <v>0.6044578768417076</v>
      </c>
      <c r="AE260" s="27">
        <v>7.499055534567435</v>
      </c>
      <c r="AF260" s="27" t="s">
        <v>45</v>
      </c>
      <c r="AG260" s="27">
        <v>6.1862485833018521</v>
      </c>
    </row>
    <row r="261" spans="1:33" x14ac:dyDescent="0.2">
      <c r="A261" s="1">
        <v>246</v>
      </c>
      <c r="B261" s="25" t="s">
        <v>294</v>
      </c>
      <c r="C261" s="26">
        <v>6.871455576559546</v>
      </c>
      <c r="D261" s="27" t="s">
        <v>45</v>
      </c>
      <c r="E261" s="27" t="s">
        <v>45</v>
      </c>
      <c r="F261" s="27" t="s">
        <v>45</v>
      </c>
      <c r="G261" s="27" t="s">
        <v>45</v>
      </c>
      <c r="H261" s="26">
        <v>6.5406427221172014E-2</v>
      </c>
      <c r="I261" s="26" t="s">
        <v>45</v>
      </c>
      <c r="J261" s="27" t="s">
        <v>45</v>
      </c>
      <c r="K261" s="27" t="s">
        <v>45</v>
      </c>
      <c r="L261" s="27">
        <v>0.53875236294896034</v>
      </c>
      <c r="M261" s="27">
        <v>1.001890359168242</v>
      </c>
      <c r="N261" s="27">
        <v>0.14357277882797731</v>
      </c>
      <c r="O261" s="27" t="s">
        <v>45</v>
      </c>
      <c r="P261" s="27" t="s">
        <v>45</v>
      </c>
      <c r="Q261" s="27">
        <v>1.3137996219281661E-2</v>
      </c>
      <c r="R261" s="27">
        <v>37.230623818525515</v>
      </c>
      <c r="S261" s="27" t="s">
        <v>45</v>
      </c>
      <c r="T261" s="30">
        <v>2.4763705103969758E-4</v>
      </c>
      <c r="U261" s="27" t="s">
        <v>45</v>
      </c>
      <c r="V261" s="27">
        <v>0.16068052930056709</v>
      </c>
      <c r="W261" s="30">
        <v>2.0671077504725898E-3</v>
      </c>
      <c r="X261" s="27">
        <v>2.4102079395085063</v>
      </c>
      <c r="Y261" s="27" t="s">
        <v>45</v>
      </c>
      <c r="Z261" s="27" t="s">
        <v>45</v>
      </c>
      <c r="AA261" s="27">
        <v>40.765595463137998</v>
      </c>
      <c r="AB261" s="29">
        <v>5.790170132325142E-3</v>
      </c>
      <c r="AC261" s="27">
        <v>3.8941398865784498</v>
      </c>
      <c r="AD261" s="27">
        <v>0.72778827977315685</v>
      </c>
      <c r="AE261" s="27">
        <v>2.003780718336484</v>
      </c>
      <c r="AF261" s="27" t="s">
        <v>45</v>
      </c>
      <c r="AG261" s="27">
        <v>5.1795841209829865</v>
      </c>
    </row>
    <row r="262" spans="1:33" x14ac:dyDescent="0.2">
      <c r="A262" s="1">
        <v>247</v>
      </c>
      <c r="B262" s="25" t="s">
        <v>295</v>
      </c>
      <c r="C262" s="26">
        <v>2.1342685370741483</v>
      </c>
      <c r="D262" s="27" t="s">
        <v>45</v>
      </c>
      <c r="E262" s="27" t="s">
        <v>45</v>
      </c>
      <c r="F262" s="27" t="s">
        <v>45</v>
      </c>
      <c r="G262" s="27" t="s">
        <v>45</v>
      </c>
      <c r="H262" s="26">
        <v>0.16973947895791586</v>
      </c>
      <c r="I262" s="26" t="s">
        <v>45</v>
      </c>
      <c r="J262" s="27" t="s">
        <v>45</v>
      </c>
      <c r="K262" s="27" t="s">
        <v>45</v>
      </c>
      <c r="L262" s="27">
        <v>1.2124248496993988</v>
      </c>
      <c r="M262" s="27">
        <v>2.4849699398797593</v>
      </c>
      <c r="N262" s="27">
        <v>0.12705410821643287</v>
      </c>
      <c r="O262" s="27" t="s">
        <v>45</v>
      </c>
      <c r="P262" s="27" t="s">
        <v>45</v>
      </c>
      <c r="Q262" s="27">
        <v>6.1082164328657318E-2</v>
      </c>
      <c r="R262" s="27">
        <v>43.697394789579157</v>
      </c>
      <c r="S262" s="27" t="s">
        <v>45</v>
      </c>
      <c r="T262" s="30">
        <v>2.9959919839679357E-4</v>
      </c>
      <c r="U262" s="27">
        <v>0.4909819639278557</v>
      </c>
      <c r="V262" s="27">
        <v>8.0160320641282562E-2</v>
      </c>
      <c r="W262" s="30">
        <v>1.0190380761523045E-2</v>
      </c>
      <c r="X262" s="27">
        <v>2.314629258517034</v>
      </c>
      <c r="Y262" s="27" t="s">
        <v>45</v>
      </c>
      <c r="Z262" s="27" t="s">
        <v>45</v>
      </c>
      <c r="AA262" s="27">
        <v>30.501002004008019</v>
      </c>
      <c r="AB262" s="29">
        <v>1.403807615230461E-2</v>
      </c>
      <c r="AC262" s="27">
        <v>11.242484969939879</v>
      </c>
      <c r="AD262" s="27">
        <v>0.92184368737474942</v>
      </c>
      <c r="AE262" s="27">
        <v>8.9879759519038078</v>
      </c>
      <c r="AF262" s="27" t="s">
        <v>45</v>
      </c>
      <c r="AG262" s="27">
        <v>2.1543086172344688</v>
      </c>
    </row>
    <row r="263" spans="1:33" x14ac:dyDescent="0.2">
      <c r="A263" s="1">
        <v>248</v>
      </c>
      <c r="B263" s="25" t="s">
        <v>296</v>
      </c>
      <c r="C263" s="26">
        <v>1.9875</v>
      </c>
      <c r="D263" s="27" t="s">
        <v>45</v>
      </c>
      <c r="E263" s="27" t="s">
        <v>45</v>
      </c>
      <c r="F263" s="27" t="s">
        <v>45</v>
      </c>
      <c r="G263" s="27" t="s">
        <v>45</v>
      </c>
      <c r="H263" s="26">
        <v>4.6887499999999999E-2</v>
      </c>
      <c r="I263" s="26" t="s">
        <v>45</v>
      </c>
      <c r="J263" s="27" t="s">
        <v>45</v>
      </c>
      <c r="K263" s="27" t="s">
        <v>45</v>
      </c>
      <c r="L263" s="27">
        <v>0.25</v>
      </c>
      <c r="M263" s="27">
        <v>0.58750000000000002</v>
      </c>
      <c r="N263" s="27">
        <v>6.3962499999999992E-2</v>
      </c>
      <c r="O263" s="27" t="s">
        <v>45</v>
      </c>
      <c r="P263" s="27" t="s">
        <v>45</v>
      </c>
      <c r="Q263" s="27">
        <v>1.2962499999999998E-2</v>
      </c>
      <c r="R263" s="27">
        <v>22.912499999999998</v>
      </c>
      <c r="S263" s="27" t="s">
        <v>45</v>
      </c>
      <c r="T263" s="30" t="s">
        <v>45</v>
      </c>
      <c r="U263" s="27" t="s">
        <v>45</v>
      </c>
      <c r="V263" s="27">
        <v>0.26249999999999996</v>
      </c>
      <c r="W263" s="30">
        <v>5.6749999999999997E-4</v>
      </c>
      <c r="X263" s="27">
        <v>0.77499999999999991</v>
      </c>
      <c r="Y263" s="27" t="s">
        <v>45</v>
      </c>
      <c r="Z263" s="27" t="s">
        <v>45</v>
      </c>
      <c r="AA263" s="27">
        <v>140.25</v>
      </c>
      <c r="AB263" s="29">
        <v>1.3837499999999998</v>
      </c>
      <c r="AC263" s="27">
        <v>2.2124999999999999</v>
      </c>
      <c r="AD263" s="27">
        <v>0.11249999999999999</v>
      </c>
      <c r="AE263" s="27">
        <v>2.4499999999999997</v>
      </c>
      <c r="AF263" s="27" t="s">
        <v>45</v>
      </c>
      <c r="AG263" s="27">
        <v>2.2749999999999999</v>
      </c>
    </row>
    <row r="264" spans="1:33" x14ac:dyDescent="0.2">
      <c r="A264" s="1">
        <v>249</v>
      </c>
      <c r="B264" s="25" t="s">
        <v>297</v>
      </c>
      <c r="C264" s="26">
        <v>1.1577258138468594</v>
      </c>
      <c r="D264" s="27" t="s">
        <v>45</v>
      </c>
      <c r="E264" s="27" t="s">
        <v>45</v>
      </c>
      <c r="F264" s="27" t="s">
        <v>45</v>
      </c>
      <c r="G264" s="27" t="s">
        <v>45</v>
      </c>
      <c r="H264" s="26">
        <v>0.13342503438789546</v>
      </c>
      <c r="I264" s="26" t="s">
        <v>45</v>
      </c>
      <c r="J264" s="27" t="s">
        <v>45</v>
      </c>
      <c r="K264" s="27" t="s">
        <v>45</v>
      </c>
      <c r="L264" s="27">
        <v>0.56166895919303073</v>
      </c>
      <c r="M264" s="27">
        <v>3.2439248051352592</v>
      </c>
      <c r="N264" s="27">
        <v>0.16735442457588262</v>
      </c>
      <c r="O264" s="27" t="s">
        <v>45</v>
      </c>
      <c r="P264" s="27" t="s">
        <v>45</v>
      </c>
      <c r="Q264" s="27">
        <v>5.4951856946354884E-2</v>
      </c>
      <c r="R264" s="27">
        <v>38.296652911508488</v>
      </c>
      <c r="S264" s="27" t="s">
        <v>45</v>
      </c>
      <c r="T264" s="30">
        <v>1.3296652911508482E-4</v>
      </c>
      <c r="U264" s="27">
        <v>0.7909215955983494</v>
      </c>
      <c r="V264" s="27">
        <v>9.1701054562127474E-2</v>
      </c>
      <c r="W264" s="30">
        <v>6.3583218707015136E-3</v>
      </c>
      <c r="X264" s="27">
        <v>4.0577716643741404</v>
      </c>
      <c r="Y264" s="27" t="s">
        <v>45</v>
      </c>
      <c r="Z264" s="27" t="s">
        <v>45</v>
      </c>
      <c r="AA264" s="27">
        <v>23.55570839064649</v>
      </c>
      <c r="AB264" s="29">
        <v>1.3033012379642366E-2</v>
      </c>
      <c r="AC264" s="27">
        <v>9.1930307198532777</v>
      </c>
      <c r="AD264" s="27">
        <v>0.40119211370930774</v>
      </c>
      <c r="AE264" s="27">
        <v>7.9665291150848248</v>
      </c>
      <c r="AF264" s="27" t="s">
        <v>45</v>
      </c>
      <c r="AG264" s="27">
        <v>2.3269142595139845</v>
      </c>
    </row>
    <row r="265" spans="1:33" x14ac:dyDescent="0.2">
      <c r="A265" s="1">
        <v>250</v>
      </c>
      <c r="B265" s="25" t="s">
        <v>298</v>
      </c>
      <c r="C265" s="26">
        <v>9.2253521126760578</v>
      </c>
      <c r="D265" s="27" t="s">
        <v>45</v>
      </c>
      <c r="E265" s="27" t="s">
        <v>45</v>
      </c>
      <c r="F265" s="27" t="s">
        <v>45</v>
      </c>
      <c r="G265" s="27" t="s">
        <v>45</v>
      </c>
      <c r="H265" s="26">
        <v>5.1643192488262921E-2</v>
      </c>
      <c r="I265" s="26" t="s">
        <v>45</v>
      </c>
      <c r="J265" s="27" t="s">
        <v>45</v>
      </c>
      <c r="K265" s="27" t="s">
        <v>45</v>
      </c>
      <c r="L265" s="27">
        <v>0.75117370892018787</v>
      </c>
      <c r="M265" s="27">
        <v>4.166666666666667</v>
      </c>
      <c r="N265" s="27">
        <v>0.14260563380281691</v>
      </c>
      <c r="O265" s="27" t="s">
        <v>45</v>
      </c>
      <c r="P265" s="27" t="s">
        <v>45</v>
      </c>
      <c r="Q265" s="27">
        <v>1.1971830985915494E-2</v>
      </c>
      <c r="R265" s="27">
        <v>20.246478873239436</v>
      </c>
      <c r="S265" s="27" t="s">
        <v>45</v>
      </c>
      <c r="T265" s="30">
        <v>2.4882629107981222E-4</v>
      </c>
      <c r="U265" s="27" t="s">
        <v>45</v>
      </c>
      <c r="V265" s="27">
        <v>2.3474178403755871E-2</v>
      </c>
      <c r="W265" s="30">
        <v>1.7370892018779346E-4</v>
      </c>
      <c r="X265" s="27">
        <v>2.3943661971830985</v>
      </c>
      <c r="Y265" s="27" t="s">
        <v>45</v>
      </c>
      <c r="Z265" s="27" t="s">
        <v>45</v>
      </c>
      <c r="AA265" s="27">
        <v>15.950704225352112</v>
      </c>
      <c r="AB265" s="29">
        <v>5.7781690140845075E-3</v>
      </c>
      <c r="AC265" s="27">
        <v>3.192488262910798</v>
      </c>
      <c r="AD265" s="27">
        <v>1.8661971830985917</v>
      </c>
      <c r="AE265" s="27" t="s">
        <v>45</v>
      </c>
      <c r="AF265" s="27" t="s">
        <v>45</v>
      </c>
      <c r="AG265" s="27">
        <v>3.227699530516432</v>
      </c>
    </row>
    <row r="266" spans="1:33" x14ac:dyDescent="0.2">
      <c r="A266" s="1">
        <v>251</v>
      </c>
      <c r="B266" s="25" t="s">
        <v>299</v>
      </c>
      <c r="C266" s="26">
        <v>27.869808679421375</v>
      </c>
      <c r="D266" s="27" t="s">
        <v>45</v>
      </c>
      <c r="E266" s="27" t="s">
        <v>45</v>
      </c>
      <c r="F266" s="27" t="s">
        <v>45</v>
      </c>
      <c r="G266" s="27" t="s">
        <v>45</v>
      </c>
      <c r="H266" s="26">
        <v>0.69505366308912742</v>
      </c>
      <c r="I266" s="26" t="s">
        <v>45</v>
      </c>
      <c r="J266" s="27" t="s">
        <v>45</v>
      </c>
      <c r="K266" s="27" t="s">
        <v>45</v>
      </c>
      <c r="L266" s="27">
        <v>1.9598693420438638</v>
      </c>
      <c r="M266" s="27">
        <v>21.290247316845544</v>
      </c>
      <c r="N266" s="27">
        <v>0.11189920671955204</v>
      </c>
      <c r="O266" s="27" t="s">
        <v>45</v>
      </c>
      <c r="P266" s="27" t="s">
        <v>45</v>
      </c>
      <c r="Q266" s="27">
        <v>0.16448903406439569</v>
      </c>
      <c r="R266" s="27">
        <v>470.01866542230516</v>
      </c>
      <c r="S266" s="27" t="s">
        <v>45</v>
      </c>
      <c r="T266" s="30">
        <v>1.2284181054596363E-3</v>
      </c>
      <c r="U266" s="27">
        <v>4.7130191320578634</v>
      </c>
      <c r="V266" s="27">
        <v>0.45496966868875405</v>
      </c>
      <c r="W266" s="30">
        <v>2.2620158656089597E-2</v>
      </c>
      <c r="X266" s="27">
        <v>1.7965468968735419</v>
      </c>
      <c r="Y266" s="27" t="s">
        <v>45</v>
      </c>
      <c r="Z266" s="27">
        <v>0.19832011199253383</v>
      </c>
      <c r="AA266" s="27">
        <v>91.565562295846959</v>
      </c>
      <c r="AB266" s="29">
        <v>3.1136257582827814E-2</v>
      </c>
      <c r="AC266" s="27">
        <v>44.120391973868408</v>
      </c>
      <c r="AD266" s="27">
        <v>1.224918338777415</v>
      </c>
      <c r="AE266" s="27">
        <v>32.104526364909006</v>
      </c>
      <c r="AF266" s="27" t="s">
        <v>45</v>
      </c>
      <c r="AG266" s="27">
        <v>6.8478768082127859</v>
      </c>
    </row>
    <row r="267" spans="1:33" x14ac:dyDescent="0.2">
      <c r="A267" s="1">
        <v>252</v>
      </c>
      <c r="B267" s="25" t="s">
        <v>300</v>
      </c>
      <c r="C267" s="26">
        <v>4.6374764595103573</v>
      </c>
      <c r="D267" s="27" t="s">
        <v>45</v>
      </c>
      <c r="E267" s="27" t="s">
        <v>45</v>
      </c>
      <c r="F267" s="27" t="s">
        <v>45</v>
      </c>
      <c r="G267" s="27" t="s">
        <v>45</v>
      </c>
      <c r="H267" s="26">
        <v>6.6890301318267412E-2</v>
      </c>
      <c r="I267" s="26" t="s">
        <v>45</v>
      </c>
      <c r="J267" s="27" t="s">
        <v>45</v>
      </c>
      <c r="K267" s="27" t="s">
        <v>45</v>
      </c>
      <c r="L267" s="27">
        <v>0.42372881355932202</v>
      </c>
      <c r="M267" s="27">
        <v>0.74152542372881358</v>
      </c>
      <c r="N267" s="27">
        <v>0.10726224105461393</v>
      </c>
      <c r="O267" s="27" t="s">
        <v>45</v>
      </c>
      <c r="P267" s="27" t="s">
        <v>45</v>
      </c>
      <c r="Q267" s="27">
        <v>1.7831920903954801E-2</v>
      </c>
      <c r="R267" s="27">
        <v>24.058380414312619</v>
      </c>
      <c r="S267" s="27" t="s">
        <v>45</v>
      </c>
      <c r="T267" s="30" t="s">
        <v>45</v>
      </c>
      <c r="U267" s="27" t="s">
        <v>45</v>
      </c>
      <c r="V267" s="27">
        <v>0.11770244821092279</v>
      </c>
      <c r="W267" s="30">
        <v>1.5230696798493406E-3</v>
      </c>
      <c r="X267" s="27">
        <v>1.435969868173258</v>
      </c>
      <c r="Y267" s="27" t="s">
        <v>45</v>
      </c>
      <c r="Z267" s="27" t="s">
        <v>45</v>
      </c>
      <c r="AA267" s="27">
        <v>12.794256120527308</v>
      </c>
      <c r="AB267" s="29">
        <v>6.0004708097928438E-3</v>
      </c>
      <c r="AC267" s="27">
        <v>4.225517890772128</v>
      </c>
      <c r="AD267" s="27">
        <v>3.5310734463276837E-2</v>
      </c>
      <c r="AE267" s="27">
        <v>1.0946327683615817</v>
      </c>
      <c r="AF267" s="27" t="s">
        <v>45</v>
      </c>
      <c r="AG267" s="27">
        <v>2.8954802259887003</v>
      </c>
    </row>
    <row r="268" spans="1:33" x14ac:dyDescent="0.2">
      <c r="A268" s="1">
        <v>253</v>
      </c>
      <c r="B268" s="25" t="s">
        <v>301</v>
      </c>
      <c r="C268" s="26">
        <v>2.1459585838343358</v>
      </c>
      <c r="D268" s="27" t="s">
        <v>45</v>
      </c>
      <c r="E268" s="27" t="s">
        <v>45</v>
      </c>
      <c r="F268" s="27" t="s">
        <v>45</v>
      </c>
      <c r="G268" s="27" t="s">
        <v>45</v>
      </c>
      <c r="H268" s="26">
        <v>0.15915163660654641</v>
      </c>
      <c r="I268" s="26" t="s">
        <v>45</v>
      </c>
      <c r="J268" s="27" t="s">
        <v>45</v>
      </c>
      <c r="K268" s="27" t="s">
        <v>45</v>
      </c>
      <c r="L268" s="27">
        <v>0.6763527054108216</v>
      </c>
      <c r="M268" s="27">
        <v>1.7284569138276551</v>
      </c>
      <c r="N268" s="27">
        <v>9.5774883099532401E-2</v>
      </c>
      <c r="O268" s="27" t="s">
        <v>45</v>
      </c>
      <c r="P268" s="27" t="s">
        <v>45</v>
      </c>
      <c r="Q268" s="27">
        <v>5.5118570474281897E-2</v>
      </c>
      <c r="R268" s="27">
        <v>95.190380761523031</v>
      </c>
      <c r="S268" s="27" t="s">
        <v>45</v>
      </c>
      <c r="T268" s="30">
        <v>8.1245824983299929E-4</v>
      </c>
      <c r="U268" s="27">
        <v>0.93520374081496316</v>
      </c>
      <c r="V268" s="27">
        <v>4.1750167000668005E-2</v>
      </c>
      <c r="W268" s="30">
        <v>8.9929859719438884E-3</v>
      </c>
      <c r="X268" s="27">
        <v>2.2294589178356712</v>
      </c>
      <c r="Y268" s="27" t="s">
        <v>45</v>
      </c>
      <c r="Z268" s="27" t="s">
        <v>45</v>
      </c>
      <c r="AA268" s="27">
        <v>15.26386105544422</v>
      </c>
      <c r="AB268" s="29">
        <v>1.4954909819639277E-2</v>
      </c>
      <c r="AC268" s="27">
        <v>10.295591182364729</v>
      </c>
      <c r="AD268" s="27">
        <v>0.20040080160320642</v>
      </c>
      <c r="AE268" s="27">
        <v>9.669338677354709</v>
      </c>
      <c r="AF268" s="27" t="s">
        <v>45</v>
      </c>
      <c r="AG268" s="27">
        <v>3.7324649298597192</v>
      </c>
    </row>
    <row r="269" spans="1:33" x14ac:dyDescent="0.2">
      <c r="A269" s="1">
        <v>254</v>
      </c>
      <c r="B269" s="25" t="s">
        <v>302</v>
      </c>
      <c r="C269" s="26">
        <v>9.3211648892534864</v>
      </c>
      <c r="D269" s="27" t="s">
        <v>45</v>
      </c>
      <c r="E269" s="27" t="s">
        <v>45</v>
      </c>
      <c r="F269" s="27" t="s">
        <v>45</v>
      </c>
      <c r="G269" s="27" t="s">
        <v>45</v>
      </c>
      <c r="H269" s="26">
        <v>0.21616078753076293</v>
      </c>
      <c r="I269" s="26" t="s">
        <v>45</v>
      </c>
      <c r="J269" s="27" t="s">
        <v>45</v>
      </c>
      <c r="K269" s="27" t="s">
        <v>45</v>
      </c>
      <c r="L269" s="27">
        <v>1.7124692370795733</v>
      </c>
      <c r="M269" s="27">
        <v>9.280147662018047</v>
      </c>
      <c r="N269" s="27">
        <v>9.3857670221493036E-2</v>
      </c>
      <c r="O269" s="27" t="s">
        <v>45</v>
      </c>
      <c r="P269" s="27" t="s">
        <v>45</v>
      </c>
      <c r="Q269" s="27">
        <v>2.1134126333059885E-2</v>
      </c>
      <c r="R269" s="27">
        <v>60.74651353568499</v>
      </c>
      <c r="S269" s="27" t="s">
        <v>45</v>
      </c>
      <c r="T269" s="30">
        <v>8.6238720262510251E-4</v>
      </c>
      <c r="U269" s="27">
        <v>0.55373256767842505</v>
      </c>
      <c r="V269" s="27">
        <v>0.62551271534044295</v>
      </c>
      <c r="W269" s="30">
        <v>1.8591058244462676E-2</v>
      </c>
      <c r="X269" s="27">
        <v>1.989335520918786</v>
      </c>
      <c r="Y269" s="27" t="s">
        <v>45</v>
      </c>
      <c r="Z269" s="27" t="s">
        <v>45</v>
      </c>
      <c r="AA269" s="27">
        <v>519.58572600492209</v>
      </c>
      <c r="AB269" s="29">
        <v>1.8929450369155047E-2</v>
      </c>
      <c r="AC269" s="27">
        <v>12.417965545529123</v>
      </c>
      <c r="AD269" s="27">
        <v>0.38966365873666942</v>
      </c>
      <c r="AE269" s="27">
        <v>3.6505332239540609</v>
      </c>
      <c r="AF269" s="27" t="s">
        <v>45</v>
      </c>
      <c r="AG269" s="27">
        <v>5.3732567678424941</v>
      </c>
    </row>
    <row r="270" spans="1:33" x14ac:dyDescent="0.2">
      <c r="A270" s="1">
        <v>255</v>
      </c>
      <c r="B270" s="25" t="s">
        <v>303</v>
      </c>
      <c r="C270" s="26">
        <v>4.4298605414274004</v>
      </c>
      <c r="D270" s="27" t="s">
        <v>45</v>
      </c>
      <c r="E270" s="27" t="s">
        <v>45</v>
      </c>
      <c r="F270" s="27" t="s">
        <v>45</v>
      </c>
      <c r="G270" s="27" t="s">
        <v>45</v>
      </c>
      <c r="H270" s="26">
        <v>4.3919196062346191E-2</v>
      </c>
      <c r="I270" s="26" t="s">
        <v>45</v>
      </c>
      <c r="J270" s="27" t="s">
        <v>45</v>
      </c>
      <c r="K270" s="27" t="s">
        <v>45</v>
      </c>
      <c r="L270" s="27">
        <v>0.58449548810500418</v>
      </c>
      <c r="M270" s="27">
        <v>5.4245283018867925</v>
      </c>
      <c r="N270" s="27">
        <v>4.4965135356849879E-2</v>
      </c>
      <c r="O270" s="27" t="s">
        <v>45</v>
      </c>
      <c r="P270" s="27" t="s">
        <v>45</v>
      </c>
      <c r="Q270" s="27">
        <v>9.7323625922887628E-3</v>
      </c>
      <c r="R270" s="27">
        <v>30.680885972108289</v>
      </c>
      <c r="S270" s="27" t="s">
        <v>45</v>
      </c>
      <c r="T270" s="30">
        <v>1.4868744872846597E-4</v>
      </c>
      <c r="U270" s="27" t="s">
        <v>45</v>
      </c>
      <c r="V270" s="27">
        <v>0.17432321575061524</v>
      </c>
      <c r="W270" s="30">
        <v>2.1646841673502873E-3</v>
      </c>
      <c r="X270" s="27">
        <v>0.55373256767842505</v>
      </c>
      <c r="Y270" s="27" t="s">
        <v>45</v>
      </c>
      <c r="Z270" s="27" t="s">
        <v>45</v>
      </c>
      <c r="AA270" s="27">
        <v>9.6493027071369983</v>
      </c>
      <c r="AB270" s="29">
        <v>4.6277686628383918E-3</v>
      </c>
      <c r="AC270" s="27">
        <v>2.6558654634946679</v>
      </c>
      <c r="AD270" s="27">
        <v>0.13330598851517639</v>
      </c>
      <c r="AE270" s="27">
        <v>1.0254306808859722E-2</v>
      </c>
      <c r="AF270" s="27" t="s">
        <v>45</v>
      </c>
      <c r="AG270" s="27">
        <v>4.4196062346185396</v>
      </c>
    </row>
    <row r="271" spans="1:33" x14ac:dyDescent="0.2">
      <c r="A271" s="1">
        <v>256</v>
      </c>
      <c r="B271" s="25" t="s">
        <v>304</v>
      </c>
      <c r="C271" s="26">
        <v>1.6399416909620992</v>
      </c>
      <c r="D271" s="27" t="s">
        <v>45</v>
      </c>
      <c r="E271" s="27" t="s">
        <v>45</v>
      </c>
      <c r="F271" s="27" t="s">
        <v>45</v>
      </c>
      <c r="G271" s="27" t="s">
        <v>45</v>
      </c>
      <c r="H271" s="26">
        <v>0.10807823129251701</v>
      </c>
      <c r="I271" s="26" t="s">
        <v>45</v>
      </c>
      <c r="J271" s="27" t="s">
        <v>45</v>
      </c>
      <c r="K271" s="27" t="s">
        <v>45</v>
      </c>
      <c r="L271" s="27">
        <v>1.1418853255587949</v>
      </c>
      <c r="M271" s="27">
        <v>2.6360544217687072</v>
      </c>
      <c r="N271" s="27">
        <v>4.3124392614188524E-2</v>
      </c>
      <c r="O271" s="27" t="s">
        <v>45</v>
      </c>
      <c r="P271" s="27" t="s">
        <v>45</v>
      </c>
      <c r="Q271" s="27">
        <v>1.5439747327502428E-2</v>
      </c>
      <c r="R271" s="27">
        <v>50.279397473275026</v>
      </c>
      <c r="S271" s="27" t="s">
        <v>45</v>
      </c>
      <c r="T271" s="30" t="s">
        <v>45</v>
      </c>
      <c r="U271" s="27">
        <v>0.57094266277939743</v>
      </c>
      <c r="V271" s="27">
        <v>0.17006802721088432</v>
      </c>
      <c r="W271" s="30">
        <v>2.3748785228377067E-3</v>
      </c>
      <c r="X271" s="27">
        <v>1.1054421768707483</v>
      </c>
      <c r="Y271" s="27" t="s">
        <v>45</v>
      </c>
      <c r="Z271" s="27" t="s">
        <v>45</v>
      </c>
      <c r="AA271" s="27">
        <v>12.475704567541301</v>
      </c>
      <c r="AB271" s="29">
        <v>8.6625364431486863E-3</v>
      </c>
      <c r="AC271" s="27">
        <v>8.0660835762876566</v>
      </c>
      <c r="AD271" s="27">
        <v>0.26724975704567538</v>
      </c>
      <c r="AE271" s="27">
        <v>0.88678328474246837</v>
      </c>
      <c r="AF271" s="27" t="s">
        <v>45</v>
      </c>
      <c r="AG271" s="27">
        <v>1.8586005830903789</v>
      </c>
    </row>
    <row r="272" spans="1:33" x14ac:dyDescent="0.2">
      <c r="A272" s="1">
        <v>257</v>
      </c>
      <c r="B272" s="25" t="s">
        <v>305</v>
      </c>
      <c r="C272" s="26">
        <v>81.330935251798564</v>
      </c>
      <c r="D272" s="27" t="s">
        <v>45</v>
      </c>
      <c r="E272" s="27" t="s">
        <v>45</v>
      </c>
      <c r="F272" s="27" t="s">
        <v>45</v>
      </c>
      <c r="G272" s="27" t="s">
        <v>45</v>
      </c>
      <c r="H272" s="26">
        <v>0.25071942446043166</v>
      </c>
      <c r="I272" s="26">
        <v>0.20383693045563547</v>
      </c>
      <c r="J272" s="27" t="s">
        <v>45</v>
      </c>
      <c r="K272" s="27" t="s">
        <v>45</v>
      </c>
      <c r="L272" s="27">
        <v>3.2374100719424463</v>
      </c>
      <c r="M272" s="27">
        <v>40.863309352517987</v>
      </c>
      <c r="N272" s="27">
        <v>1.9964028776978421E-2</v>
      </c>
      <c r="O272" s="27" t="s">
        <v>45</v>
      </c>
      <c r="P272" s="27" t="s">
        <v>45</v>
      </c>
      <c r="Q272" s="27">
        <v>1.9388489208633095E-2</v>
      </c>
      <c r="R272" s="27">
        <v>114.71223021582735</v>
      </c>
      <c r="S272" s="27" t="s">
        <v>45</v>
      </c>
      <c r="T272" s="30">
        <v>1.2901678657074342E-3</v>
      </c>
      <c r="U272" s="27">
        <v>5.9952038369304565E-2</v>
      </c>
      <c r="V272" s="27">
        <v>3.3932853717026381</v>
      </c>
      <c r="W272" s="30">
        <v>8.5911270983213429E-3</v>
      </c>
      <c r="X272" s="27">
        <v>0.39568345323741011</v>
      </c>
      <c r="Y272" s="27" t="s">
        <v>45</v>
      </c>
      <c r="Z272" s="27" t="s">
        <v>45</v>
      </c>
      <c r="AA272" s="27">
        <v>88.80095923261392</v>
      </c>
      <c r="AB272" s="29">
        <v>2.0155875299760196E-2</v>
      </c>
      <c r="AC272" s="27">
        <v>9.9760191846522783</v>
      </c>
      <c r="AD272" s="27">
        <v>2.5179856115107917</v>
      </c>
      <c r="AE272" s="27">
        <v>3.5251798561151082</v>
      </c>
      <c r="AF272" s="27" t="s">
        <v>45</v>
      </c>
      <c r="AG272" s="27">
        <v>26.498800959232618</v>
      </c>
    </row>
    <row r="273" spans="1:33" x14ac:dyDescent="0.2">
      <c r="A273" s="1">
        <v>258</v>
      </c>
      <c r="B273" s="25" t="s">
        <v>306</v>
      </c>
      <c r="C273" s="26">
        <v>40.202476572958496</v>
      </c>
      <c r="D273" s="27" t="s">
        <v>45</v>
      </c>
      <c r="E273" s="27" t="s">
        <v>45</v>
      </c>
      <c r="F273" s="27" t="s">
        <v>45</v>
      </c>
      <c r="G273" s="27" t="s">
        <v>45</v>
      </c>
      <c r="H273" s="26">
        <v>0.62399598393574296</v>
      </c>
      <c r="I273" s="26" t="s">
        <v>45</v>
      </c>
      <c r="J273" s="27" t="s">
        <v>45</v>
      </c>
      <c r="K273" s="27">
        <v>5.8567603748326633E-2</v>
      </c>
      <c r="L273" s="27">
        <v>2.7275769745649261</v>
      </c>
      <c r="M273" s="27">
        <v>28.622824631860777</v>
      </c>
      <c r="N273" s="27">
        <v>4.858601070950469E-2</v>
      </c>
      <c r="O273" s="27" t="s">
        <v>45</v>
      </c>
      <c r="P273" s="27" t="s">
        <v>45</v>
      </c>
      <c r="Q273" s="27">
        <v>4.6042503346720214E-2</v>
      </c>
      <c r="R273" s="27">
        <v>115.21084337349396</v>
      </c>
      <c r="S273" s="27" t="s">
        <v>45</v>
      </c>
      <c r="T273" s="30">
        <v>1.8181057563587684E-3</v>
      </c>
      <c r="U273" s="27">
        <v>0.55220883534136544</v>
      </c>
      <c r="V273" s="27">
        <v>1.42235609103079</v>
      </c>
      <c r="W273" s="30">
        <v>2.1460843373493976E-2</v>
      </c>
      <c r="X273" s="27">
        <v>0.93708165997322612</v>
      </c>
      <c r="Y273" s="27" t="s">
        <v>45</v>
      </c>
      <c r="Z273" s="27" t="s">
        <v>45</v>
      </c>
      <c r="AA273" s="27">
        <v>412.23226238286475</v>
      </c>
      <c r="AB273" s="29">
        <v>3.003681392235609E-2</v>
      </c>
      <c r="AC273" s="27">
        <v>40.930388219544845</v>
      </c>
      <c r="AD273" s="27">
        <v>1.8323293172690762</v>
      </c>
      <c r="AE273" s="27">
        <v>8.5257697456492654</v>
      </c>
      <c r="AF273" s="27" t="s">
        <v>45</v>
      </c>
      <c r="AG273" s="27">
        <v>15.503681392235606</v>
      </c>
    </row>
    <row r="274" spans="1:33" x14ac:dyDescent="0.2">
      <c r="A274" s="1">
        <v>259</v>
      </c>
      <c r="B274" s="25" t="s">
        <v>307</v>
      </c>
      <c r="C274" s="26">
        <v>8.7510442773600676</v>
      </c>
      <c r="D274" s="27" t="s">
        <v>45</v>
      </c>
      <c r="E274" s="27" t="s">
        <v>45</v>
      </c>
      <c r="F274" s="27" t="s">
        <v>45</v>
      </c>
      <c r="G274" s="27" t="s">
        <v>45</v>
      </c>
      <c r="H274" s="26">
        <v>0.15998329156223892</v>
      </c>
      <c r="I274" s="26">
        <v>0.21929824561403508</v>
      </c>
      <c r="J274" s="27" t="s">
        <v>45</v>
      </c>
      <c r="K274" s="27" t="s">
        <v>45</v>
      </c>
      <c r="L274" s="27">
        <v>0.8249791144527987</v>
      </c>
      <c r="M274" s="27">
        <v>6.1299081035923138</v>
      </c>
      <c r="N274" s="27">
        <v>5.0772765246449462E-2</v>
      </c>
      <c r="O274" s="27" t="s">
        <v>45</v>
      </c>
      <c r="P274" s="27" t="s">
        <v>45</v>
      </c>
      <c r="Q274" s="27">
        <v>3.7656641604010027E-2</v>
      </c>
      <c r="R274" s="27">
        <v>48.036758563074351</v>
      </c>
      <c r="S274" s="27" t="s">
        <v>45</v>
      </c>
      <c r="T274" s="30">
        <v>1.1528822055137844E-3</v>
      </c>
      <c r="U274" s="27" t="s">
        <v>45</v>
      </c>
      <c r="V274" s="27">
        <v>0.20885547201336677</v>
      </c>
      <c r="W274" s="30">
        <v>1.4223057644110275E-3</v>
      </c>
      <c r="X274" s="27">
        <v>0.83542188805346707</v>
      </c>
      <c r="Y274" s="27" t="s">
        <v>45</v>
      </c>
      <c r="Z274" s="27" t="s">
        <v>45</v>
      </c>
      <c r="AA274" s="27">
        <v>30.148287385129493</v>
      </c>
      <c r="AB274" s="29">
        <v>9.7305764411027562E-3</v>
      </c>
      <c r="AC274" s="27">
        <v>10.766499582289056</v>
      </c>
      <c r="AD274" s="27">
        <v>0.5743525480367585</v>
      </c>
      <c r="AE274" s="27">
        <v>5.2318295739348368</v>
      </c>
      <c r="AF274" s="27" t="s">
        <v>45</v>
      </c>
      <c r="AG274" s="27">
        <v>9.3358395989974934</v>
      </c>
    </row>
    <row r="275" spans="1:33" x14ac:dyDescent="0.2">
      <c r="A275" s="1">
        <v>260</v>
      </c>
      <c r="B275" s="25" t="s">
        <v>308</v>
      </c>
      <c r="C275" s="26">
        <v>12.437722419928825</v>
      </c>
      <c r="D275" s="27" t="s">
        <v>45</v>
      </c>
      <c r="E275" s="27" t="s">
        <v>45</v>
      </c>
      <c r="F275" s="27" t="s">
        <v>45</v>
      </c>
      <c r="G275" s="27" t="s">
        <v>45</v>
      </c>
      <c r="H275" s="26">
        <v>0.3749110320284697</v>
      </c>
      <c r="I275" s="26" t="s">
        <v>45</v>
      </c>
      <c r="J275" s="27" t="s">
        <v>45</v>
      </c>
      <c r="K275" s="27" t="s">
        <v>45</v>
      </c>
      <c r="L275" s="27">
        <v>2.5711743772241986</v>
      </c>
      <c r="M275" s="27">
        <v>13.42526690391459</v>
      </c>
      <c r="N275" s="27">
        <v>0.18638790035587186</v>
      </c>
      <c r="O275" s="27" t="s">
        <v>45</v>
      </c>
      <c r="P275" s="27" t="s">
        <v>45</v>
      </c>
      <c r="Q275" s="27">
        <v>3.5516014234875444E-2</v>
      </c>
      <c r="R275" s="27">
        <v>101.33451957295374</v>
      </c>
      <c r="S275" s="27" t="s">
        <v>45</v>
      </c>
      <c r="T275" s="30">
        <v>5.5871886120996439E-4</v>
      </c>
      <c r="U275" s="27">
        <v>0.6316725978647687</v>
      </c>
      <c r="V275" s="27">
        <v>0.96085409252669041</v>
      </c>
      <c r="W275" s="30">
        <v>4.3692170818505328E-2</v>
      </c>
      <c r="X275" s="27">
        <v>4.7864768683274015</v>
      </c>
      <c r="Y275" s="27" t="s">
        <v>45</v>
      </c>
      <c r="Z275" s="27" t="s">
        <v>45</v>
      </c>
      <c r="AA275" s="27">
        <v>653.11387900355862</v>
      </c>
      <c r="AB275" s="29">
        <v>2.9982206405693948E-2</v>
      </c>
      <c r="AC275" s="27">
        <v>18.887900355871885</v>
      </c>
      <c r="AD275" s="27">
        <v>0.72064056939501764</v>
      </c>
      <c r="AE275" s="27">
        <v>5.9252669039145909</v>
      </c>
      <c r="AF275" s="27" t="s">
        <v>45</v>
      </c>
      <c r="AG275" s="27">
        <v>4.9733096085409247</v>
      </c>
    </row>
    <row r="276" spans="1:33" x14ac:dyDescent="0.2">
      <c r="A276" s="1">
        <v>261</v>
      </c>
      <c r="B276" s="25" t="s">
        <v>309</v>
      </c>
      <c r="C276" s="26">
        <v>1.2720156555772995</v>
      </c>
      <c r="D276" s="27" t="s">
        <v>45</v>
      </c>
      <c r="E276" s="27" t="s">
        <v>45</v>
      </c>
      <c r="F276" s="27" t="s">
        <v>45</v>
      </c>
      <c r="G276" s="27" t="s">
        <v>45</v>
      </c>
      <c r="H276" s="26">
        <v>0.20616438356164382</v>
      </c>
      <c r="I276" s="26" t="s">
        <v>45</v>
      </c>
      <c r="J276" s="27" t="s">
        <v>45</v>
      </c>
      <c r="K276" s="27" t="s">
        <v>45</v>
      </c>
      <c r="L276" s="27">
        <v>1.1350293542074363</v>
      </c>
      <c r="M276" s="27">
        <v>1.9667318982387474</v>
      </c>
      <c r="N276" s="27">
        <v>0.13688845401174168</v>
      </c>
      <c r="O276" s="27" t="s">
        <v>45</v>
      </c>
      <c r="P276" s="27" t="s">
        <v>45</v>
      </c>
      <c r="Q276" s="27">
        <v>5.0146771037182E-2</v>
      </c>
      <c r="R276" s="27">
        <v>48.454011741682969</v>
      </c>
      <c r="S276" s="27" t="s">
        <v>45</v>
      </c>
      <c r="T276" s="30">
        <v>5.0391389432485314E-4</v>
      </c>
      <c r="U276" s="27">
        <v>0.8904109589041096</v>
      </c>
      <c r="V276" s="27">
        <v>7.8277886497064575E-2</v>
      </c>
      <c r="W276" s="30">
        <v>1.3219178082191779E-2</v>
      </c>
      <c r="X276" s="27">
        <v>2.4951076320939332</v>
      </c>
      <c r="Y276" s="27" t="s">
        <v>45</v>
      </c>
      <c r="Z276" s="27" t="s">
        <v>45</v>
      </c>
      <c r="AA276" s="27">
        <v>23.424657534246577</v>
      </c>
      <c r="AB276" s="29">
        <v>1.452054794520548E-2</v>
      </c>
      <c r="AC276" s="27">
        <v>12.103718199608611</v>
      </c>
      <c r="AD276" s="27">
        <v>0.19569471624266147</v>
      </c>
      <c r="AE276" s="27">
        <v>6.9569471624266139</v>
      </c>
      <c r="AF276" s="27" t="s">
        <v>45</v>
      </c>
      <c r="AG276" s="27">
        <v>2.397260273972603</v>
      </c>
    </row>
    <row r="277" spans="1:33" x14ac:dyDescent="0.2">
      <c r="A277" s="1">
        <v>262</v>
      </c>
      <c r="B277" s="25" t="s">
        <v>310</v>
      </c>
      <c r="C277" s="26">
        <v>96.989593657086232</v>
      </c>
      <c r="D277" s="27" t="s">
        <v>45</v>
      </c>
      <c r="E277" s="27" t="s">
        <v>45</v>
      </c>
      <c r="F277" s="27" t="s">
        <v>45</v>
      </c>
      <c r="G277" s="27" t="s">
        <v>45</v>
      </c>
      <c r="H277" s="26">
        <v>0.23946977205153616</v>
      </c>
      <c r="I277" s="26">
        <v>7.4331020812685819E-2</v>
      </c>
      <c r="J277" s="27" t="s">
        <v>45</v>
      </c>
      <c r="K277" s="27" t="s">
        <v>45</v>
      </c>
      <c r="L277" s="27">
        <v>2.7750247770069372</v>
      </c>
      <c r="M277" s="27">
        <v>47.943508424182362</v>
      </c>
      <c r="N277" s="27">
        <v>2.2348860257680871E-2</v>
      </c>
      <c r="O277" s="27" t="s">
        <v>45</v>
      </c>
      <c r="P277" s="27" t="s">
        <v>45</v>
      </c>
      <c r="Q277" s="27">
        <v>2.067641228939544E-2</v>
      </c>
      <c r="R277" s="27">
        <v>101.79633300297324</v>
      </c>
      <c r="S277" s="27" t="s">
        <v>45</v>
      </c>
      <c r="T277" s="30">
        <v>2.3662041625371654E-3</v>
      </c>
      <c r="U277" s="27">
        <v>7.4331020812685819E-2</v>
      </c>
      <c r="V277" s="27">
        <v>2.5024777006937562</v>
      </c>
      <c r="W277" s="30">
        <v>8.9308721506442014E-3</v>
      </c>
      <c r="X277" s="27">
        <v>0.4831516352824578</v>
      </c>
      <c r="Y277" s="27" t="s">
        <v>45</v>
      </c>
      <c r="Z277" s="27" t="s">
        <v>45</v>
      </c>
      <c r="AA277" s="27">
        <v>69.586223984142705</v>
      </c>
      <c r="AB277" s="29">
        <v>2.1233894945490581E-2</v>
      </c>
      <c r="AC277" s="27">
        <v>9.8116947472745295</v>
      </c>
      <c r="AD277" s="27">
        <v>2.056491575817641</v>
      </c>
      <c r="AE277" s="27">
        <v>4.1253716551040638</v>
      </c>
      <c r="AF277" s="27" t="s">
        <v>45</v>
      </c>
      <c r="AG277" s="27">
        <v>18.050049554013874</v>
      </c>
    </row>
    <row r="278" spans="1:33" x14ac:dyDescent="0.2">
      <c r="A278" s="1">
        <v>263</v>
      </c>
      <c r="B278" s="25" t="s">
        <v>311</v>
      </c>
      <c r="C278" s="26">
        <v>16.543635170603672</v>
      </c>
      <c r="D278" s="27" t="s">
        <v>45</v>
      </c>
      <c r="E278" s="27" t="s">
        <v>45</v>
      </c>
      <c r="F278" s="27" t="s">
        <v>45</v>
      </c>
      <c r="G278" s="27" t="s">
        <v>45</v>
      </c>
      <c r="H278" s="26">
        <v>0.41437007874015752</v>
      </c>
      <c r="I278" s="26" t="s">
        <v>45</v>
      </c>
      <c r="J278" s="27" t="s">
        <v>45</v>
      </c>
      <c r="K278" s="27" t="s">
        <v>45</v>
      </c>
      <c r="L278" s="27">
        <v>0.97604986876640432</v>
      </c>
      <c r="M278" s="27">
        <v>11.228674540682414</v>
      </c>
      <c r="N278" s="27">
        <v>4.3249671916010493E-2</v>
      </c>
      <c r="O278" s="27" t="s">
        <v>45</v>
      </c>
      <c r="P278" s="27" t="s">
        <v>45</v>
      </c>
      <c r="Q278" s="27">
        <v>5.9005905511811022E-2</v>
      </c>
      <c r="R278" s="27">
        <v>121.80118110236219</v>
      </c>
      <c r="S278" s="27" t="s">
        <v>45</v>
      </c>
      <c r="T278" s="30">
        <v>1.1884842519685039E-3</v>
      </c>
      <c r="U278" s="27">
        <v>1.2057086614173227</v>
      </c>
      <c r="V278" s="27">
        <v>1.0006561679790025</v>
      </c>
      <c r="W278" s="30">
        <v>1.0793963254593177E-2</v>
      </c>
      <c r="X278" s="27">
        <v>0.79560367454068237</v>
      </c>
      <c r="Y278" s="27" t="s">
        <v>45</v>
      </c>
      <c r="Z278" s="27" t="s">
        <v>45</v>
      </c>
      <c r="AA278" s="27">
        <v>121.55511811023621</v>
      </c>
      <c r="AB278" s="29">
        <v>1.8339895013123358E-2</v>
      </c>
      <c r="AC278" s="27">
        <v>25.918635170603675</v>
      </c>
      <c r="AD278" s="27">
        <v>1.2303149606299213</v>
      </c>
      <c r="AE278" s="27">
        <v>10.875984251968504</v>
      </c>
      <c r="AF278" s="27" t="s">
        <v>45</v>
      </c>
      <c r="AG278" s="27">
        <v>2.8215223097112858</v>
      </c>
    </row>
    <row r="279" spans="1:33" x14ac:dyDescent="0.2">
      <c r="A279" s="1">
        <v>264</v>
      </c>
      <c r="B279" s="25" t="s">
        <v>312</v>
      </c>
      <c r="C279" s="26">
        <v>2.0942408376963351</v>
      </c>
      <c r="D279" s="27" t="s">
        <v>45</v>
      </c>
      <c r="E279" s="27" t="s">
        <v>45</v>
      </c>
      <c r="F279" s="27" t="s">
        <v>45</v>
      </c>
      <c r="G279" s="27" t="s">
        <v>45</v>
      </c>
      <c r="H279" s="26">
        <v>0.13481675392670159</v>
      </c>
      <c r="I279" s="26" t="s">
        <v>45</v>
      </c>
      <c r="J279" s="27" t="s">
        <v>45</v>
      </c>
      <c r="K279" s="27" t="s">
        <v>45</v>
      </c>
      <c r="L279" s="27">
        <v>0.98603839441535779</v>
      </c>
      <c r="M279" s="27">
        <v>3.5253054101221646</v>
      </c>
      <c r="N279" s="27">
        <v>0.13970331588132637</v>
      </c>
      <c r="O279" s="27" t="s">
        <v>45</v>
      </c>
      <c r="P279" s="27" t="s">
        <v>45</v>
      </c>
      <c r="Q279" s="27">
        <v>4.0296684118673654E-2</v>
      </c>
      <c r="R279" s="27">
        <v>155.75916230366494</v>
      </c>
      <c r="S279" s="27" t="s">
        <v>45</v>
      </c>
      <c r="T279" s="30">
        <v>2.9406631762652708E-4</v>
      </c>
      <c r="U279" s="27">
        <v>1.1169284467713789</v>
      </c>
      <c r="V279" s="27">
        <v>0.10471204188481675</v>
      </c>
      <c r="W279" s="30">
        <v>8.5113438045375227E-3</v>
      </c>
      <c r="X279" s="27">
        <v>4.0663176265270513</v>
      </c>
      <c r="Y279" s="27" t="s">
        <v>45</v>
      </c>
      <c r="Z279" s="27" t="s">
        <v>45</v>
      </c>
      <c r="AA279" s="27">
        <v>12.373472949389182</v>
      </c>
      <c r="AB279" s="29">
        <v>1.349912739965096E-2</v>
      </c>
      <c r="AC279" s="27">
        <v>8.1326352530541026</v>
      </c>
      <c r="AD279" s="27">
        <v>0.18324607329842932</v>
      </c>
      <c r="AE279" s="27">
        <v>7.2513089005235596</v>
      </c>
      <c r="AF279" s="27" t="s">
        <v>45</v>
      </c>
      <c r="AG279" s="27">
        <v>3.7347294938917974</v>
      </c>
    </row>
    <row r="280" spans="1:33" x14ac:dyDescent="0.2">
      <c r="A280" s="1">
        <v>265</v>
      </c>
      <c r="B280" s="25" t="s">
        <v>313</v>
      </c>
      <c r="C280" s="26">
        <v>22.545053328429571</v>
      </c>
      <c r="D280" s="27" t="s">
        <v>45</v>
      </c>
      <c r="E280" s="27" t="s">
        <v>45</v>
      </c>
      <c r="F280" s="27" t="s">
        <v>45</v>
      </c>
      <c r="G280" s="27" t="s">
        <v>45</v>
      </c>
      <c r="H280" s="26">
        <v>0.26553880102979038</v>
      </c>
      <c r="I280" s="26" t="s">
        <v>45</v>
      </c>
      <c r="J280" s="27" t="s">
        <v>45</v>
      </c>
      <c r="K280" s="27">
        <v>0.13791835233541744</v>
      </c>
      <c r="L280" s="27">
        <v>1.8940787054063997</v>
      </c>
      <c r="M280" s="27">
        <v>9.0566384700257458</v>
      </c>
      <c r="N280" s="27">
        <v>2.4402353806546529E-2</v>
      </c>
      <c r="O280" s="27" t="s">
        <v>45</v>
      </c>
      <c r="P280" s="27" t="s">
        <v>45</v>
      </c>
      <c r="Q280" s="27">
        <v>3.0948878264067677E-2</v>
      </c>
      <c r="R280" s="27">
        <v>122.19566016917986</v>
      </c>
      <c r="S280" s="27" t="s">
        <v>45</v>
      </c>
      <c r="T280" s="30">
        <v>3.9076866495034944E-4</v>
      </c>
      <c r="U280" s="27">
        <v>0.35858771607208534</v>
      </c>
      <c r="V280" s="27">
        <v>0.69878631849944839</v>
      </c>
      <c r="W280" s="30">
        <v>9.406031629275469E-3</v>
      </c>
      <c r="X280" s="27">
        <v>0.47811695476278049</v>
      </c>
      <c r="Y280" s="27" t="s">
        <v>45</v>
      </c>
      <c r="Z280" s="27" t="s">
        <v>45</v>
      </c>
      <c r="AA280" s="27">
        <v>193.91320338359694</v>
      </c>
      <c r="AB280" s="29">
        <v>1.8196027951452743E-2</v>
      </c>
      <c r="AC280" s="27">
        <v>13.782640676719383</v>
      </c>
      <c r="AD280" s="27">
        <v>0.39536594336153003</v>
      </c>
      <c r="AE280" s="27">
        <v>5.3420375137918352</v>
      </c>
      <c r="AF280" s="27" t="s">
        <v>45</v>
      </c>
      <c r="AG280" s="27">
        <v>7.153365207796984</v>
      </c>
    </row>
    <row r="281" spans="1:33" x14ac:dyDescent="0.2">
      <c r="A281" s="1">
        <v>266</v>
      </c>
      <c r="B281" s="25" t="s">
        <v>314</v>
      </c>
      <c r="C281" s="26">
        <v>0.81679073614557496</v>
      </c>
      <c r="D281" s="27" t="s">
        <v>45</v>
      </c>
      <c r="E281" s="27" t="s">
        <v>45</v>
      </c>
      <c r="F281" s="27" t="s">
        <v>45</v>
      </c>
      <c r="G281" s="27" t="s">
        <v>45</v>
      </c>
      <c r="H281" s="26">
        <v>9.3010752688172063E-2</v>
      </c>
      <c r="I281" s="26" t="s">
        <v>45</v>
      </c>
      <c r="J281" s="27" t="s">
        <v>45</v>
      </c>
      <c r="K281" s="27" t="s">
        <v>45</v>
      </c>
      <c r="L281" s="27">
        <v>0.67204301075268824</v>
      </c>
      <c r="M281" s="27">
        <v>1.3440860215053765</v>
      </c>
      <c r="N281" s="27">
        <v>8.6476426799007453E-2</v>
      </c>
      <c r="O281" s="27" t="s">
        <v>45</v>
      </c>
      <c r="P281" s="27" t="s">
        <v>45</v>
      </c>
      <c r="Q281" s="27">
        <v>2.9766335814722912E-2</v>
      </c>
      <c r="R281" s="27">
        <v>27.657154673283706</v>
      </c>
      <c r="S281" s="27" t="s">
        <v>45</v>
      </c>
      <c r="T281" s="30">
        <v>5.0041356492969396E-4</v>
      </c>
      <c r="U281" s="27" t="s">
        <v>45</v>
      </c>
      <c r="V281" s="27">
        <v>2.0678246484698098E-2</v>
      </c>
      <c r="W281" s="30">
        <v>6.5033085194375522E-3</v>
      </c>
      <c r="X281" s="27">
        <v>1.5818858560794047</v>
      </c>
      <c r="Y281" s="27" t="s">
        <v>45</v>
      </c>
      <c r="Z281" s="27" t="s">
        <v>45</v>
      </c>
      <c r="AA281" s="27">
        <v>6.6687344913151367</v>
      </c>
      <c r="AB281" s="29">
        <v>4.6060794044665017E-2</v>
      </c>
      <c r="AC281" s="27">
        <v>5.913978494623656</v>
      </c>
      <c r="AD281" s="27">
        <v>0.17576509511993382</v>
      </c>
      <c r="AE281" s="27">
        <v>4.9421009098428454</v>
      </c>
      <c r="AF281" s="27" t="s">
        <v>45</v>
      </c>
      <c r="AG281" s="27">
        <v>1.6749379652605458</v>
      </c>
    </row>
    <row r="282" spans="1:33" x14ac:dyDescent="0.2">
      <c r="A282" s="1">
        <v>267</v>
      </c>
      <c r="B282" s="25" t="s">
        <v>315</v>
      </c>
      <c r="C282" s="26">
        <v>0.48814504881450499</v>
      </c>
      <c r="D282" s="27" t="s">
        <v>45</v>
      </c>
      <c r="E282" s="27" t="s">
        <v>45</v>
      </c>
      <c r="F282" s="27" t="s">
        <v>45</v>
      </c>
      <c r="G282" s="27" t="s">
        <v>45</v>
      </c>
      <c r="H282" s="26">
        <v>8.5448628544862848E-2</v>
      </c>
      <c r="I282" s="26" t="s">
        <v>45</v>
      </c>
      <c r="J282" s="27" t="s">
        <v>45</v>
      </c>
      <c r="K282" s="27" t="s">
        <v>45</v>
      </c>
      <c r="L282" s="27">
        <v>0.62761506276150625</v>
      </c>
      <c r="M282" s="27">
        <v>0.97629009762900965</v>
      </c>
      <c r="N282" s="27">
        <v>8.9551371455137155E-2</v>
      </c>
      <c r="O282" s="27" t="s">
        <v>45</v>
      </c>
      <c r="P282" s="27" t="s">
        <v>45</v>
      </c>
      <c r="Q282" s="27">
        <v>2.4476987447698741E-2</v>
      </c>
      <c r="R282" s="27">
        <v>52.963737796373778</v>
      </c>
      <c r="S282" s="27" t="s">
        <v>45</v>
      </c>
      <c r="T282" s="30">
        <v>5.2185030218503017E-4</v>
      </c>
      <c r="U282" s="27">
        <v>0.69735006973500691</v>
      </c>
      <c r="V282" s="27">
        <v>0.10460251046025104</v>
      </c>
      <c r="W282" s="30">
        <v>5.5962343096234305E-3</v>
      </c>
      <c r="X282" s="27">
        <v>2.4523477452347744</v>
      </c>
      <c r="Y282" s="27" t="s">
        <v>45</v>
      </c>
      <c r="Z282" s="27" t="s">
        <v>45</v>
      </c>
      <c r="AA282" s="27">
        <v>3.2775453277545323</v>
      </c>
      <c r="AB282" s="29">
        <v>8.1566713156671303E-3</v>
      </c>
      <c r="AC282" s="27">
        <v>6.5667131566713159</v>
      </c>
      <c r="AD282" s="27">
        <v>0.27894002789400274</v>
      </c>
      <c r="AE282" s="27">
        <v>0.31380753138075312</v>
      </c>
      <c r="AF282" s="27" t="s">
        <v>45</v>
      </c>
      <c r="AG282" s="27">
        <v>2.2547652254765223</v>
      </c>
    </row>
    <row r="283" spans="1:33" x14ac:dyDescent="0.2">
      <c r="A283" s="1">
        <v>268</v>
      </c>
      <c r="B283" s="25" t="s">
        <v>316</v>
      </c>
      <c r="C283" s="26">
        <v>0.90282337491792508</v>
      </c>
      <c r="D283" s="27" t="s">
        <v>45</v>
      </c>
      <c r="E283" s="27" t="s">
        <v>45</v>
      </c>
      <c r="F283" s="27" t="s">
        <v>45</v>
      </c>
      <c r="G283" s="27" t="s">
        <v>45</v>
      </c>
      <c r="H283" s="26">
        <v>9.1595535128036781E-2</v>
      </c>
      <c r="I283" s="26" t="s">
        <v>45</v>
      </c>
      <c r="J283" s="27" t="s">
        <v>45</v>
      </c>
      <c r="K283" s="27" t="s">
        <v>45</v>
      </c>
      <c r="L283" s="27">
        <v>0.76329612606697306</v>
      </c>
      <c r="M283" s="27">
        <v>2.1257386736703876</v>
      </c>
      <c r="N283" s="27">
        <v>6.9377872619829278E-2</v>
      </c>
      <c r="O283" s="27" t="s">
        <v>45</v>
      </c>
      <c r="P283" s="27" t="s">
        <v>45</v>
      </c>
      <c r="Q283" s="27">
        <v>2.0141168745896262E-2</v>
      </c>
      <c r="R283" s="27">
        <v>46.864740643466838</v>
      </c>
      <c r="S283" s="27" t="s">
        <v>45</v>
      </c>
      <c r="T283" s="30">
        <v>3.4389363099146422E-4</v>
      </c>
      <c r="U283" s="27">
        <v>0.18056467498358503</v>
      </c>
      <c r="V283" s="27">
        <v>4.9244911359159552E-2</v>
      </c>
      <c r="W283" s="30">
        <v>6.2631319763624431E-3</v>
      </c>
      <c r="X283" s="27">
        <v>2.2816808929743928</v>
      </c>
      <c r="Y283" s="27" t="s">
        <v>45</v>
      </c>
      <c r="Z283" s="27" t="s">
        <v>45</v>
      </c>
      <c r="AA283" s="27">
        <v>27.683847669074193</v>
      </c>
      <c r="AB283" s="29">
        <v>9.7833223900196994E-3</v>
      </c>
      <c r="AC283" s="27">
        <v>5.4169402495075518</v>
      </c>
      <c r="AD283" s="27">
        <v>0.14773473407747867</v>
      </c>
      <c r="AE283" s="27">
        <v>2.4130006565988182</v>
      </c>
      <c r="AF283" s="27" t="s">
        <v>45</v>
      </c>
      <c r="AG283" s="27">
        <v>2.2242284963887067</v>
      </c>
    </row>
    <row r="284" spans="1:33" x14ac:dyDescent="0.2">
      <c r="A284" s="1">
        <v>269</v>
      </c>
      <c r="B284" s="25" t="s">
        <v>317</v>
      </c>
      <c r="C284" s="26">
        <v>0.391644908616188</v>
      </c>
      <c r="D284" s="27" t="s">
        <v>45</v>
      </c>
      <c r="E284" s="27" t="s">
        <v>45</v>
      </c>
      <c r="F284" s="27" t="s">
        <v>45</v>
      </c>
      <c r="G284" s="27" t="s">
        <v>45</v>
      </c>
      <c r="H284" s="26">
        <v>8.0678851174934729E-2</v>
      </c>
      <c r="I284" s="26" t="s">
        <v>45</v>
      </c>
      <c r="J284" s="27" t="s">
        <v>45</v>
      </c>
      <c r="K284" s="27" t="s">
        <v>45</v>
      </c>
      <c r="L284" s="27">
        <v>0.57814248414770608</v>
      </c>
      <c r="M284" s="27">
        <v>94.18127564341664</v>
      </c>
      <c r="N284" s="27">
        <v>7.0486758672137259E-2</v>
      </c>
      <c r="O284" s="27" t="s">
        <v>45</v>
      </c>
      <c r="P284" s="27" t="s">
        <v>45</v>
      </c>
      <c r="Q284" s="27">
        <v>3.2534502051473325E-2</v>
      </c>
      <c r="R284" s="27">
        <v>54.009697873927642</v>
      </c>
      <c r="S284" s="27" t="s">
        <v>45</v>
      </c>
      <c r="T284" s="30">
        <v>6.9283849309958979E-4</v>
      </c>
      <c r="U284" s="27">
        <v>0.85788884744498317</v>
      </c>
      <c r="V284" s="27">
        <v>4.6624393882879527E-2</v>
      </c>
      <c r="W284" s="30">
        <v>5.4121596419246546E-3</v>
      </c>
      <c r="X284" s="27">
        <v>1.0630361805296533</v>
      </c>
      <c r="Y284" s="27" t="s">
        <v>45</v>
      </c>
      <c r="Z284" s="27" t="s">
        <v>45</v>
      </c>
      <c r="AA284" s="27">
        <v>1.9955240581872433</v>
      </c>
      <c r="AB284" s="29">
        <v>8.1387541961954486E-3</v>
      </c>
      <c r="AC284" s="27">
        <v>7.0496083550913839</v>
      </c>
      <c r="AD284" s="27">
        <v>7.4599030212607234E-2</v>
      </c>
      <c r="AE284" s="27">
        <v>4.7370384185005596</v>
      </c>
      <c r="AF284" s="27" t="s">
        <v>45</v>
      </c>
      <c r="AG284" s="27">
        <v>1.8463259977620292</v>
      </c>
    </row>
  </sheetData>
  <mergeCells count="23">
    <mergeCell ref="B1:P2"/>
    <mergeCell ref="C7:F7"/>
    <mergeCell ref="C5:F5"/>
    <mergeCell ref="C6:F6"/>
    <mergeCell ref="C4:F4"/>
    <mergeCell ref="H4:P4"/>
    <mergeCell ref="N6:P6"/>
    <mergeCell ref="N7:P7"/>
    <mergeCell ref="L7:M7"/>
    <mergeCell ref="H5:P5"/>
    <mergeCell ref="L6:M6"/>
    <mergeCell ref="H7:K7"/>
    <mergeCell ref="C10:F10"/>
    <mergeCell ref="H9:K9"/>
    <mergeCell ref="L8:M8"/>
    <mergeCell ref="L9:M9"/>
    <mergeCell ref="H11:L11"/>
    <mergeCell ref="C9:F9"/>
    <mergeCell ref="N9:P9"/>
    <mergeCell ref="H8:K8"/>
    <mergeCell ref="N10:P10"/>
    <mergeCell ref="J10:M10"/>
    <mergeCell ref="N8:P8"/>
  </mergeCells>
  <phoneticPr fontId="2" type="noConversion"/>
  <pageMargins left="0.19685039370078741" right="0.51181102362204722" top="0.23622047244094491" bottom="0.35433070866141736" header="0" footer="0.19685039370078741"/>
  <pageSetup paperSize="9" scale="82" orientation="landscape" r:id="rId1"/>
  <headerFooter alignWithMargins="0">
    <oddFooter>&amp;CLos resultados de este informe sólo afectan a las muestras sometidas a ensayo. Las muestras serán conservadas según el Procedimiento del Servicio de Ionómica.</oddFooter>
  </headerFooter>
  <colBreaks count="1" manualBreakCount="1">
    <brk id="16" max="27" man="1"/>
  </colBreaks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1</xdr:col>
                <xdr:colOff>66675</xdr:colOff>
                <xdr:row>0</xdr:row>
                <xdr:rowOff>57150</xdr:rowOff>
              </from>
              <to>
                <xdr:col>4</xdr:col>
                <xdr:colOff>257175</xdr:colOff>
                <xdr:row>1</xdr:row>
                <xdr:rowOff>409575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" workbookViewId="0">
      <selection activeCell="D2" sqref="D2:N3"/>
    </sheetView>
  </sheetViews>
  <sheetFormatPr baseColWidth="10" defaultRowHeight="12.75" x14ac:dyDescent="0.2"/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m</dc:creator>
  <cp:lastModifiedBy>Ionómica II</cp:lastModifiedBy>
  <cp:lastPrinted>2011-05-05T10:15:08Z</cp:lastPrinted>
  <dcterms:created xsi:type="dcterms:W3CDTF">2006-05-30T08:16:12Z</dcterms:created>
  <dcterms:modified xsi:type="dcterms:W3CDTF">2022-04-01T10:04:27Z</dcterms:modified>
</cp:coreProperties>
</file>