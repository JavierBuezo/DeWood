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480" windowHeight="1164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N8" i="1" l="1"/>
  <c r="N10" i="1" l="1"/>
</calcChain>
</file>

<file path=xl/sharedStrings.xml><?xml version="1.0" encoding="utf-8"?>
<sst xmlns="http://schemas.openxmlformats.org/spreadsheetml/2006/main" count="357" uniqueCount="79">
  <si>
    <t>MUESTRA</t>
  </si>
  <si>
    <t>IDENTIFICACIÓN</t>
  </si>
  <si>
    <t xml:space="preserve">Precio ICP TOTAL </t>
  </si>
  <si>
    <t>Nº Muestras</t>
  </si>
  <si>
    <t>Nº DE MUESTRAS</t>
  </si>
  <si>
    <t>NOMBRE</t>
  </si>
  <si>
    <t>CENTRO</t>
  </si>
  <si>
    <t>E-MAIL</t>
  </si>
  <si>
    <t>FECHA DE  ENTREGA</t>
  </si>
  <si>
    <t>FECHA DE RECEPCIÓN</t>
  </si>
  <si>
    <t>TARIFAS</t>
  </si>
  <si>
    <t>As (mg/Kg)</t>
  </si>
  <si>
    <t>B (mg/Kg)</t>
  </si>
  <si>
    <t>Be (mg/Kg)</t>
  </si>
  <si>
    <t>Bi (mg/Kg)</t>
  </si>
  <si>
    <t>Ca (g/100g)</t>
  </si>
  <si>
    <t>Cd (mg/Kg)</t>
  </si>
  <si>
    <t>Co (mg/Kg)</t>
  </si>
  <si>
    <t>Cr (mg/Kg)</t>
  </si>
  <si>
    <t>Cu (mg/Kg)</t>
  </si>
  <si>
    <t>Fe (mg/Kg)</t>
  </si>
  <si>
    <t>K (g/100g)</t>
  </si>
  <si>
    <t>Li (mg/Kg)</t>
  </si>
  <si>
    <t>Mg (g/100g)</t>
  </si>
  <si>
    <t>Mn (mg/Kg)</t>
  </si>
  <si>
    <t>Mo (mg/Kg)</t>
  </si>
  <si>
    <t>Na (g/100g)</t>
  </si>
  <si>
    <t>Ni (mg/Kg)</t>
  </si>
  <si>
    <t>P (g/100g)</t>
  </si>
  <si>
    <t>Pb (mg/Kg)</t>
  </si>
  <si>
    <t>S (g/100g)</t>
  </si>
  <si>
    <t>Sb (mg/Kg)</t>
  </si>
  <si>
    <t>Se (mg/Kg)</t>
  </si>
  <si>
    <t>Sr (mg/Kg)</t>
  </si>
  <si>
    <t>Ti (mg/Kg)</t>
  </si>
  <si>
    <t>Tl (mg/Kg)</t>
  </si>
  <si>
    <t>V (mg/Kg)</t>
  </si>
  <si>
    <t>Zn (mg/Kg)</t>
  </si>
  <si>
    <t xml:space="preserve">PRECIO POR MUESTRA </t>
  </si>
  <si>
    <t>ICP LIQUIDAS</t>
  </si>
  <si>
    <t>ICP SÓLIDAS</t>
  </si>
  <si>
    <t>Rb (mg/Kg)</t>
  </si>
  <si>
    <r>
      <t xml:space="preserve">Análisis por ICP-OES  </t>
    </r>
    <r>
      <rPr>
        <b/>
        <sz val="10"/>
        <rFont val="Arial"/>
        <family val="2"/>
      </rPr>
      <t>THERMO ICAP 6500 DUO</t>
    </r>
  </si>
  <si>
    <t>La (mg/Kg)</t>
  </si>
  <si>
    <t>Si (mg/Kg)</t>
  </si>
  <si>
    <t>&lt;0,01</t>
  </si>
  <si>
    <t>Al (mg/Kg)</t>
  </si>
  <si>
    <t>EHU ION2775-1</t>
  </si>
  <si>
    <t>EHU ION2775-2</t>
  </si>
  <si>
    <t>EHU ION2775-3</t>
  </si>
  <si>
    <t>EHU ION2775-4</t>
  </si>
  <si>
    <t>EHU ION2775-5</t>
  </si>
  <si>
    <t>EHU ION2775-6</t>
  </si>
  <si>
    <t>EHU ION2775-7</t>
  </si>
  <si>
    <t>EHU ION2775-8</t>
  </si>
  <si>
    <t>EHU ION2775-9</t>
  </si>
  <si>
    <t>EHU ION2775-10</t>
  </si>
  <si>
    <t>EHU ION2775-11</t>
  </si>
  <si>
    <t>EHU ION2775-12</t>
  </si>
  <si>
    <t>EHU ION2775-13</t>
  </si>
  <si>
    <t>EHU ION2775-14</t>
  </si>
  <si>
    <t>EHU ION2775-15</t>
  </si>
  <si>
    <t>EHU ION2775-16</t>
  </si>
  <si>
    <t>EHU ION2775-17</t>
  </si>
  <si>
    <t>EHU ION2775-18</t>
  </si>
  <si>
    <t>EHU ION2775-19</t>
  </si>
  <si>
    <t>EHU ION2775-20</t>
  </si>
  <si>
    <t>EHU ION2775-21</t>
  </si>
  <si>
    <t>EHU ION2775-22</t>
  </si>
  <si>
    <t>EHU ION2775-23</t>
  </si>
  <si>
    <t>EHU ION2775-24</t>
  </si>
  <si>
    <t>EHU ION2775-25</t>
  </si>
  <si>
    <t>EHU ION2775-26</t>
  </si>
  <si>
    <t>EHU ION2775-27</t>
  </si>
  <si>
    <t>EHU ION2775-28</t>
  </si>
  <si>
    <t>EHU ION2775-29</t>
  </si>
  <si>
    <t>EHU ION2775-30</t>
  </si>
  <si>
    <t>Raquel Esteban</t>
  </si>
  <si>
    <t>EHU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</si>
</sst>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#,##0.00\ &quot;€&quot;;[Red]\-#,##0.00\ &quot;€&quot;"/>
    <numFmt numFmtId="164" formatCode="0.000"/>
    <numFmt numFmtId="165" formatCode="0.0000"/>
  </numFmts>
  <fonts count="2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b/>
      <i/>
      <sz val="7"/>
      <name val="Arial"/>
      <family val="2"/>
    </font>
    <font>
      <sz val="7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6"/>
      <name val="Arial"/>
      <family val="2"/>
    </font>
    <font>
      <b/>
      <sz val="8"/>
      <color indexed="8"/>
      <name val="ARIAL"/>
      <family val="2"/>
    </font>
    <font>
      <b/>
      <sz val="12"/>
      <name val="Ravie"/>
      <family val="5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1" fillId="0" borderId="0" xfId="0" applyFont="1" applyFill="1"/>
    <xf numFmtId="0" fontId="6" fillId="0" borderId="0" xfId="0" applyFont="1" applyFill="1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2" fillId="0" borderId="0" xfId="0" applyFont="1"/>
    <xf numFmtId="0" fontId="18" fillId="2" borderId="4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 wrapText="1" shrinkToFit="1"/>
    </xf>
    <xf numFmtId="0" fontId="14" fillId="0" borderId="0" xfId="0" applyFont="1" applyFill="1" applyBorder="1" applyAlignment="1">
      <alignment vertical="center" wrapText="1" shrinkToFit="1"/>
    </xf>
    <xf numFmtId="0" fontId="0" fillId="0" borderId="0" xfId="0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top" wrapText="1"/>
    </xf>
    <xf numFmtId="2" fontId="15" fillId="7" borderId="2" xfId="0" applyNumberFormat="1" applyFont="1" applyFill="1" applyBorder="1" applyAlignment="1">
      <alignment horizontal="center" vertical="top" wrapText="1"/>
    </xf>
    <xf numFmtId="2" fontId="15" fillId="7" borderId="2" xfId="0" applyNumberFormat="1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164" fontId="15" fillId="7" borderId="2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4" fillId="5" borderId="2" xfId="1" applyFill="1" applyBorder="1" applyAlignment="1" applyProtection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 wrapText="1" shrinkToFit="1"/>
    </xf>
    <xf numFmtId="0" fontId="12" fillId="4" borderId="2" xfId="0" applyFont="1" applyFill="1" applyBorder="1" applyAlignment="1">
      <alignment horizontal="center" vertical="center"/>
    </xf>
    <xf numFmtId="8" fontId="3" fillId="4" borderId="2" xfId="0" applyNumberFormat="1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 wrapText="1" shrinkToFit="1"/>
    </xf>
    <xf numFmtId="0" fontId="3" fillId="4" borderId="2" xfId="0" applyFont="1" applyFill="1" applyBorder="1" applyAlignment="1">
      <alignment horizontal="center" vertical="center" wrapText="1" shrinkToFit="1"/>
    </xf>
    <xf numFmtId="14" fontId="3" fillId="5" borderId="2" xfId="0" applyNumberFormat="1" applyFont="1" applyFill="1" applyBorder="1" applyAlignment="1">
      <alignment horizontal="center" vertical="center" wrapText="1" shrinkToFit="1"/>
    </xf>
    <xf numFmtId="0" fontId="3" fillId="5" borderId="2" xfId="0" applyFont="1" applyFill="1" applyBorder="1" applyAlignment="1">
      <alignment horizontal="center" vertical="center" wrapText="1" shrinkToFit="1"/>
    </xf>
    <xf numFmtId="0" fontId="9" fillId="0" borderId="0" xfId="0" applyFont="1" applyFill="1" applyAlignment="1">
      <alignment wrapText="1" shrinkToFit="1"/>
    </xf>
    <xf numFmtId="0" fontId="10" fillId="0" borderId="0" xfId="0" applyFont="1" applyFill="1" applyAlignment="1">
      <alignment wrapText="1" shrinkToFit="1"/>
    </xf>
    <xf numFmtId="8" fontId="7" fillId="3" borderId="2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 shrinkToFit="1"/>
    </xf>
    <xf numFmtId="0" fontId="5" fillId="3" borderId="6" xfId="0" applyFont="1" applyFill="1" applyBorder="1" applyAlignment="1">
      <alignment horizontal="center" vertical="center" wrapText="1" shrinkToFit="1"/>
    </xf>
    <xf numFmtId="0" fontId="5" fillId="3" borderId="2" xfId="0" applyFont="1" applyFill="1" applyBorder="1" applyAlignment="1">
      <alignment horizontal="center" vertical="center" wrapText="1" shrinkToFit="1"/>
    </xf>
    <xf numFmtId="165" fontId="15" fillId="7" borderId="2" xfId="0" applyNumberFormat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161925</xdr:colOff>
      <xdr:row>0</xdr:row>
      <xdr:rowOff>114300</xdr:rowOff>
    </xdr:from>
    <xdr:to>
      <xdr:col>14</xdr:col>
      <xdr:colOff>142875</xdr:colOff>
      <xdr:row>1</xdr:row>
      <xdr:rowOff>342900</xdr:rowOff>
    </xdr:to>
    <xdr:pic>
      <xdr:nvPicPr>
        <xdr:cNvPr id="103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114300"/>
          <a:ext cx="23526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0</xdr:row>
          <xdr:rowOff>57150</xdr:rowOff>
        </xdr:from>
        <xdr:to>
          <xdr:col>4</xdr:col>
          <xdr:colOff>266700</xdr:colOff>
          <xdr:row>1</xdr:row>
          <xdr:rowOff>409575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45"/>
  <sheetViews>
    <sheetView tabSelected="1" view="pageBreakPreview" zoomScale="200" zoomScaleNormal="100" zoomScaleSheetLayoutView="200" workbookViewId="0">
      <selection activeCell="L8" sqref="L8:M8"/>
    </sheetView>
  </sheetViews>
  <sheetFormatPr baseColWidth="10" defaultRowHeight="12.75" x14ac:dyDescent="0.2"/>
  <cols>
    <col min="1" max="1" width="4" style="1" customWidth="1"/>
    <col min="2" max="2" width="19.7109375" customWidth="1"/>
    <col min="3" max="3" width="8.5703125" customWidth="1"/>
    <col min="4" max="4" width="9" customWidth="1"/>
    <col min="5" max="5" width="10" customWidth="1"/>
    <col min="6" max="6" width="9.5703125" customWidth="1"/>
    <col min="7" max="7" width="8.85546875" customWidth="1"/>
    <col min="8" max="8" width="9" customWidth="1"/>
    <col min="9" max="9" width="9.140625" customWidth="1"/>
    <col min="10" max="10" width="9.85546875" customWidth="1"/>
    <col min="11" max="11" width="8.42578125" customWidth="1"/>
    <col min="12" max="12" width="9" customWidth="1"/>
    <col min="13" max="13" width="9.140625" customWidth="1"/>
    <col min="14" max="15" width="9" style="2" customWidth="1"/>
    <col min="16" max="16" width="9" customWidth="1"/>
    <col min="17" max="17" width="10.42578125" customWidth="1"/>
    <col min="18" max="18" width="10" customWidth="1"/>
    <col min="19" max="20" width="9.7109375" customWidth="1"/>
    <col min="21" max="21" width="9.85546875" customWidth="1"/>
    <col min="22" max="22" width="9" customWidth="1"/>
    <col min="23" max="24" width="9.42578125" customWidth="1"/>
    <col min="25" max="25" width="9.140625" customWidth="1"/>
    <col min="26" max="27" width="9.28515625" customWidth="1"/>
    <col min="28" max="28" width="9.5703125" customWidth="1"/>
    <col min="29" max="29" width="9.28515625" customWidth="1"/>
    <col min="30" max="30" width="9" customWidth="1"/>
    <col min="31" max="32" width="8.7109375" customWidth="1"/>
    <col min="33" max="33" width="9.7109375" customWidth="1"/>
  </cols>
  <sheetData>
    <row r="1" spans="1:33" s="8" customFormat="1" ht="35.25" customHeight="1" x14ac:dyDescent="0.2">
      <c r="A1" s="6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33" s="8" customFormat="1" ht="35.25" customHeight="1" x14ac:dyDescent="0.2">
      <c r="A2" s="6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33" s="2" customFormat="1" x14ac:dyDescent="0.2">
      <c r="A3" s="1"/>
    </row>
    <row r="4" spans="1:33" s="8" customFormat="1" ht="15.75" customHeight="1" x14ac:dyDescent="0.2">
      <c r="A4" s="6"/>
      <c r="B4" s="28" t="s">
        <v>4</v>
      </c>
      <c r="C4" s="32">
        <v>30</v>
      </c>
      <c r="D4" s="32"/>
      <c r="E4" s="32"/>
      <c r="F4" s="32"/>
      <c r="G4" s="7"/>
      <c r="H4" s="33" t="s">
        <v>42</v>
      </c>
      <c r="I4" s="33"/>
      <c r="J4" s="33"/>
      <c r="K4" s="33"/>
      <c r="L4" s="33"/>
      <c r="M4" s="33"/>
      <c r="N4" s="33"/>
      <c r="O4" s="33"/>
      <c r="P4" s="33"/>
      <c r="Q4" s="21"/>
      <c r="R4" s="21"/>
      <c r="S4" s="21"/>
    </row>
    <row r="5" spans="1:33" s="8" customFormat="1" ht="15.75" customHeight="1" x14ac:dyDescent="0.2">
      <c r="A5" s="6"/>
      <c r="B5" s="28" t="s">
        <v>5</v>
      </c>
      <c r="C5" s="32" t="s">
        <v>77</v>
      </c>
      <c r="D5" s="32"/>
      <c r="E5" s="32"/>
      <c r="F5" s="32"/>
      <c r="G5" s="9"/>
      <c r="H5" s="33" t="s">
        <v>10</v>
      </c>
      <c r="I5" s="33"/>
      <c r="J5" s="33"/>
      <c r="K5" s="33"/>
      <c r="L5" s="33"/>
      <c r="M5" s="33"/>
      <c r="N5" s="33"/>
      <c r="O5" s="33"/>
      <c r="P5" s="33"/>
      <c r="Q5" s="21"/>
      <c r="R5" s="21"/>
      <c r="S5" s="21"/>
    </row>
    <row r="6" spans="1:33" s="8" customFormat="1" ht="15.75" customHeight="1" x14ac:dyDescent="0.2">
      <c r="A6" s="6"/>
      <c r="B6" s="28" t="s">
        <v>6</v>
      </c>
      <c r="C6" s="32" t="s">
        <v>78</v>
      </c>
      <c r="D6" s="32"/>
      <c r="E6" s="32"/>
      <c r="F6" s="32"/>
      <c r="G6" s="9"/>
      <c r="H6" s="10"/>
      <c r="I6" s="11"/>
      <c r="J6" s="11"/>
      <c r="K6" s="23"/>
      <c r="L6" s="36" t="s">
        <v>38</v>
      </c>
      <c r="M6" s="36"/>
      <c r="N6" s="34" t="s">
        <v>3</v>
      </c>
      <c r="O6" s="34"/>
      <c r="P6" s="34"/>
      <c r="Q6" s="22"/>
      <c r="R6" s="9"/>
      <c r="S6" s="9"/>
    </row>
    <row r="7" spans="1:33" s="8" customFormat="1" ht="15.75" customHeight="1" x14ac:dyDescent="0.2">
      <c r="A7" s="6"/>
      <c r="B7" s="28" t="s">
        <v>7</v>
      </c>
      <c r="C7" s="31"/>
      <c r="D7" s="32"/>
      <c r="E7" s="32"/>
      <c r="F7" s="32"/>
      <c r="G7" s="12"/>
      <c r="H7" s="37" t="s">
        <v>39</v>
      </c>
      <c r="I7" s="37"/>
      <c r="J7" s="37"/>
      <c r="K7" s="37"/>
      <c r="L7" s="35">
        <v>7</v>
      </c>
      <c r="M7" s="35"/>
      <c r="N7" s="32"/>
      <c r="O7" s="32"/>
      <c r="P7" s="32"/>
    </row>
    <row r="8" spans="1:33" s="8" customFormat="1" ht="15.75" customHeight="1" x14ac:dyDescent="0.2">
      <c r="A8" s="6"/>
      <c r="B8" s="13"/>
      <c r="C8" s="12"/>
      <c r="D8" s="12"/>
      <c r="E8" s="12"/>
      <c r="F8" s="12"/>
      <c r="G8" s="7"/>
      <c r="H8" s="37" t="s">
        <v>40</v>
      </c>
      <c r="I8" s="37"/>
      <c r="J8" s="37"/>
      <c r="K8" s="37"/>
      <c r="L8" s="35">
        <v>9</v>
      </c>
      <c r="M8" s="35">
        <v>4</v>
      </c>
      <c r="N8" s="32">
        <f>C4</f>
        <v>30</v>
      </c>
      <c r="O8" s="32"/>
      <c r="P8" s="32"/>
    </row>
    <row r="9" spans="1:33" s="8" customFormat="1" ht="15.75" customHeight="1" x14ac:dyDescent="0.2">
      <c r="A9" s="6"/>
      <c r="B9" s="24" t="s">
        <v>9</v>
      </c>
      <c r="C9" s="38">
        <v>44645</v>
      </c>
      <c r="D9" s="39"/>
      <c r="E9" s="39"/>
      <c r="F9" s="39"/>
      <c r="G9" s="9"/>
      <c r="H9" s="37"/>
      <c r="I9" s="37"/>
      <c r="J9" s="37"/>
      <c r="K9" s="37"/>
      <c r="L9" s="35"/>
      <c r="M9" s="35"/>
      <c r="N9" s="32"/>
      <c r="O9" s="32"/>
      <c r="P9" s="32"/>
    </row>
    <row r="10" spans="1:33" s="8" customFormat="1" ht="15.75" customHeight="1" x14ac:dyDescent="0.2">
      <c r="A10" s="6"/>
      <c r="B10" s="24" t="s">
        <v>8</v>
      </c>
      <c r="C10" s="38">
        <v>44651</v>
      </c>
      <c r="D10" s="39"/>
      <c r="E10" s="39"/>
      <c r="F10" s="39"/>
      <c r="G10" s="9"/>
      <c r="H10" s="14"/>
      <c r="I10" s="23"/>
      <c r="J10" s="43" t="s">
        <v>2</v>
      </c>
      <c r="K10" s="44"/>
      <c r="L10" s="45"/>
      <c r="M10" s="45"/>
      <c r="N10" s="42">
        <f>SUM(L7*N7+L8*N8+L9*N9)</f>
        <v>270</v>
      </c>
      <c r="O10" s="42"/>
      <c r="P10" s="42"/>
    </row>
    <row r="11" spans="1:33" x14ac:dyDescent="0.2">
      <c r="B11" s="2"/>
      <c r="C11" s="2"/>
      <c r="D11" s="2"/>
      <c r="E11" s="2"/>
      <c r="F11" s="2"/>
      <c r="G11" s="4"/>
      <c r="H11" s="40"/>
      <c r="I11" s="41"/>
      <c r="J11" s="41"/>
      <c r="K11" s="41"/>
      <c r="L11" s="41"/>
      <c r="M11" s="4"/>
    </row>
    <row r="12" spans="1:33" ht="15.75" customHeight="1" x14ac:dyDescent="0.2">
      <c r="B12" s="2"/>
      <c r="C12" s="2"/>
      <c r="D12" s="2"/>
      <c r="E12" s="2"/>
      <c r="F12" s="2"/>
      <c r="G12" s="4"/>
      <c r="H12" s="3"/>
      <c r="I12" s="3"/>
      <c r="J12" s="3"/>
      <c r="K12" s="3"/>
      <c r="L12" s="2"/>
      <c r="M12" s="2"/>
    </row>
    <row r="13" spans="1:33" ht="13.5" thickBot="1" x14ac:dyDescent="0.25">
      <c r="B13" s="2"/>
      <c r="C13" s="2"/>
      <c r="D13" s="2"/>
      <c r="E13" s="2"/>
      <c r="F13" s="2"/>
      <c r="G13" s="3"/>
      <c r="H13" s="5"/>
      <c r="I13" s="5"/>
      <c r="J13" s="5"/>
      <c r="K13" s="5"/>
      <c r="L13" s="5"/>
      <c r="M13" s="2"/>
    </row>
    <row r="14" spans="1:33" ht="12.75" customHeight="1" x14ac:dyDescent="0.2">
      <c r="B14" s="15" t="s">
        <v>1</v>
      </c>
      <c r="C14" s="5"/>
      <c r="D14" s="5"/>
    </row>
    <row r="15" spans="1:33" s="19" customFormat="1" ht="12.75" customHeight="1" x14ac:dyDescent="0.2">
      <c r="A15" s="16"/>
      <c r="B15" s="20" t="s">
        <v>0</v>
      </c>
      <c r="C15" s="17" t="s">
        <v>46</v>
      </c>
      <c r="D15" s="17" t="s">
        <v>11</v>
      </c>
      <c r="E15" s="17" t="s">
        <v>13</v>
      </c>
      <c r="F15" s="17" t="s">
        <v>14</v>
      </c>
      <c r="G15" s="17" t="s">
        <v>12</v>
      </c>
      <c r="H15" s="17" t="s">
        <v>15</v>
      </c>
      <c r="I15" s="17" t="s">
        <v>16</v>
      </c>
      <c r="J15" s="17" t="s">
        <v>17</v>
      </c>
      <c r="K15" s="17" t="s">
        <v>18</v>
      </c>
      <c r="L15" s="17" t="s">
        <v>19</v>
      </c>
      <c r="M15" s="17" t="s">
        <v>20</v>
      </c>
      <c r="N15" s="17" t="s">
        <v>21</v>
      </c>
      <c r="O15" s="17" t="s">
        <v>43</v>
      </c>
      <c r="P15" s="17" t="s">
        <v>22</v>
      </c>
      <c r="Q15" s="17" t="s">
        <v>23</v>
      </c>
      <c r="R15" s="17" t="s">
        <v>24</v>
      </c>
      <c r="S15" s="17" t="s">
        <v>25</v>
      </c>
      <c r="T15" s="17" t="s">
        <v>26</v>
      </c>
      <c r="U15" s="18" t="s">
        <v>27</v>
      </c>
      <c r="V15" s="17" t="s">
        <v>29</v>
      </c>
      <c r="W15" s="18" t="s">
        <v>28</v>
      </c>
      <c r="X15" s="18" t="s">
        <v>41</v>
      </c>
      <c r="Y15" s="18" t="s">
        <v>31</v>
      </c>
      <c r="Z15" s="18" t="s">
        <v>32</v>
      </c>
      <c r="AA15" s="18" t="s">
        <v>44</v>
      </c>
      <c r="AB15" s="18" t="s">
        <v>30</v>
      </c>
      <c r="AC15" s="18" t="s">
        <v>33</v>
      </c>
      <c r="AD15" s="18" t="s">
        <v>34</v>
      </c>
      <c r="AE15" s="18" t="s">
        <v>35</v>
      </c>
      <c r="AF15" s="18" t="s">
        <v>36</v>
      </c>
      <c r="AG15" s="18" t="s">
        <v>37</v>
      </c>
    </row>
    <row r="16" spans="1:33" x14ac:dyDescent="0.2">
      <c r="A16" s="1">
        <v>1</v>
      </c>
      <c r="B16" s="25" t="s">
        <v>47</v>
      </c>
      <c r="C16" s="26">
        <v>47.422089825847848</v>
      </c>
      <c r="D16" s="27">
        <v>0.35517873510540787</v>
      </c>
      <c r="E16" s="27" t="s">
        <v>45</v>
      </c>
      <c r="F16" s="27" t="s">
        <v>45</v>
      </c>
      <c r="G16" s="27" t="s">
        <v>45</v>
      </c>
      <c r="H16" s="26">
        <v>0.31255728689275897</v>
      </c>
      <c r="I16" s="26">
        <v>3.4372135655362054E-2</v>
      </c>
      <c r="J16" s="27">
        <v>6.8744271310724109E-2</v>
      </c>
      <c r="K16" s="27">
        <v>0.22914757103574704</v>
      </c>
      <c r="L16" s="27">
        <v>4.9839596700274971</v>
      </c>
      <c r="M16" s="27">
        <v>31.106782768102661</v>
      </c>
      <c r="N16" s="27">
        <v>0.12774977085242897</v>
      </c>
      <c r="O16" s="27" t="s">
        <v>45</v>
      </c>
      <c r="P16" s="27">
        <v>0.22914757103574704</v>
      </c>
      <c r="Q16" s="27">
        <v>0.25744729605866173</v>
      </c>
      <c r="R16" s="27">
        <v>144.47754353803847</v>
      </c>
      <c r="S16" s="27" t="s">
        <v>45</v>
      </c>
      <c r="T16" s="46">
        <v>3.0957836846929421E-3</v>
      </c>
      <c r="U16" s="27">
        <v>0.67598533455545362</v>
      </c>
      <c r="V16" s="27">
        <v>0.24060494958753437</v>
      </c>
      <c r="W16" s="29">
        <v>1.0210815765352887E-2</v>
      </c>
      <c r="X16" s="27">
        <v>2.8070577451879011</v>
      </c>
      <c r="Y16" s="27" t="s">
        <v>45</v>
      </c>
      <c r="Z16" s="27" t="s">
        <v>45</v>
      </c>
      <c r="AA16" s="27">
        <v>96.219065077910173</v>
      </c>
      <c r="AB16" s="29">
        <v>1.5937213565536207E-2</v>
      </c>
      <c r="AC16" s="27">
        <v>19.958753437213563</v>
      </c>
      <c r="AD16" s="27">
        <v>3.6319890009165903</v>
      </c>
      <c r="AE16" s="27">
        <v>27.463336388634279</v>
      </c>
      <c r="AF16" s="27" t="s">
        <v>45</v>
      </c>
      <c r="AG16" s="27">
        <v>4.5371219065077915</v>
      </c>
    </row>
    <row r="17" spans="1:33" x14ac:dyDescent="0.2">
      <c r="A17" s="1">
        <v>2</v>
      </c>
      <c r="B17" s="25" t="s">
        <v>48</v>
      </c>
      <c r="C17" s="26">
        <v>11.330213903743315</v>
      </c>
      <c r="D17" s="27">
        <v>0.11140819964349377</v>
      </c>
      <c r="E17" s="27" t="s">
        <v>45</v>
      </c>
      <c r="F17" s="27" t="s">
        <v>45</v>
      </c>
      <c r="G17" s="27" t="s">
        <v>45</v>
      </c>
      <c r="H17" s="26">
        <v>0.29244652406417115</v>
      </c>
      <c r="I17" s="26">
        <v>6.684491978609626E-2</v>
      </c>
      <c r="J17" s="27">
        <v>3.342245989304813E-2</v>
      </c>
      <c r="K17" s="27" t="s">
        <v>45</v>
      </c>
      <c r="L17" s="27">
        <v>4.2780748663101607</v>
      </c>
      <c r="M17" s="27">
        <v>7.1412655971479504</v>
      </c>
      <c r="N17" s="27">
        <v>9.9643493761140831E-2</v>
      </c>
      <c r="O17" s="27" t="s">
        <v>45</v>
      </c>
      <c r="P17" s="27">
        <v>0.15597147950089127</v>
      </c>
      <c r="Q17" s="27">
        <v>2.1590909090909095E-2</v>
      </c>
      <c r="R17" s="27">
        <v>66.265597147950089</v>
      </c>
      <c r="S17" s="27" t="s">
        <v>45</v>
      </c>
      <c r="T17" s="46">
        <v>1.8594028520499109E-3</v>
      </c>
      <c r="U17" s="27">
        <v>0.53475935828877008</v>
      </c>
      <c r="V17" s="27">
        <v>1.1029411764705883</v>
      </c>
      <c r="W17" s="29">
        <v>1.4527629233511589E-2</v>
      </c>
      <c r="X17" s="27">
        <v>1.9607843137254903</v>
      </c>
      <c r="Y17" s="27" t="s">
        <v>45</v>
      </c>
      <c r="Z17" s="27" t="s">
        <v>45</v>
      </c>
      <c r="AA17" s="27">
        <v>385.58377896613189</v>
      </c>
      <c r="AB17" s="29">
        <v>1.6143048128342247E-2</v>
      </c>
      <c r="AC17" s="27">
        <v>21.657754010695186</v>
      </c>
      <c r="AD17" s="27">
        <v>0.54590017825311943</v>
      </c>
      <c r="AE17" s="27" t="s">
        <v>45</v>
      </c>
      <c r="AF17" s="27" t="s">
        <v>45</v>
      </c>
      <c r="AG17" s="27">
        <v>8.1662210338680925</v>
      </c>
    </row>
    <row r="18" spans="1:33" x14ac:dyDescent="0.2">
      <c r="A18" s="1">
        <v>3</v>
      </c>
      <c r="B18" s="25" t="s">
        <v>49</v>
      </c>
      <c r="C18" s="26">
        <v>9.3584814992791916</v>
      </c>
      <c r="D18" s="27" t="s">
        <v>45</v>
      </c>
      <c r="E18" s="27" t="s">
        <v>45</v>
      </c>
      <c r="F18" s="27" t="s">
        <v>45</v>
      </c>
      <c r="G18" s="27" t="s">
        <v>45</v>
      </c>
      <c r="H18" s="26">
        <v>0.11914944738106678</v>
      </c>
      <c r="I18" s="26">
        <v>8.4094185487746262E-2</v>
      </c>
      <c r="J18" s="27" t="s">
        <v>45</v>
      </c>
      <c r="K18" s="27">
        <v>1.2013455069678039E-2</v>
      </c>
      <c r="L18" s="27">
        <v>1.4175876982220086</v>
      </c>
      <c r="M18" s="27">
        <v>5.4180682364247952</v>
      </c>
      <c r="N18" s="27">
        <v>0.15509370494954347</v>
      </c>
      <c r="O18" s="27" t="s">
        <v>45</v>
      </c>
      <c r="P18" s="27">
        <v>0.33637674195098505</v>
      </c>
      <c r="Q18" s="27">
        <v>5.3531955790485343E-2</v>
      </c>
      <c r="R18" s="27">
        <v>35.728015377222484</v>
      </c>
      <c r="S18" s="27" t="s">
        <v>45</v>
      </c>
      <c r="T18" s="46">
        <v>1.5197020663142719E-3</v>
      </c>
      <c r="U18" s="27">
        <v>0.62469966362325802</v>
      </c>
      <c r="V18" s="27">
        <v>8.4094185487746262E-2</v>
      </c>
      <c r="W18" s="29">
        <v>5.8000961076405573E-3</v>
      </c>
      <c r="X18" s="27">
        <v>3.5439692455550214</v>
      </c>
      <c r="Y18" s="27" t="s">
        <v>45</v>
      </c>
      <c r="Z18" s="27" t="s">
        <v>45</v>
      </c>
      <c r="AA18" s="27">
        <v>79.949543488707349</v>
      </c>
      <c r="AB18" s="29">
        <v>1.0061268620855358E-2</v>
      </c>
      <c r="AC18" s="27">
        <v>8.5295530994714071</v>
      </c>
      <c r="AD18" s="27">
        <v>2.3906775588659301</v>
      </c>
      <c r="AE18" s="27" t="s">
        <v>45</v>
      </c>
      <c r="AF18" s="27" t="s">
        <v>45</v>
      </c>
      <c r="AG18" s="27">
        <v>2.9553099471407975</v>
      </c>
    </row>
    <row r="19" spans="1:33" x14ac:dyDescent="0.2">
      <c r="A19" s="1">
        <v>4</v>
      </c>
      <c r="B19" s="25" t="s">
        <v>50</v>
      </c>
      <c r="C19" s="26">
        <v>60.907744392721114</v>
      </c>
      <c r="D19" s="27">
        <v>4.2319085907744393E-2</v>
      </c>
      <c r="E19" s="27" t="s">
        <v>45</v>
      </c>
      <c r="F19" s="27" t="s">
        <v>45</v>
      </c>
      <c r="G19" s="27" t="s">
        <v>45</v>
      </c>
      <c r="H19" s="26">
        <v>0.19953449005501478</v>
      </c>
      <c r="I19" s="26">
        <v>0.20101565806178587</v>
      </c>
      <c r="J19" s="27" t="s">
        <v>45</v>
      </c>
      <c r="K19" s="27">
        <v>0.23275497249259416</v>
      </c>
      <c r="L19" s="27">
        <v>4.7820567075751157</v>
      </c>
      <c r="M19" s="27">
        <v>22.037663986457893</v>
      </c>
      <c r="N19" s="27">
        <v>6.0389335590351249E-2</v>
      </c>
      <c r="O19" s="27" t="s">
        <v>45</v>
      </c>
      <c r="P19" s="27">
        <v>0.14811680067710536</v>
      </c>
      <c r="Q19" s="27">
        <v>3.4892086330935254E-2</v>
      </c>
      <c r="R19" s="27">
        <v>85.272958104104958</v>
      </c>
      <c r="S19" s="27" t="s">
        <v>45</v>
      </c>
      <c r="T19" s="46">
        <v>1.8609818027930597E-3</v>
      </c>
      <c r="U19" s="27">
        <v>0.35971223021582727</v>
      </c>
      <c r="V19" s="27">
        <v>0.40203131612357174</v>
      </c>
      <c r="W19" s="29">
        <v>9.9735505713076586E-3</v>
      </c>
      <c r="X19" s="27">
        <v>1.0473973762166737</v>
      </c>
      <c r="Y19" s="27" t="s">
        <v>45</v>
      </c>
      <c r="Z19" s="27" t="s">
        <v>45</v>
      </c>
      <c r="AA19" s="27">
        <v>48.233178163351674</v>
      </c>
      <c r="AB19" s="29">
        <v>1.6641980533220482E-2</v>
      </c>
      <c r="AC19" s="27">
        <v>8.5378755818874303</v>
      </c>
      <c r="AD19" s="27">
        <v>1.967837494710114</v>
      </c>
      <c r="AE19" s="27" t="s">
        <v>45</v>
      </c>
      <c r="AF19" s="27" t="s">
        <v>45</v>
      </c>
      <c r="AG19" s="27">
        <v>14.208633093525179</v>
      </c>
    </row>
    <row r="20" spans="1:33" x14ac:dyDescent="0.2">
      <c r="A20" s="1">
        <v>5</v>
      </c>
      <c r="B20" s="25" t="s">
        <v>51</v>
      </c>
      <c r="C20" s="26">
        <v>51.346801346801357</v>
      </c>
      <c r="D20" s="27">
        <v>9.3527871305649102E-2</v>
      </c>
      <c r="E20" s="27" t="s">
        <v>45</v>
      </c>
      <c r="F20" s="27" t="s">
        <v>45</v>
      </c>
      <c r="G20" s="27" t="s">
        <v>45</v>
      </c>
      <c r="H20" s="26">
        <v>0.10811821922933036</v>
      </c>
      <c r="I20" s="26">
        <v>0.34605312383090164</v>
      </c>
      <c r="J20" s="27">
        <v>1.8705574261129818E-2</v>
      </c>
      <c r="K20" s="27">
        <v>0.15899738121960344</v>
      </c>
      <c r="L20" s="27">
        <v>2.7871305649083427</v>
      </c>
      <c r="M20" s="27">
        <v>10.811821922933033</v>
      </c>
      <c r="N20" s="27">
        <v>9.0123456790123457E-2</v>
      </c>
      <c r="O20" s="27" t="s">
        <v>45</v>
      </c>
      <c r="P20" s="27">
        <v>0.16835016835016836</v>
      </c>
      <c r="Q20" s="27">
        <v>1.7489711934156382E-2</v>
      </c>
      <c r="R20" s="27">
        <v>92.564534231200909</v>
      </c>
      <c r="S20" s="27" t="s">
        <v>45</v>
      </c>
      <c r="T20" s="46">
        <v>3.5269360269360272E-3</v>
      </c>
      <c r="U20" s="27">
        <v>0.15899738121960344</v>
      </c>
      <c r="V20" s="27">
        <v>0.34605312383090164</v>
      </c>
      <c r="W20" s="29">
        <v>1.0867938645716424E-2</v>
      </c>
      <c r="X20" s="27">
        <v>1.3280957725402172</v>
      </c>
      <c r="Y20" s="27" t="s">
        <v>45</v>
      </c>
      <c r="Z20" s="27" t="s">
        <v>45</v>
      </c>
      <c r="AA20" s="27">
        <v>26.748971193415638</v>
      </c>
      <c r="AB20" s="29">
        <v>1.0409652076318743E-2</v>
      </c>
      <c r="AC20" s="27">
        <v>5.5181444070332955</v>
      </c>
      <c r="AD20" s="27">
        <v>0.72951739618406286</v>
      </c>
      <c r="AE20" s="27" t="s">
        <v>45</v>
      </c>
      <c r="AF20" s="27" t="s">
        <v>45</v>
      </c>
      <c r="AG20" s="27">
        <v>11.27946127946128</v>
      </c>
    </row>
    <row r="21" spans="1:33" x14ac:dyDescent="0.2">
      <c r="A21" s="1">
        <v>6</v>
      </c>
      <c r="B21" s="25" t="s">
        <v>52</v>
      </c>
      <c r="C21" s="26">
        <v>17.728828058169377</v>
      </c>
      <c r="D21" s="27">
        <v>0.2352437981180496</v>
      </c>
      <c r="E21" s="27" t="s">
        <v>45</v>
      </c>
      <c r="F21" s="27" t="s">
        <v>45</v>
      </c>
      <c r="G21" s="27" t="s">
        <v>45</v>
      </c>
      <c r="H21" s="26">
        <v>0.11441402908468776</v>
      </c>
      <c r="I21" s="26">
        <v>0.16039349871685199</v>
      </c>
      <c r="J21" s="27" t="s">
        <v>45</v>
      </c>
      <c r="K21" s="27">
        <v>0.2352437981180496</v>
      </c>
      <c r="L21" s="27">
        <v>3.5072711719418308</v>
      </c>
      <c r="M21" s="27">
        <v>6.9717707442258332</v>
      </c>
      <c r="N21" s="27">
        <v>9.1306672369546607E-2</v>
      </c>
      <c r="O21" s="27" t="s">
        <v>45</v>
      </c>
      <c r="P21" s="27">
        <v>0.32078699743370398</v>
      </c>
      <c r="Q21" s="27">
        <v>1.5355004277159965E-2</v>
      </c>
      <c r="R21" s="27">
        <v>54.469632164242938</v>
      </c>
      <c r="S21" s="27" t="s">
        <v>45</v>
      </c>
      <c r="T21" s="46">
        <v>1.1355859709153123E-3</v>
      </c>
      <c r="U21" s="27">
        <v>0.20316509837467922</v>
      </c>
      <c r="V21" s="27">
        <v>0.21385799828913601</v>
      </c>
      <c r="W21" s="29">
        <v>9.9625748502994022E-3</v>
      </c>
      <c r="X21" s="27">
        <v>1.0479041916167664</v>
      </c>
      <c r="Y21" s="27" t="s">
        <v>45</v>
      </c>
      <c r="Z21" s="27" t="s">
        <v>45</v>
      </c>
      <c r="AA21" s="27">
        <v>14.210863986313086</v>
      </c>
      <c r="AB21" s="29">
        <v>9.8257057313943554E-3</v>
      </c>
      <c r="AC21" s="27">
        <v>4.5337895637296839</v>
      </c>
      <c r="AD21" s="27">
        <v>0.35286569717707444</v>
      </c>
      <c r="AE21" s="27" t="s">
        <v>45</v>
      </c>
      <c r="AF21" s="27" t="s">
        <v>45</v>
      </c>
      <c r="AG21" s="27">
        <v>8.4580838323353298</v>
      </c>
    </row>
    <row r="22" spans="1:33" x14ac:dyDescent="0.2">
      <c r="A22" s="1">
        <v>7</v>
      </c>
      <c r="B22" s="25" t="s">
        <v>53</v>
      </c>
      <c r="C22" s="26">
        <v>10.3125</v>
      </c>
      <c r="D22" s="27" t="s">
        <v>45</v>
      </c>
      <c r="E22" s="27" t="s">
        <v>45</v>
      </c>
      <c r="F22" s="27" t="s">
        <v>45</v>
      </c>
      <c r="G22" s="27" t="s">
        <v>45</v>
      </c>
      <c r="H22" s="26">
        <v>0.21537500000000001</v>
      </c>
      <c r="I22" s="26">
        <v>7.4999999999999997E-2</v>
      </c>
      <c r="J22" s="27" t="s">
        <v>45</v>
      </c>
      <c r="K22" s="27">
        <v>0.13749999999999998</v>
      </c>
      <c r="L22" s="27">
        <v>4.0249999999999995</v>
      </c>
      <c r="M22" s="27">
        <v>69.224999999999994</v>
      </c>
      <c r="N22" s="27">
        <v>0.141125</v>
      </c>
      <c r="O22" s="27" t="s">
        <v>45</v>
      </c>
      <c r="P22" s="27">
        <v>0.23749999999999999</v>
      </c>
      <c r="Q22" s="27">
        <v>3.11875E-2</v>
      </c>
      <c r="R22" s="27">
        <v>83.637499999999989</v>
      </c>
      <c r="S22" s="27" t="s">
        <v>45</v>
      </c>
      <c r="T22" s="46">
        <v>1.2862499999999999E-3</v>
      </c>
      <c r="U22" s="27">
        <v>0.72499999999999987</v>
      </c>
      <c r="V22" s="27">
        <v>0.79999999999999993</v>
      </c>
      <c r="W22" s="29">
        <v>2.56125E-2</v>
      </c>
      <c r="X22" s="27">
        <v>3.1874999999999996</v>
      </c>
      <c r="Y22" s="27" t="s">
        <v>45</v>
      </c>
      <c r="Z22" s="27" t="s">
        <v>45</v>
      </c>
      <c r="AA22" s="27">
        <v>309.5</v>
      </c>
      <c r="AB22" s="29">
        <v>1.8262500000000001E-2</v>
      </c>
      <c r="AC22" s="27">
        <v>12.712499999999999</v>
      </c>
      <c r="AD22" s="27">
        <v>0.42499999999999993</v>
      </c>
      <c r="AE22" s="27" t="s">
        <v>45</v>
      </c>
      <c r="AF22" s="27" t="s">
        <v>45</v>
      </c>
      <c r="AG22" s="27">
        <v>6.8249999999999993</v>
      </c>
    </row>
    <row r="23" spans="1:33" x14ac:dyDescent="0.2">
      <c r="A23" s="1">
        <v>8</v>
      </c>
      <c r="B23" s="25" t="s">
        <v>54</v>
      </c>
      <c r="C23" s="26">
        <v>12.678035982008998</v>
      </c>
      <c r="D23" s="27">
        <v>8.4332833583208394E-2</v>
      </c>
      <c r="E23" s="27" t="s">
        <v>45</v>
      </c>
      <c r="F23" s="27" t="s">
        <v>45</v>
      </c>
      <c r="G23" s="27" t="s">
        <v>45</v>
      </c>
      <c r="H23" s="26">
        <v>0.27970389805097456</v>
      </c>
      <c r="I23" s="26">
        <v>0.23425787106446777</v>
      </c>
      <c r="J23" s="27">
        <v>3.7481259370314844E-2</v>
      </c>
      <c r="K23" s="27">
        <v>0.77773613193403301</v>
      </c>
      <c r="L23" s="27">
        <v>1.911544227886057</v>
      </c>
      <c r="M23" s="27">
        <v>16.173163418290859</v>
      </c>
      <c r="N23" s="27">
        <v>0.11956521739130435</v>
      </c>
      <c r="O23" s="27" t="s">
        <v>45</v>
      </c>
      <c r="P23" s="27">
        <v>0.20614692653673164</v>
      </c>
      <c r="Q23" s="27">
        <v>5.6474887556221896E-2</v>
      </c>
      <c r="R23" s="27">
        <v>163.13718140929538</v>
      </c>
      <c r="S23" s="27" t="s">
        <v>45</v>
      </c>
      <c r="T23" s="46">
        <v>2.8467016491754127E-3</v>
      </c>
      <c r="U23" s="27">
        <v>0.83395802098950533</v>
      </c>
      <c r="V23" s="27">
        <v>0.13118440779610194</v>
      </c>
      <c r="W23" s="29">
        <v>6.6070089955022494E-3</v>
      </c>
      <c r="X23" s="27">
        <v>3.6263118440779611</v>
      </c>
      <c r="Y23" s="27" t="s">
        <v>45</v>
      </c>
      <c r="Z23" s="27" t="s">
        <v>45</v>
      </c>
      <c r="AA23" s="27">
        <v>17.232008995502252</v>
      </c>
      <c r="AB23" s="29">
        <v>1.6979010494752627E-2</v>
      </c>
      <c r="AC23" s="27">
        <v>15.4047976011994</v>
      </c>
      <c r="AD23" s="27">
        <v>3.6731634182908546</v>
      </c>
      <c r="AE23" s="27">
        <v>2.7736131934032984</v>
      </c>
      <c r="AF23" s="27" t="s">
        <v>45</v>
      </c>
      <c r="AG23" s="27">
        <v>3.3358320839580213</v>
      </c>
    </row>
    <row r="24" spans="1:33" x14ac:dyDescent="0.2">
      <c r="A24" s="1">
        <v>9</v>
      </c>
      <c r="B24" s="25" t="s">
        <v>55</v>
      </c>
      <c r="C24" s="26">
        <v>30.606936416184968</v>
      </c>
      <c r="D24" s="27" t="s">
        <v>45</v>
      </c>
      <c r="E24" s="27" t="s">
        <v>45</v>
      </c>
      <c r="F24" s="27" t="s">
        <v>45</v>
      </c>
      <c r="G24" s="27" t="s">
        <v>45</v>
      </c>
      <c r="H24" s="26">
        <v>7.5597302504816971E-2</v>
      </c>
      <c r="I24" s="26">
        <v>0.1445086705202312</v>
      </c>
      <c r="J24" s="27">
        <v>1.9267822736030827E-2</v>
      </c>
      <c r="K24" s="27">
        <v>2.5433526011560694</v>
      </c>
      <c r="L24" s="27">
        <v>1.1753371868978806</v>
      </c>
      <c r="M24" s="27">
        <v>103.08285163776493</v>
      </c>
      <c r="N24" s="27">
        <v>9.5616570327552983E-2</v>
      </c>
      <c r="O24" s="27" t="s">
        <v>45</v>
      </c>
      <c r="P24" s="27">
        <v>0.20231213872832368</v>
      </c>
      <c r="Q24" s="27">
        <v>1.2976878612716762E-2</v>
      </c>
      <c r="R24" s="27">
        <v>30.491329479768783</v>
      </c>
      <c r="S24" s="27" t="s">
        <v>45</v>
      </c>
      <c r="T24" s="46">
        <v>1.4017341040462427E-3</v>
      </c>
      <c r="U24" s="27">
        <v>0.24084778420038536</v>
      </c>
      <c r="V24" s="27">
        <v>0.24084778420038536</v>
      </c>
      <c r="W24" s="29">
        <v>1.3583815028901732E-3</v>
      </c>
      <c r="X24" s="27">
        <v>1.4450867052023122</v>
      </c>
      <c r="Y24" s="27" t="s">
        <v>45</v>
      </c>
      <c r="Z24" s="27" t="s">
        <v>45</v>
      </c>
      <c r="AA24" s="27">
        <v>61.25240847784201</v>
      </c>
      <c r="AB24" s="29">
        <v>5.4739884393063586E-3</v>
      </c>
      <c r="AC24" s="27">
        <v>5.6743737957610785</v>
      </c>
      <c r="AD24" s="27">
        <v>24.23892100192678</v>
      </c>
      <c r="AE24" s="27" t="s">
        <v>45</v>
      </c>
      <c r="AF24" s="27" t="s">
        <v>45</v>
      </c>
      <c r="AG24" s="27">
        <v>4.1329479768786124</v>
      </c>
    </row>
    <row r="25" spans="1:33" x14ac:dyDescent="0.2">
      <c r="A25" s="1">
        <v>10</v>
      </c>
      <c r="B25" s="25" t="s">
        <v>56</v>
      </c>
      <c r="C25" s="26">
        <v>6.1327392120075039</v>
      </c>
      <c r="D25" s="27">
        <v>4.6904315196998128E-2</v>
      </c>
      <c r="E25" s="27" t="s">
        <v>45</v>
      </c>
      <c r="F25" s="27" t="s">
        <v>45</v>
      </c>
      <c r="G25" s="27" t="s">
        <v>45</v>
      </c>
      <c r="H25" s="26">
        <v>4.2026266416510326E-2</v>
      </c>
      <c r="I25" s="26">
        <v>0.16416510318949343</v>
      </c>
      <c r="J25" s="27" t="s">
        <v>45</v>
      </c>
      <c r="K25" s="27">
        <v>4.6904315196998128E-2</v>
      </c>
      <c r="L25" s="27">
        <v>2.4507504690431516</v>
      </c>
      <c r="M25" s="27">
        <v>6.1796435272045027</v>
      </c>
      <c r="N25" s="27">
        <v>8.8719512195121961E-2</v>
      </c>
      <c r="O25" s="27" t="s">
        <v>45</v>
      </c>
      <c r="P25" s="27">
        <v>2.3452157598499064E-2</v>
      </c>
      <c r="Q25" s="27">
        <v>1.0272045028142589E-2</v>
      </c>
      <c r="R25" s="27">
        <v>38.825046904315194</v>
      </c>
      <c r="S25" s="27" t="s">
        <v>45</v>
      </c>
      <c r="T25" s="46">
        <v>1.050656660412758E-3</v>
      </c>
      <c r="U25" s="27">
        <v>0.1524390243902439</v>
      </c>
      <c r="V25" s="27">
        <v>0.51594746716697937</v>
      </c>
      <c r="W25" s="29">
        <v>3.1250000000000002E-3</v>
      </c>
      <c r="X25" s="27">
        <v>1.7823639774859288</v>
      </c>
      <c r="Y25" s="27" t="s">
        <v>45</v>
      </c>
      <c r="Z25" s="27" t="s">
        <v>45</v>
      </c>
      <c r="AA25" s="27">
        <v>12.335834896810505</v>
      </c>
      <c r="AB25" s="29">
        <v>4.8487335834896811E-3</v>
      </c>
      <c r="AC25" s="27">
        <v>2.8963414634146338</v>
      </c>
      <c r="AD25" s="27">
        <v>0.31660412757973738</v>
      </c>
      <c r="AE25" s="27" t="s">
        <v>45</v>
      </c>
      <c r="AF25" s="27" t="s">
        <v>45</v>
      </c>
      <c r="AG25" s="27">
        <v>5.112570356472796</v>
      </c>
    </row>
    <row r="26" spans="1:33" x14ac:dyDescent="0.2">
      <c r="A26" s="1">
        <v>11</v>
      </c>
      <c r="B26" s="25" t="s">
        <v>57</v>
      </c>
      <c r="C26" s="26">
        <v>51.155462184873947</v>
      </c>
      <c r="D26" s="27">
        <v>1.7752100840336136</v>
      </c>
      <c r="E26" s="27" t="s">
        <v>45</v>
      </c>
      <c r="F26" s="27" t="s">
        <v>45</v>
      </c>
      <c r="G26" s="27" t="s">
        <v>45</v>
      </c>
      <c r="H26" s="26">
        <v>0.10787815126050421</v>
      </c>
      <c r="I26" s="26">
        <v>1.7647058823529411</v>
      </c>
      <c r="J26" s="27">
        <v>0.94537815126050417</v>
      </c>
      <c r="K26" s="27">
        <v>0.51470588235294124</v>
      </c>
      <c r="L26" s="27">
        <v>4.7268907563025211</v>
      </c>
      <c r="M26" s="27">
        <v>16.90126050420168</v>
      </c>
      <c r="N26" s="27">
        <v>0.12804621848739495</v>
      </c>
      <c r="O26" s="27" t="s">
        <v>45</v>
      </c>
      <c r="P26" s="27">
        <v>0.46218487394957986</v>
      </c>
      <c r="Q26" s="27">
        <v>2.1691176470588235E-2</v>
      </c>
      <c r="R26" s="27">
        <v>97.72058823529413</v>
      </c>
      <c r="S26" s="27">
        <v>2.6995798319327737</v>
      </c>
      <c r="T26" s="46">
        <v>1.0703781512605044E-3</v>
      </c>
      <c r="U26" s="27">
        <v>1.1134453781512605</v>
      </c>
      <c r="V26" s="27">
        <v>1.6806722689075633</v>
      </c>
      <c r="W26" s="29">
        <v>2.2163865546218488E-2</v>
      </c>
      <c r="X26" s="27">
        <v>2.7205882352941178</v>
      </c>
      <c r="Y26" s="27">
        <v>3.0252100840336134</v>
      </c>
      <c r="Z26" s="27">
        <v>0.78781512605042026</v>
      </c>
      <c r="AA26" s="27">
        <v>53.455882352941181</v>
      </c>
      <c r="AB26" s="29">
        <v>1.2710084033613445E-2</v>
      </c>
      <c r="AC26" s="27">
        <v>5.325630252100841</v>
      </c>
      <c r="AD26" s="27">
        <v>2.1428571428571428</v>
      </c>
      <c r="AE26" s="27" t="s">
        <v>45</v>
      </c>
      <c r="AF26" s="27">
        <v>0.38865546218487396</v>
      </c>
      <c r="AG26" s="27">
        <v>11.071428571428571</v>
      </c>
    </row>
    <row r="27" spans="1:33" x14ac:dyDescent="0.2">
      <c r="A27" s="1">
        <v>12</v>
      </c>
      <c r="B27" s="25" t="s">
        <v>58</v>
      </c>
      <c r="C27" s="26">
        <v>85.767564966313742</v>
      </c>
      <c r="D27" s="27">
        <v>0.33686236766121264</v>
      </c>
      <c r="E27" s="27" t="s">
        <v>45</v>
      </c>
      <c r="F27" s="27" t="s">
        <v>45</v>
      </c>
      <c r="G27" s="27" t="s">
        <v>45</v>
      </c>
      <c r="H27" s="26">
        <v>0.12957170356111644</v>
      </c>
      <c r="I27" s="26">
        <v>0.27670837343599614</v>
      </c>
      <c r="J27" s="27">
        <v>7.2184793070259864E-2</v>
      </c>
      <c r="K27" s="27">
        <v>0.31280076997112605</v>
      </c>
      <c r="L27" s="27">
        <v>2.0211742059672759</v>
      </c>
      <c r="M27" s="27">
        <v>61.778152069297391</v>
      </c>
      <c r="N27" s="27">
        <v>6.4160250240615974E-2</v>
      </c>
      <c r="O27" s="27" t="s">
        <v>45</v>
      </c>
      <c r="P27" s="27">
        <v>0.25264677574590949</v>
      </c>
      <c r="Q27" s="27">
        <v>2.650384985563041E-2</v>
      </c>
      <c r="R27" s="27">
        <v>53.164100096246393</v>
      </c>
      <c r="S27" s="27" t="s">
        <v>45</v>
      </c>
      <c r="T27" s="46">
        <v>7.9403272377285845E-4</v>
      </c>
      <c r="U27" s="27">
        <v>0.66169393647738195</v>
      </c>
      <c r="V27" s="27">
        <v>0.60153994225216556</v>
      </c>
      <c r="W27" s="29">
        <v>6.1044273339749752E-3</v>
      </c>
      <c r="X27" s="27">
        <v>1.4316650625601541</v>
      </c>
      <c r="Y27" s="27" t="s">
        <v>45</v>
      </c>
      <c r="Z27" s="27" t="s">
        <v>45</v>
      </c>
      <c r="AA27" s="27">
        <v>158.68623676612125</v>
      </c>
      <c r="AB27" s="29">
        <v>1.0421077959576515E-2</v>
      </c>
      <c r="AC27" s="27">
        <v>9.2637151106833482</v>
      </c>
      <c r="AD27" s="27">
        <v>6.6530317613089505</v>
      </c>
      <c r="AE27" s="27" t="s">
        <v>45</v>
      </c>
      <c r="AF27" s="27">
        <v>6.0153994225216556E-2</v>
      </c>
      <c r="AG27" s="27">
        <v>2.9475457170356112</v>
      </c>
    </row>
    <row r="28" spans="1:33" x14ac:dyDescent="0.2">
      <c r="A28" s="1">
        <v>13</v>
      </c>
      <c r="B28" s="25" t="s">
        <v>59</v>
      </c>
      <c r="C28" s="26">
        <v>15.309784661881377</v>
      </c>
      <c r="D28" s="27">
        <v>0.27389497544389874</v>
      </c>
      <c r="E28" s="27" t="s">
        <v>45</v>
      </c>
      <c r="F28" s="27" t="s">
        <v>45</v>
      </c>
      <c r="G28" s="27" t="s">
        <v>45</v>
      </c>
      <c r="H28" s="26">
        <v>0.36097468832640728</v>
      </c>
      <c r="I28" s="26">
        <v>0.17944843218738196</v>
      </c>
      <c r="J28" s="27">
        <v>0.1038911975821685</v>
      </c>
      <c r="K28" s="27">
        <v>0.29278428409520213</v>
      </c>
      <c r="L28" s="27">
        <v>3.4850774461654708</v>
      </c>
      <c r="M28" s="27">
        <v>12.278050623347186</v>
      </c>
      <c r="N28" s="27">
        <v>0.11116358141292029</v>
      </c>
      <c r="O28" s="27" t="s">
        <v>45</v>
      </c>
      <c r="P28" s="27">
        <v>0.17000377786173027</v>
      </c>
      <c r="Q28" s="27">
        <v>2.3328296184359658E-2</v>
      </c>
      <c r="R28" s="27">
        <v>94.540989799773328</v>
      </c>
      <c r="S28" s="27" t="s">
        <v>45</v>
      </c>
      <c r="T28" s="46">
        <v>5.6667925953910094E-3</v>
      </c>
      <c r="U28" s="27">
        <v>0.91613146958821312</v>
      </c>
      <c r="V28" s="27">
        <v>1.2372497166603704</v>
      </c>
      <c r="W28" s="29">
        <v>2.2449943332074045E-2</v>
      </c>
      <c r="X28" s="27">
        <v>2.4839440876463921</v>
      </c>
      <c r="Y28" s="27" t="s">
        <v>45</v>
      </c>
      <c r="Z28" s="27" t="s">
        <v>45</v>
      </c>
      <c r="AA28" s="27">
        <v>445.97657725727242</v>
      </c>
      <c r="AB28" s="29">
        <v>2.4159425765016999E-2</v>
      </c>
      <c r="AC28" s="27">
        <v>22.468832640725349</v>
      </c>
      <c r="AD28" s="27">
        <v>0.66112580279561772</v>
      </c>
      <c r="AE28" s="27" t="s">
        <v>45</v>
      </c>
      <c r="AF28" s="27" t="s">
        <v>45</v>
      </c>
      <c r="AG28" s="27">
        <v>9.5579901775595015</v>
      </c>
    </row>
    <row r="29" spans="1:33" x14ac:dyDescent="0.2">
      <c r="A29" s="1">
        <v>14</v>
      </c>
      <c r="B29" s="25" t="s">
        <v>60</v>
      </c>
      <c r="C29" s="26">
        <v>10.050071530758226</v>
      </c>
      <c r="D29" s="27" t="s">
        <v>45</v>
      </c>
      <c r="E29" s="27" t="s">
        <v>45</v>
      </c>
      <c r="F29" s="27" t="s">
        <v>45</v>
      </c>
      <c r="G29" s="27" t="s">
        <v>45</v>
      </c>
      <c r="H29" s="26">
        <v>0.20910824988078208</v>
      </c>
      <c r="I29" s="26">
        <v>0.11921793037672866</v>
      </c>
      <c r="J29" s="27">
        <v>2.3843586075345733E-2</v>
      </c>
      <c r="K29" s="27">
        <v>0.39341917024320461</v>
      </c>
      <c r="L29" s="27">
        <v>2.5870290891750121</v>
      </c>
      <c r="M29" s="27">
        <v>60.073915116833575</v>
      </c>
      <c r="N29" s="27">
        <v>9.6578445398187898E-2</v>
      </c>
      <c r="O29" s="27" t="s">
        <v>45</v>
      </c>
      <c r="P29" s="27">
        <v>0.16690510252742011</v>
      </c>
      <c r="Q29" s="27">
        <v>2.2865999046256556E-2</v>
      </c>
      <c r="R29" s="27">
        <v>70.207439198855511</v>
      </c>
      <c r="S29" s="27" t="s">
        <v>45</v>
      </c>
      <c r="T29" s="46">
        <v>6.8192656175488796E-4</v>
      </c>
      <c r="U29" s="27">
        <v>0.92989985693848343</v>
      </c>
      <c r="V29" s="27">
        <v>0.48879351454458753</v>
      </c>
      <c r="W29" s="29">
        <v>2.4868860276585598E-2</v>
      </c>
      <c r="X29" s="27">
        <v>2.2770624701955176</v>
      </c>
      <c r="Y29" s="27" t="s">
        <v>45</v>
      </c>
      <c r="Z29" s="27" t="s">
        <v>45</v>
      </c>
      <c r="AA29" s="27">
        <v>310.3242727706247</v>
      </c>
      <c r="AB29" s="29">
        <v>1.7870767763471629E-2</v>
      </c>
      <c r="AC29" s="27">
        <v>14.091559370529328</v>
      </c>
      <c r="AD29" s="27">
        <v>0.53648068669527893</v>
      </c>
      <c r="AE29" s="27" t="s">
        <v>45</v>
      </c>
      <c r="AF29" s="27" t="s">
        <v>45</v>
      </c>
      <c r="AG29" s="27">
        <v>6.2827849308535999</v>
      </c>
    </row>
    <row r="30" spans="1:33" x14ac:dyDescent="0.2">
      <c r="A30" s="1">
        <v>15</v>
      </c>
      <c r="B30" s="25" t="s">
        <v>61</v>
      </c>
      <c r="C30" s="26">
        <v>16.779700654817589</v>
      </c>
      <c r="D30" s="27">
        <v>0.11693171188026194</v>
      </c>
      <c r="E30" s="27" t="s">
        <v>45</v>
      </c>
      <c r="F30" s="27" t="s">
        <v>45</v>
      </c>
      <c r="G30" s="27" t="s">
        <v>45</v>
      </c>
      <c r="H30" s="26">
        <v>0.11845182413470536</v>
      </c>
      <c r="I30" s="26">
        <v>0.16370439663236669</v>
      </c>
      <c r="J30" s="27">
        <v>7.015902712815715E-2</v>
      </c>
      <c r="K30" s="27">
        <v>2.3386342376052388E-2</v>
      </c>
      <c r="L30" s="27">
        <v>1.5318054256314313</v>
      </c>
      <c r="M30" s="27">
        <v>9.8573433115060798</v>
      </c>
      <c r="N30" s="27">
        <v>0.19235266604303089</v>
      </c>
      <c r="O30" s="27" t="s">
        <v>45</v>
      </c>
      <c r="P30" s="27">
        <v>0.2806361085126286</v>
      </c>
      <c r="Q30" s="27">
        <v>2.1796071094480826E-2</v>
      </c>
      <c r="R30" s="27">
        <v>33.173526660430312</v>
      </c>
      <c r="S30" s="27" t="s">
        <v>45</v>
      </c>
      <c r="T30" s="46">
        <v>8.0215154349859679E-4</v>
      </c>
      <c r="U30" s="27">
        <v>5.846585594013097E-2</v>
      </c>
      <c r="V30" s="27">
        <v>0.19878391019644526</v>
      </c>
      <c r="W30" s="29">
        <v>7.8110383536014972E-3</v>
      </c>
      <c r="X30" s="27">
        <v>2.7011225444340505</v>
      </c>
      <c r="Y30" s="27" t="s">
        <v>45</v>
      </c>
      <c r="Z30" s="27" t="s">
        <v>45</v>
      </c>
      <c r="AA30" s="27">
        <v>77.970065481758652</v>
      </c>
      <c r="AB30" s="29">
        <v>1.0924929840972873E-2</v>
      </c>
      <c r="AC30" s="27">
        <v>5.8115060804490177</v>
      </c>
      <c r="AD30" s="27">
        <v>2.0229186155285315</v>
      </c>
      <c r="AE30" s="27" t="s">
        <v>45</v>
      </c>
      <c r="AF30" s="27" t="s">
        <v>45</v>
      </c>
      <c r="AG30" s="27">
        <v>4.9812909260991578</v>
      </c>
    </row>
    <row r="31" spans="1:33" x14ac:dyDescent="0.2">
      <c r="A31" s="1">
        <v>16</v>
      </c>
      <c r="B31" s="25" t="s">
        <v>62</v>
      </c>
      <c r="C31" s="26">
        <v>64.184116949822211</v>
      </c>
      <c r="D31" s="27">
        <v>3.9510075069142635E-2</v>
      </c>
      <c r="E31" s="27" t="s">
        <v>45</v>
      </c>
      <c r="F31" s="27" t="s">
        <v>45</v>
      </c>
      <c r="G31" s="27" t="s">
        <v>45</v>
      </c>
      <c r="H31" s="26">
        <v>0.14431054919004346</v>
      </c>
      <c r="I31" s="26">
        <v>0.375345713156855</v>
      </c>
      <c r="J31" s="27">
        <v>1.9755037534571317E-2</v>
      </c>
      <c r="K31" s="27">
        <v>0.1876728565784275</v>
      </c>
      <c r="L31" s="27">
        <v>2.9435005926511262</v>
      </c>
      <c r="M31" s="27">
        <v>17.088107467404186</v>
      </c>
      <c r="N31" s="27">
        <v>0.11023310944290796</v>
      </c>
      <c r="O31" s="27" t="s">
        <v>45</v>
      </c>
      <c r="P31" s="27">
        <v>0.12840774397471355</v>
      </c>
      <c r="Q31" s="27">
        <v>2.016001580403003E-2</v>
      </c>
      <c r="R31" s="27">
        <v>101.63966811536942</v>
      </c>
      <c r="S31" s="27" t="s">
        <v>45</v>
      </c>
      <c r="T31" s="46">
        <v>4.1979454760964049E-4</v>
      </c>
      <c r="U31" s="27">
        <v>0.23706045041485579</v>
      </c>
      <c r="V31" s="27">
        <v>0.33583563808771233</v>
      </c>
      <c r="W31" s="29">
        <v>1.6930067167127617E-2</v>
      </c>
      <c r="X31" s="27">
        <v>2.1236665349664166</v>
      </c>
      <c r="Y31" s="27" t="s">
        <v>45</v>
      </c>
      <c r="Z31" s="27" t="s">
        <v>45</v>
      </c>
      <c r="AA31" s="27">
        <v>35.924535756617942</v>
      </c>
      <c r="AB31" s="29">
        <v>1.3443303042275782E-2</v>
      </c>
      <c r="AC31" s="27">
        <v>7.2599762939549581</v>
      </c>
      <c r="AD31" s="27">
        <v>1.1359146582378505</v>
      </c>
      <c r="AE31" s="27" t="s">
        <v>45</v>
      </c>
      <c r="AF31" s="27" t="s">
        <v>45</v>
      </c>
      <c r="AG31" s="27">
        <v>12.771631766100356</v>
      </c>
    </row>
    <row r="32" spans="1:33" x14ac:dyDescent="0.2">
      <c r="A32" s="1">
        <v>17</v>
      </c>
      <c r="B32" s="25" t="s">
        <v>63</v>
      </c>
      <c r="C32" s="26">
        <v>4.403854773644106</v>
      </c>
      <c r="D32" s="27">
        <v>4.482294935006724E-2</v>
      </c>
      <c r="E32" s="27" t="s">
        <v>45</v>
      </c>
      <c r="F32" s="27" t="s">
        <v>45</v>
      </c>
      <c r="G32" s="27" t="s">
        <v>45</v>
      </c>
      <c r="H32" s="26">
        <v>4.2929179740026899E-2</v>
      </c>
      <c r="I32" s="26">
        <v>0.17929179740026896</v>
      </c>
      <c r="J32" s="27">
        <v>4.482294935006724E-2</v>
      </c>
      <c r="K32" s="27">
        <v>0.10085163603765128</v>
      </c>
      <c r="L32" s="27">
        <v>1.3558942178395339</v>
      </c>
      <c r="M32" s="27">
        <v>2.2859704168534289</v>
      </c>
      <c r="N32" s="27">
        <v>8.9970865082922458E-2</v>
      </c>
      <c r="O32" s="27" t="s">
        <v>45</v>
      </c>
      <c r="P32" s="27">
        <v>8.964589870013448E-2</v>
      </c>
      <c r="Q32" s="27">
        <v>9.6839982070820261E-3</v>
      </c>
      <c r="R32" s="27">
        <v>34.020618556701031</v>
      </c>
      <c r="S32" s="27" t="s">
        <v>45</v>
      </c>
      <c r="T32" s="46">
        <v>4.9417301658449125E-4</v>
      </c>
      <c r="U32" s="27">
        <v>0.11205737337516809</v>
      </c>
      <c r="V32" s="27">
        <v>0.62752129090094122</v>
      </c>
      <c r="W32" s="29">
        <v>1.3166741371582252E-3</v>
      </c>
      <c r="X32" s="27">
        <v>1.3670999551770506</v>
      </c>
      <c r="Y32" s="27" t="s">
        <v>45</v>
      </c>
      <c r="Z32" s="27" t="s">
        <v>45</v>
      </c>
      <c r="AA32" s="27">
        <v>16.393993724787091</v>
      </c>
      <c r="AB32" s="29">
        <v>4.8599282832810396E-3</v>
      </c>
      <c r="AC32" s="27">
        <v>2.8462572837292694</v>
      </c>
      <c r="AD32" s="27">
        <v>0.42581801882563874</v>
      </c>
      <c r="AE32" s="27" t="s">
        <v>45</v>
      </c>
      <c r="AF32" s="27" t="s">
        <v>45</v>
      </c>
      <c r="AG32" s="27">
        <v>4.7736441057821608</v>
      </c>
    </row>
    <row r="33" spans="1:33" x14ac:dyDescent="0.2">
      <c r="A33" s="1">
        <v>18</v>
      </c>
      <c r="B33" s="25" t="s">
        <v>64</v>
      </c>
      <c r="C33" s="26">
        <v>6.0973084886128364</v>
      </c>
      <c r="D33" s="27">
        <v>0.12422360248447205</v>
      </c>
      <c r="E33" s="27" t="s">
        <v>45</v>
      </c>
      <c r="F33" s="27" t="s">
        <v>45</v>
      </c>
      <c r="G33" s="27" t="s">
        <v>45</v>
      </c>
      <c r="H33" s="26">
        <v>4.5527950310559007E-2</v>
      </c>
      <c r="I33" s="26">
        <v>0.11387163561076605</v>
      </c>
      <c r="J33" s="27" t="s">
        <v>45</v>
      </c>
      <c r="K33" s="27">
        <v>4.1407867494824016E-2</v>
      </c>
      <c r="L33" s="27">
        <v>1.0559006211180124</v>
      </c>
      <c r="M33" s="27">
        <v>3.6024844720496891</v>
      </c>
      <c r="N33" s="27">
        <v>4.8136645962732927E-2</v>
      </c>
      <c r="O33" s="27" t="s">
        <v>45</v>
      </c>
      <c r="P33" s="27">
        <v>0.15527950310559005</v>
      </c>
      <c r="Q33" s="27">
        <v>1.0621118012422361E-2</v>
      </c>
      <c r="R33" s="27">
        <v>34.503105590062113</v>
      </c>
      <c r="S33" s="27" t="s">
        <v>45</v>
      </c>
      <c r="T33" s="46">
        <v>3.0952380952380956E-4</v>
      </c>
      <c r="U33" s="27">
        <v>0.14492753623188404</v>
      </c>
      <c r="V33" s="27">
        <v>0.21739130434782608</v>
      </c>
      <c r="W33" s="29">
        <v>2.1076604554865425E-3</v>
      </c>
      <c r="X33" s="27">
        <v>1.0766045548654244</v>
      </c>
      <c r="Y33" s="27" t="s">
        <v>45</v>
      </c>
      <c r="Z33" s="27" t="s">
        <v>45</v>
      </c>
      <c r="AA33" s="27">
        <v>30.300207039337479</v>
      </c>
      <c r="AB33" s="29">
        <v>4.7877846790890279E-3</v>
      </c>
      <c r="AC33" s="27">
        <v>3.053830227743271</v>
      </c>
      <c r="AD33" s="27">
        <v>0.6314699792960663</v>
      </c>
      <c r="AE33" s="27" t="s">
        <v>45</v>
      </c>
      <c r="AF33" s="27" t="s">
        <v>45</v>
      </c>
      <c r="AG33" s="27">
        <v>4.9378881987577641</v>
      </c>
    </row>
    <row r="34" spans="1:33" x14ac:dyDescent="0.2">
      <c r="A34" s="1">
        <v>19</v>
      </c>
      <c r="B34" s="25" t="s">
        <v>65</v>
      </c>
      <c r="C34" s="26">
        <v>7.3859166011014956</v>
      </c>
      <c r="D34" s="27">
        <v>7.8678206136900089E-2</v>
      </c>
      <c r="E34" s="27" t="s">
        <v>45</v>
      </c>
      <c r="F34" s="27" t="s">
        <v>45</v>
      </c>
      <c r="G34" s="27" t="s">
        <v>45</v>
      </c>
      <c r="H34" s="26">
        <v>0.11526357199055863</v>
      </c>
      <c r="I34" s="26">
        <v>0.11801730920535013</v>
      </c>
      <c r="J34" s="27">
        <v>9.8347757671125111E-3</v>
      </c>
      <c r="K34" s="27">
        <v>5.9008654602675063E-2</v>
      </c>
      <c r="L34" s="27">
        <v>1.0916601101494887</v>
      </c>
      <c r="M34" s="27">
        <v>4.0814319433516921</v>
      </c>
      <c r="N34" s="27">
        <v>9.2987804878048794E-2</v>
      </c>
      <c r="O34" s="27" t="s">
        <v>45</v>
      </c>
      <c r="P34" s="27">
        <v>8.8512981904012591E-2</v>
      </c>
      <c r="Q34" s="27">
        <v>2.862903225806452E-2</v>
      </c>
      <c r="R34" s="27">
        <v>59.077498033044854</v>
      </c>
      <c r="S34" s="27" t="s">
        <v>45</v>
      </c>
      <c r="T34" s="46">
        <v>1.2529504327301339E-3</v>
      </c>
      <c r="U34" s="27">
        <v>1.1900078678206139</v>
      </c>
      <c r="V34" s="27">
        <v>4.9173878835562554E-2</v>
      </c>
      <c r="W34" s="29">
        <v>5.062942564909521E-3</v>
      </c>
      <c r="X34" s="27">
        <v>2.7635719905586154</v>
      </c>
      <c r="Y34" s="27" t="s">
        <v>45</v>
      </c>
      <c r="Z34" s="27" t="s">
        <v>45</v>
      </c>
      <c r="AA34" s="27">
        <v>59.067663257277744</v>
      </c>
      <c r="AB34" s="29">
        <v>9.349921321793863E-3</v>
      </c>
      <c r="AC34" s="27">
        <v>8.3792289535798581</v>
      </c>
      <c r="AD34" s="27">
        <v>1.0326514555468136</v>
      </c>
      <c r="AE34" s="27" t="s">
        <v>45</v>
      </c>
      <c r="AF34" s="27" t="s">
        <v>45</v>
      </c>
      <c r="AG34" s="27">
        <v>4.1994492525570424</v>
      </c>
    </row>
    <row r="35" spans="1:33" x14ac:dyDescent="0.2">
      <c r="A35" s="1">
        <v>20</v>
      </c>
      <c r="B35" s="25" t="s">
        <v>66</v>
      </c>
      <c r="C35" s="26">
        <v>81.538955479452056</v>
      </c>
      <c r="D35" s="27">
        <v>0.2247431506849315</v>
      </c>
      <c r="E35" s="27" t="s">
        <v>45</v>
      </c>
      <c r="F35" s="27" t="s">
        <v>45</v>
      </c>
      <c r="G35" s="27" t="s">
        <v>45</v>
      </c>
      <c r="H35" s="26">
        <v>0.83015839041095885</v>
      </c>
      <c r="I35" s="26">
        <v>0.2247431506849315</v>
      </c>
      <c r="J35" s="27">
        <v>0.13912671232876714</v>
      </c>
      <c r="K35" s="27">
        <v>0.49229452054794515</v>
      </c>
      <c r="L35" s="27">
        <v>3.4032534246575343</v>
      </c>
      <c r="M35" s="27">
        <v>53.767123287671225</v>
      </c>
      <c r="N35" s="27">
        <v>4.7270976027397264E-2</v>
      </c>
      <c r="O35" s="27" t="s">
        <v>45</v>
      </c>
      <c r="P35" s="27">
        <v>0.27825342465753428</v>
      </c>
      <c r="Q35" s="27">
        <v>2.8938356164383564E-2</v>
      </c>
      <c r="R35" s="27">
        <v>122.85958904109589</v>
      </c>
      <c r="S35" s="27" t="s">
        <v>45</v>
      </c>
      <c r="T35" s="46">
        <v>2.818921232876713E-3</v>
      </c>
      <c r="U35" s="27">
        <v>0.87756849315068497</v>
      </c>
      <c r="V35" s="27">
        <v>2.0761986301369864</v>
      </c>
      <c r="W35" s="29">
        <v>1.3484589041095891E-2</v>
      </c>
      <c r="X35" s="27">
        <v>0.92037671232876705</v>
      </c>
      <c r="Y35" s="27" t="s">
        <v>45</v>
      </c>
      <c r="Z35" s="27" t="s">
        <v>45</v>
      </c>
      <c r="AA35" s="27">
        <v>508.66866438356163</v>
      </c>
      <c r="AB35" s="29">
        <v>2.8007277397260274E-2</v>
      </c>
      <c r="AC35" s="27">
        <v>58.154965753424655</v>
      </c>
      <c r="AD35" s="27">
        <v>3.7136130136986303</v>
      </c>
      <c r="AE35" s="27" t="s">
        <v>45</v>
      </c>
      <c r="AF35" s="27">
        <v>3.210616438356164E-2</v>
      </c>
      <c r="AG35" s="27">
        <v>15.592893835616438</v>
      </c>
    </row>
    <row r="36" spans="1:33" x14ac:dyDescent="0.2">
      <c r="A36" s="1">
        <v>21</v>
      </c>
      <c r="B36" s="25" t="s">
        <v>67</v>
      </c>
      <c r="C36" s="26">
        <v>9.096907993966818</v>
      </c>
      <c r="D36" s="27">
        <v>8.4841628959276022E-2</v>
      </c>
      <c r="E36" s="27" t="s">
        <v>45</v>
      </c>
      <c r="F36" s="27" t="s">
        <v>45</v>
      </c>
      <c r="G36" s="27" t="s">
        <v>45</v>
      </c>
      <c r="H36" s="26">
        <v>9.0686274509803919E-2</v>
      </c>
      <c r="I36" s="26">
        <v>0.10369532428355958</v>
      </c>
      <c r="J36" s="27">
        <v>9.426847662141781E-3</v>
      </c>
      <c r="K36" s="27">
        <v>3.7707390648567124E-2</v>
      </c>
      <c r="L36" s="27">
        <v>0.92383107088989447</v>
      </c>
      <c r="M36" s="27">
        <v>55.392156862745097</v>
      </c>
      <c r="N36" s="27">
        <v>7.3680241327300153E-2</v>
      </c>
      <c r="O36" s="27" t="s">
        <v>45</v>
      </c>
      <c r="P36" s="27">
        <v>0.1508295625942685</v>
      </c>
      <c r="Q36" s="27">
        <v>2.7413273001508295E-2</v>
      </c>
      <c r="R36" s="27">
        <v>64.715309200603329</v>
      </c>
      <c r="S36" s="27" t="s">
        <v>45</v>
      </c>
      <c r="T36" s="46">
        <v>2.4604072398190047E-4</v>
      </c>
      <c r="U36" s="27">
        <v>1.206636500754148</v>
      </c>
      <c r="V36" s="27">
        <v>4.7134238310708905E-2</v>
      </c>
      <c r="W36" s="29">
        <v>3.96210407239819E-3</v>
      </c>
      <c r="X36" s="27">
        <v>2.2530165912518854</v>
      </c>
      <c r="Y36" s="27" t="s">
        <v>45</v>
      </c>
      <c r="Z36" s="27" t="s">
        <v>45</v>
      </c>
      <c r="AA36" s="27">
        <v>16.977752639517348</v>
      </c>
      <c r="AB36" s="29">
        <v>7.664969834087482E-3</v>
      </c>
      <c r="AC36" s="27">
        <v>7.4377828054298645</v>
      </c>
      <c r="AD36" s="27">
        <v>0.35822021116138764</v>
      </c>
      <c r="AE36" s="27" t="s">
        <v>45</v>
      </c>
      <c r="AF36" s="27" t="s">
        <v>45</v>
      </c>
      <c r="AG36" s="27">
        <v>3.0260180995475108</v>
      </c>
    </row>
    <row r="37" spans="1:33" x14ac:dyDescent="0.2">
      <c r="A37" s="1">
        <v>22</v>
      </c>
      <c r="B37" s="25" t="s">
        <v>68</v>
      </c>
      <c r="C37" s="26">
        <v>36.98329853862213</v>
      </c>
      <c r="D37" s="27">
        <v>3.1315240083507306E-2</v>
      </c>
      <c r="E37" s="27" t="s">
        <v>45</v>
      </c>
      <c r="F37" s="27" t="s">
        <v>45</v>
      </c>
      <c r="G37" s="27" t="s">
        <v>45</v>
      </c>
      <c r="H37" s="26">
        <v>9.6524008350730689E-2</v>
      </c>
      <c r="I37" s="26">
        <v>5.2192066805845518E-2</v>
      </c>
      <c r="J37" s="27" t="s">
        <v>45</v>
      </c>
      <c r="K37" s="27">
        <v>0.11482254697286014</v>
      </c>
      <c r="L37" s="27">
        <v>1.0960334029227559</v>
      </c>
      <c r="M37" s="27">
        <v>70.146137787056375</v>
      </c>
      <c r="N37" s="27">
        <v>0.15782881002087684</v>
      </c>
      <c r="O37" s="27" t="s">
        <v>45</v>
      </c>
      <c r="P37" s="27">
        <v>0.12526096033402923</v>
      </c>
      <c r="Q37" s="27">
        <v>2.5480167014613777E-2</v>
      </c>
      <c r="R37" s="27">
        <v>26.169102296450937</v>
      </c>
      <c r="S37" s="27" t="s">
        <v>45</v>
      </c>
      <c r="T37" s="46">
        <v>3.7056367432150312E-4</v>
      </c>
      <c r="U37" s="27">
        <v>4.1753653444676408E-2</v>
      </c>
      <c r="V37" s="27">
        <v>8.3507306889352817E-2</v>
      </c>
      <c r="W37" s="29">
        <v>1.0897703549060543E-3</v>
      </c>
      <c r="X37" s="27">
        <v>1.534446764091858</v>
      </c>
      <c r="Y37" s="27" t="s">
        <v>45</v>
      </c>
      <c r="Z37" s="27" t="s">
        <v>45</v>
      </c>
      <c r="AA37" s="27">
        <v>169.41544885177456</v>
      </c>
      <c r="AB37" s="29">
        <v>5.9812108559498959E-3</v>
      </c>
      <c r="AC37" s="27">
        <v>5.9081419624217126</v>
      </c>
      <c r="AD37" s="27">
        <v>5.4279749478079333</v>
      </c>
      <c r="AE37" s="27" t="s">
        <v>45</v>
      </c>
      <c r="AF37" s="27" t="s">
        <v>45</v>
      </c>
      <c r="AG37" s="27">
        <v>2.6722338204592901</v>
      </c>
    </row>
    <row r="38" spans="1:33" x14ac:dyDescent="0.2">
      <c r="A38" s="1">
        <v>23</v>
      </c>
      <c r="B38" s="25" t="s">
        <v>69</v>
      </c>
      <c r="C38" s="26">
        <v>76.815302144249515</v>
      </c>
      <c r="D38" s="27">
        <v>0.13401559454191034</v>
      </c>
      <c r="E38" s="27" t="s">
        <v>45</v>
      </c>
      <c r="F38" s="27" t="s">
        <v>45</v>
      </c>
      <c r="G38" s="27" t="s">
        <v>45</v>
      </c>
      <c r="H38" s="26">
        <v>0.16873781676413258</v>
      </c>
      <c r="I38" s="26">
        <v>0.30458089668615984</v>
      </c>
      <c r="J38" s="27" t="s">
        <v>45</v>
      </c>
      <c r="K38" s="27">
        <v>0.36549707602339182</v>
      </c>
      <c r="L38" s="27">
        <v>3.8011695906432745</v>
      </c>
      <c r="M38" s="27">
        <v>32.383040935672511</v>
      </c>
      <c r="N38" s="27">
        <v>6.9761208576998052E-2</v>
      </c>
      <c r="O38" s="27" t="s">
        <v>45</v>
      </c>
      <c r="P38" s="27">
        <v>4.8732943469785579E-2</v>
      </c>
      <c r="Q38" s="27">
        <v>2.3806042884990251E-2</v>
      </c>
      <c r="R38" s="27">
        <v>64.071637426900594</v>
      </c>
      <c r="S38" s="27" t="s">
        <v>45</v>
      </c>
      <c r="T38" s="46">
        <v>8.0165692007797267E-4</v>
      </c>
      <c r="U38" s="27">
        <v>0.40204678362573104</v>
      </c>
      <c r="V38" s="27">
        <v>0.46296296296296297</v>
      </c>
      <c r="W38" s="29">
        <v>1.1617933723196883E-2</v>
      </c>
      <c r="X38" s="27">
        <v>1.6081871345029242</v>
      </c>
      <c r="Y38" s="27" t="s">
        <v>45</v>
      </c>
      <c r="Z38" s="27" t="s">
        <v>45</v>
      </c>
      <c r="AA38" s="27">
        <v>74.549220272904478</v>
      </c>
      <c r="AB38" s="29">
        <v>1.5095029239766085E-2</v>
      </c>
      <c r="AC38" s="27">
        <v>7.8581871345029244</v>
      </c>
      <c r="AD38" s="27">
        <v>2.3513645224171542</v>
      </c>
      <c r="AE38" s="27" t="s">
        <v>45</v>
      </c>
      <c r="AF38" s="27" t="s">
        <v>45</v>
      </c>
      <c r="AG38" s="27">
        <v>13.011695906432749</v>
      </c>
    </row>
    <row r="39" spans="1:33" x14ac:dyDescent="0.2">
      <c r="A39" s="1">
        <v>24</v>
      </c>
      <c r="B39" s="25" t="s">
        <v>70</v>
      </c>
      <c r="C39" s="26">
        <v>5.3773996509598607</v>
      </c>
      <c r="D39" s="27" t="s">
        <v>45</v>
      </c>
      <c r="E39" s="27" t="s">
        <v>45</v>
      </c>
      <c r="F39" s="27" t="s">
        <v>45</v>
      </c>
      <c r="G39" s="27" t="s">
        <v>45</v>
      </c>
      <c r="H39" s="26">
        <v>0.21269633507853405</v>
      </c>
      <c r="I39" s="26">
        <v>0.15270506108202442</v>
      </c>
      <c r="J39" s="27">
        <v>7.6352530541012209E-2</v>
      </c>
      <c r="K39" s="27">
        <v>0.27268760907504364</v>
      </c>
      <c r="L39" s="27">
        <v>2.1815008726003491</v>
      </c>
      <c r="M39" s="27">
        <v>10.340314136125656</v>
      </c>
      <c r="N39" s="27">
        <v>0.23134816753926704</v>
      </c>
      <c r="O39" s="27" t="s">
        <v>45</v>
      </c>
      <c r="P39" s="27">
        <v>0.22905759162303665</v>
      </c>
      <c r="Q39" s="27">
        <v>7.5447207678883077E-2</v>
      </c>
      <c r="R39" s="27">
        <v>152.92321116928446</v>
      </c>
      <c r="S39" s="27" t="s">
        <v>45</v>
      </c>
      <c r="T39" s="46">
        <v>1.0634816753926702E-3</v>
      </c>
      <c r="U39" s="27">
        <v>0.7417102966841187</v>
      </c>
      <c r="V39" s="27">
        <v>0.21815008726003493</v>
      </c>
      <c r="W39" s="29">
        <v>1.0161431064572426E-2</v>
      </c>
      <c r="X39" s="27">
        <v>7.7443280977312394</v>
      </c>
      <c r="Y39" s="27" t="s">
        <v>45</v>
      </c>
      <c r="Z39" s="27" t="s">
        <v>45</v>
      </c>
      <c r="AA39" s="27">
        <v>39.299738219895289</v>
      </c>
      <c r="AB39" s="29">
        <v>1.6644851657940666E-2</v>
      </c>
      <c r="AC39" s="27">
        <v>12.249127399650961</v>
      </c>
      <c r="AD39" s="27">
        <v>1.8542757417102971</v>
      </c>
      <c r="AE39" s="27">
        <v>2.3342059336823731</v>
      </c>
      <c r="AF39" s="27" t="s">
        <v>45</v>
      </c>
      <c r="AG39" s="27">
        <v>4.1230366492146606</v>
      </c>
    </row>
    <row r="40" spans="1:33" x14ac:dyDescent="0.2">
      <c r="A40" s="1">
        <v>25</v>
      </c>
      <c r="B40" s="25" t="s">
        <v>71</v>
      </c>
      <c r="C40" s="26">
        <v>1.3425253991291726</v>
      </c>
      <c r="D40" s="27">
        <v>5.4426705370101594E-2</v>
      </c>
      <c r="E40" s="27" t="s">
        <v>45</v>
      </c>
      <c r="F40" s="27" t="s">
        <v>45</v>
      </c>
      <c r="G40" s="27" t="s">
        <v>45</v>
      </c>
      <c r="H40" s="26">
        <v>7.2886429608127717E-2</v>
      </c>
      <c r="I40" s="26">
        <v>0.18142235123367198</v>
      </c>
      <c r="J40" s="27">
        <v>3.6284470246734396E-2</v>
      </c>
      <c r="K40" s="27" t="s">
        <v>45</v>
      </c>
      <c r="L40" s="27">
        <v>1.1248185776487662</v>
      </c>
      <c r="M40" s="27">
        <v>2.031930333817126</v>
      </c>
      <c r="N40" s="27">
        <v>5.0054426705370102E-2</v>
      </c>
      <c r="O40" s="27" t="s">
        <v>45</v>
      </c>
      <c r="P40" s="27">
        <v>4.5355587808417995E-2</v>
      </c>
      <c r="Q40" s="27">
        <v>1.5511611030478954E-2</v>
      </c>
      <c r="R40" s="27">
        <v>57.574383164005809</v>
      </c>
      <c r="S40" s="27" t="s">
        <v>45</v>
      </c>
      <c r="T40" s="46">
        <v>2.7757619738751814E-4</v>
      </c>
      <c r="U40" s="27">
        <v>0.65312046444121907</v>
      </c>
      <c r="V40" s="27">
        <v>0.16328011611030477</v>
      </c>
      <c r="W40" s="29">
        <v>3.9414005805515238E-3</v>
      </c>
      <c r="X40" s="27">
        <v>1.3878809869375908</v>
      </c>
      <c r="Y40" s="27" t="s">
        <v>45</v>
      </c>
      <c r="Z40" s="27" t="s">
        <v>45</v>
      </c>
      <c r="AA40" s="27">
        <v>16.654571843251091</v>
      </c>
      <c r="AB40" s="29">
        <v>7.0337445573294627E-3</v>
      </c>
      <c r="AC40" s="27">
        <v>6.2772133526850507</v>
      </c>
      <c r="AD40" s="27">
        <v>0.14513788098693758</v>
      </c>
      <c r="AE40" s="27" t="s">
        <v>45</v>
      </c>
      <c r="AF40" s="27" t="s">
        <v>45</v>
      </c>
      <c r="AG40" s="27">
        <v>2.3040638606676342</v>
      </c>
    </row>
    <row r="41" spans="1:33" x14ac:dyDescent="0.2">
      <c r="A41" s="1">
        <v>26</v>
      </c>
      <c r="B41" s="25" t="s">
        <v>72</v>
      </c>
      <c r="C41" s="26">
        <v>34.764758100310701</v>
      </c>
      <c r="D41" s="27">
        <v>8.8770528184642705E-2</v>
      </c>
      <c r="E41" s="27" t="s">
        <v>45</v>
      </c>
      <c r="F41" s="27" t="s">
        <v>45</v>
      </c>
      <c r="G41" s="27" t="s">
        <v>45</v>
      </c>
      <c r="H41" s="26">
        <v>0.14214380825565914</v>
      </c>
      <c r="I41" s="26">
        <v>0.21083000443852642</v>
      </c>
      <c r="J41" s="27" t="s">
        <v>45</v>
      </c>
      <c r="K41" s="27">
        <v>0.2996005326231691</v>
      </c>
      <c r="L41" s="27">
        <v>2.6520195295162008</v>
      </c>
      <c r="M41" s="27">
        <v>14.036839769196627</v>
      </c>
      <c r="N41" s="27">
        <v>0.101242787394585</v>
      </c>
      <c r="O41" s="27" t="s">
        <v>45</v>
      </c>
      <c r="P41" s="27">
        <v>0.17754105636928541</v>
      </c>
      <c r="Q41" s="27">
        <v>1.2705281846426986E-2</v>
      </c>
      <c r="R41" s="27">
        <v>54.60497114957834</v>
      </c>
      <c r="S41" s="27" t="s">
        <v>45</v>
      </c>
      <c r="T41" s="46">
        <v>5.8921438082556587E-4</v>
      </c>
      <c r="U41" s="27">
        <v>0.26631158455392806</v>
      </c>
      <c r="V41" s="27">
        <v>0.35508211273857082</v>
      </c>
      <c r="W41" s="29">
        <v>1.3925876608965822E-2</v>
      </c>
      <c r="X41" s="27">
        <v>1.5978695073235685</v>
      </c>
      <c r="Y41" s="27" t="s">
        <v>45</v>
      </c>
      <c r="Z41" s="27" t="s">
        <v>45</v>
      </c>
      <c r="AA41" s="27">
        <v>26.276076342654239</v>
      </c>
      <c r="AB41" s="29">
        <v>1.2272525521526854E-2</v>
      </c>
      <c r="AC41" s="27">
        <v>7.1571238348868178</v>
      </c>
      <c r="AD41" s="27">
        <v>0.78783843763870398</v>
      </c>
      <c r="AE41" s="27" t="s">
        <v>45</v>
      </c>
      <c r="AF41" s="27" t="s">
        <v>45</v>
      </c>
      <c r="AG41" s="27">
        <v>12.316910785619173</v>
      </c>
    </row>
    <row r="42" spans="1:33" x14ac:dyDescent="0.2">
      <c r="A42" s="1">
        <v>27</v>
      </c>
      <c r="B42" s="25" t="s">
        <v>73</v>
      </c>
      <c r="C42" s="26">
        <v>24.86915887850467</v>
      </c>
      <c r="D42" s="27">
        <v>0.12149532710280374</v>
      </c>
      <c r="E42" s="27" t="s">
        <v>45</v>
      </c>
      <c r="F42" s="27" t="s">
        <v>45</v>
      </c>
      <c r="G42" s="27" t="s">
        <v>45</v>
      </c>
      <c r="H42" s="26">
        <v>8.3691588785046733E-2</v>
      </c>
      <c r="I42" s="26">
        <v>4.6728971962616821E-2</v>
      </c>
      <c r="J42" s="27" t="s">
        <v>45</v>
      </c>
      <c r="K42" s="27">
        <v>9.3457943925233638E-3</v>
      </c>
      <c r="L42" s="27">
        <v>0.95327102803738317</v>
      </c>
      <c r="M42" s="27">
        <v>22.570093457943923</v>
      </c>
      <c r="N42" s="27">
        <v>0.14093457943925233</v>
      </c>
      <c r="O42" s="27" t="s">
        <v>45</v>
      </c>
      <c r="P42" s="27">
        <v>0.20560747663551401</v>
      </c>
      <c r="Q42" s="27">
        <v>2.2252336448598128E-2</v>
      </c>
      <c r="R42" s="27">
        <v>22.906542056074766</v>
      </c>
      <c r="S42" s="27" t="s">
        <v>45</v>
      </c>
      <c r="T42" s="46">
        <v>-5.6074766355140179E-6</v>
      </c>
      <c r="U42" s="27">
        <v>7.476635514018691E-2</v>
      </c>
      <c r="V42" s="27">
        <v>7.476635514018691E-2</v>
      </c>
      <c r="W42" s="29">
        <v>1.2373831775700933E-3</v>
      </c>
      <c r="X42" s="27">
        <v>1.4018691588785046</v>
      </c>
      <c r="Y42" s="27" t="s">
        <v>45</v>
      </c>
      <c r="Z42" s="27" t="s">
        <v>45</v>
      </c>
      <c r="AA42" s="27">
        <v>53.514018691588781</v>
      </c>
      <c r="AB42" s="29">
        <v>5.259813084112149E-3</v>
      </c>
      <c r="AC42" s="27">
        <v>5.130841121495326</v>
      </c>
      <c r="AD42" s="27">
        <v>2.2897196261682242</v>
      </c>
      <c r="AE42" s="27" t="s">
        <v>45</v>
      </c>
      <c r="AF42" s="27" t="s">
        <v>45</v>
      </c>
      <c r="AG42" s="27">
        <v>2.3644859813084107</v>
      </c>
    </row>
    <row r="43" spans="1:33" x14ac:dyDescent="0.2">
      <c r="A43" s="1">
        <v>28</v>
      </c>
      <c r="B43" s="25" t="s">
        <v>74</v>
      </c>
      <c r="C43" s="26">
        <v>3.0968247745981969</v>
      </c>
      <c r="D43" s="27">
        <v>6.8600548804390427E-2</v>
      </c>
      <c r="E43" s="27" t="s">
        <v>45</v>
      </c>
      <c r="F43" s="27" t="s">
        <v>45</v>
      </c>
      <c r="G43" s="27" t="s">
        <v>45</v>
      </c>
      <c r="H43" s="26">
        <v>0.10015680125441005</v>
      </c>
      <c r="I43" s="26">
        <v>9.800078400627206E-2</v>
      </c>
      <c r="J43" s="27">
        <v>5.8800470403763232E-2</v>
      </c>
      <c r="K43" s="27">
        <v>5.8800470403763232E-2</v>
      </c>
      <c r="L43" s="27">
        <v>1.1760094080752646</v>
      </c>
      <c r="M43" s="27">
        <v>2.4794198353586827</v>
      </c>
      <c r="N43" s="27">
        <v>0.10250882007056059</v>
      </c>
      <c r="O43" s="27" t="s">
        <v>45</v>
      </c>
      <c r="P43" s="27">
        <v>7.8400627205017642E-2</v>
      </c>
      <c r="Q43" s="27">
        <v>6.6709133673069396E-2</v>
      </c>
      <c r="R43" s="27">
        <v>40.150921207369656</v>
      </c>
      <c r="S43" s="27" t="s">
        <v>45</v>
      </c>
      <c r="T43" s="46">
        <v>3.2536260290082323E-4</v>
      </c>
      <c r="U43" s="27">
        <v>0.88200705605644836</v>
      </c>
      <c r="V43" s="27">
        <v>9.800078400627206E-2</v>
      </c>
      <c r="W43" s="29">
        <v>5.9898079184633477E-3</v>
      </c>
      <c r="X43" s="27">
        <v>3.0282242257938061</v>
      </c>
      <c r="Y43" s="27" t="s">
        <v>45</v>
      </c>
      <c r="Z43" s="27" t="s">
        <v>45</v>
      </c>
      <c r="AA43" s="27">
        <v>27.940023520188163</v>
      </c>
      <c r="AB43" s="29">
        <v>9.2924343394747162E-3</v>
      </c>
      <c r="AC43" s="27">
        <v>6.3798510388083116</v>
      </c>
      <c r="AD43" s="27">
        <v>0.47040376323010585</v>
      </c>
      <c r="AE43" s="27">
        <v>0.29400235201881614</v>
      </c>
      <c r="AF43" s="27" t="s">
        <v>45</v>
      </c>
      <c r="AG43" s="27">
        <v>1.9208153665229322</v>
      </c>
    </row>
    <row r="44" spans="1:33" x14ac:dyDescent="0.2">
      <c r="A44" s="1">
        <v>29</v>
      </c>
      <c r="B44" s="25" t="s">
        <v>75</v>
      </c>
      <c r="C44" s="26">
        <v>6.4470588235294128</v>
      </c>
      <c r="D44" s="27">
        <v>0.17647058823529413</v>
      </c>
      <c r="E44" s="27" t="s">
        <v>45</v>
      </c>
      <c r="F44" s="27" t="s">
        <v>45</v>
      </c>
      <c r="G44" s="27" t="s">
        <v>45</v>
      </c>
      <c r="H44" s="26">
        <v>0.16588235294117645</v>
      </c>
      <c r="I44" s="26">
        <v>8.2352941176470587E-2</v>
      </c>
      <c r="J44" s="27">
        <v>7.0588235294117646E-2</v>
      </c>
      <c r="K44" s="27">
        <v>8.2352941176470587E-2</v>
      </c>
      <c r="L44" s="27">
        <v>1.0705882352941176</v>
      </c>
      <c r="M44" s="27">
        <v>6.3294117647058821</v>
      </c>
      <c r="N44" s="27">
        <v>5.4705882352941188E-2</v>
      </c>
      <c r="O44" s="27" t="s">
        <v>45</v>
      </c>
      <c r="P44" s="27">
        <v>0.12941176470588237</v>
      </c>
      <c r="Q44" s="27">
        <v>4.0741176470588239E-2</v>
      </c>
      <c r="R44" s="27">
        <v>43.129411764705878</v>
      </c>
      <c r="S44" s="27" t="s">
        <v>45</v>
      </c>
      <c r="T44" s="46">
        <v>8.7411764705882362E-4</v>
      </c>
      <c r="U44" s="27">
        <v>0.54117647058823526</v>
      </c>
      <c r="V44" s="27">
        <v>0.16470588235294117</v>
      </c>
      <c r="W44" s="29">
        <v>4.1129411764705892E-3</v>
      </c>
      <c r="X44" s="27">
        <v>0.97647058823529409</v>
      </c>
      <c r="Y44" s="27" t="s">
        <v>45</v>
      </c>
      <c r="Z44" s="27" t="s">
        <v>45</v>
      </c>
      <c r="AA44" s="27">
        <v>28.811764705882357</v>
      </c>
      <c r="AB44" s="29">
        <v>1.2741176470588235E-2</v>
      </c>
      <c r="AC44" s="27">
        <v>12.588235294117647</v>
      </c>
      <c r="AD44" s="27">
        <v>0.42352941176470588</v>
      </c>
      <c r="AE44" s="27" t="s">
        <v>45</v>
      </c>
      <c r="AF44" s="27" t="s">
        <v>45</v>
      </c>
      <c r="AG44" s="27">
        <v>2.0588235294117649</v>
      </c>
    </row>
    <row r="45" spans="1:33" x14ac:dyDescent="0.2">
      <c r="A45" s="1">
        <v>30</v>
      </c>
      <c r="B45" s="25" t="s">
        <v>76</v>
      </c>
      <c r="C45" s="26">
        <v>5.9663079082826389</v>
      </c>
      <c r="D45" s="27">
        <v>9.3589143659335516E-2</v>
      </c>
      <c r="E45" s="27" t="s">
        <v>45</v>
      </c>
      <c r="F45" s="27" t="s">
        <v>45</v>
      </c>
      <c r="G45" s="27" t="s">
        <v>45</v>
      </c>
      <c r="H45" s="26">
        <v>6.4623303696771175E-2</v>
      </c>
      <c r="I45" s="26">
        <v>5.8493214787084698E-2</v>
      </c>
      <c r="J45" s="27" t="s">
        <v>45</v>
      </c>
      <c r="K45" s="27">
        <v>7.0191857744501637E-2</v>
      </c>
      <c r="L45" s="27">
        <v>1.169864295741694</v>
      </c>
      <c r="M45" s="27">
        <v>16.062236780533457</v>
      </c>
      <c r="N45" s="27">
        <v>5.2328029948525971E-2</v>
      </c>
      <c r="O45" s="27" t="s">
        <v>45</v>
      </c>
      <c r="P45" s="27">
        <v>0.29246607393542351</v>
      </c>
      <c r="Q45" s="27">
        <v>1.5781469349555453E-2</v>
      </c>
      <c r="R45" s="27">
        <v>22.625175479644362</v>
      </c>
      <c r="S45" s="27" t="s">
        <v>45</v>
      </c>
      <c r="T45" s="46">
        <v>8.3060364997660278E-5</v>
      </c>
      <c r="U45" s="27" t="s">
        <v>45</v>
      </c>
      <c r="V45" s="27">
        <v>0.38605521759475903</v>
      </c>
      <c r="W45" s="29">
        <v>9.113242863827795E-4</v>
      </c>
      <c r="X45" s="27">
        <v>0.91249415067852124</v>
      </c>
      <c r="Y45" s="27" t="s">
        <v>45</v>
      </c>
      <c r="Z45" s="27" t="s">
        <v>45</v>
      </c>
      <c r="AA45" s="27">
        <v>11.839026672905941</v>
      </c>
      <c r="AB45" s="29">
        <v>4.4665418811417872E-3</v>
      </c>
      <c r="AC45" s="27">
        <v>4.2934019653720172</v>
      </c>
      <c r="AD45" s="27">
        <v>0.60832943378568083</v>
      </c>
      <c r="AE45" s="27" t="s">
        <v>45</v>
      </c>
      <c r="AF45" s="27" t="s">
        <v>45</v>
      </c>
      <c r="AG45" s="27">
        <v>2.7959756668226485</v>
      </c>
    </row>
  </sheetData>
  <mergeCells count="23">
    <mergeCell ref="N9:P9"/>
    <mergeCell ref="H8:K8"/>
    <mergeCell ref="N10:P10"/>
    <mergeCell ref="J10:M10"/>
    <mergeCell ref="N8:P8"/>
    <mergeCell ref="C10:F10"/>
    <mergeCell ref="H9:K9"/>
    <mergeCell ref="L8:M8"/>
    <mergeCell ref="L9:M9"/>
    <mergeCell ref="H11:L11"/>
    <mergeCell ref="C9:F9"/>
    <mergeCell ref="B1:P2"/>
    <mergeCell ref="C7:F7"/>
    <mergeCell ref="C5:F5"/>
    <mergeCell ref="C6:F6"/>
    <mergeCell ref="C4:F4"/>
    <mergeCell ref="H4:P4"/>
    <mergeCell ref="N6:P6"/>
    <mergeCell ref="N7:P7"/>
    <mergeCell ref="L7:M7"/>
    <mergeCell ref="H5:P5"/>
    <mergeCell ref="L6:M6"/>
    <mergeCell ref="H7:K7"/>
  </mergeCells>
  <phoneticPr fontId="2" type="noConversion"/>
  <pageMargins left="0.19685039370078741" right="0.51181102362204722" top="0.23622047244094491" bottom="0.35433070866141736" header="0" footer="0.19685039370078741"/>
  <pageSetup paperSize="9" scale="82" orientation="landscape" r:id="rId1"/>
  <headerFooter alignWithMargins="0">
    <oddFooter>&amp;CLos resultados de este informe sólo afectan a las muestras sometidas a ensayo. Las muestras serán conservadas según el Procedimiento del Servicio de Ionómica.</oddFooter>
  </headerFooter>
  <colBreaks count="1" manualBreakCount="1">
    <brk id="16" max="27" man="1"/>
  </colBreaks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r:id="rId5">
            <anchor moveWithCells="1">
              <from>
                <xdr:col>1</xdr:col>
                <xdr:colOff>66675</xdr:colOff>
                <xdr:row>0</xdr:row>
                <xdr:rowOff>57150</xdr:rowOff>
              </from>
              <to>
                <xdr:col>4</xdr:col>
                <xdr:colOff>257175</xdr:colOff>
                <xdr:row>1</xdr:row>
                <xdr:rowOff>409575</xdr:rowOff>
              </to>
            </anchor>
          </objectPr>
        </oleObject>
      </mc:Choice>
      <mc:Fallback>
        <oleObject progId="Word.Document.12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C1" workbookViewId="0">
      <selection activeCell="D2" sqref="D2:N3"/>
    </sheetView>
  </sheetViews>
  <sheetFormatPr baseColWidth="10" defaultRowHeight="12.75" x14ac:dyDescent="0.2"/>
  <sheetData/>
  <phoneticPr fontId="2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m</dc:creator>
  <cp:lastModifiedBy>Ionómica II</cp:lastModifiedBy>
  <cp:lastPrinted>2011-05-05T10:15:08Z</cp:lastPrinted>
  <dcterms:created xsi:type="dcterms:W3CDTF">2006-05-30T08:16:12Z</dcterms:created>
  <dcterms:modified xsi:type="dcterms:W3CDTF">2022-03-31T10:07:42Z</dcterms:modified>
</cp:coreProperties>
</file>