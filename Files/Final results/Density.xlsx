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Final results/"/>
    </mc:Choice>
  </mc:AlternateContent>
  <xr:revisionPtr revIDLastSave="7" documentId="8_{3F189841-D9CD-4192-A7FD-D4A3D8266837}" xr6:coauthVersionLast="46" xr6:coauthVersionMax="46" xr10:uidLastSave="{FDC2C07D-F5B1-4353-AFF0-6DA57B3D6588}"/>
  <bookViews>
    <workbookView xWindow="7800" yWindow="4110" windowWidth="23175" windowHeight="13530" xr2:uid="{67E1276A-F78E-496B-9840-9F31ACDB5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12" i="1"/>
</calcChain>
</file>

<file path=xl/sharedStrings.xml><?xml version="1.0" encoding="utf-8"?>
<sst xmlns="http://schemas.openxmlformats.org/spreadsheetml/2006/main" count="86" uniqueCount="33">
  <si>
    <t>AA_01_1</t>
  </si>
  <si>
    <t xml:space="preserve"> "AA_01_2"</t>
  </si>
  <si>
    <t xml:space="preserve"> "AA_01_4"</t>
  </si>
  <si>
    <t xml:space="preserve"> "AA_10_1"</t>
  </si>
  <si>
    <t xml:space="preserve"> "AA_10_2"</t>
  </si>
  <si>
    <t xml:space="preserve"> "AA_10_4"</t>
  </si>
  <si>
    <t xml:space="preserve"> "AA_25_1"</t>
  </si>
  <si>
    <t xml:space="preserve"> "AA_25_2"</t>
  </si>
  <si>
    <t xml:space="preserve"> "AA_25_4"</t>
  </si>
  <si>
    <t xml:space="preserve"> "FS_01_1"</t>
  </si>
  <si>
    <t xml:space="preserve"> "FS_01_2"</t>
  </si>
  <si>
    <t xml:space="preserve"> "FS_01_4"</t>
  </si>
  <si>
    <t xml:space="preserve"> "FS_10_1"</t>
  </si>
  <si>
    <t xml:space="preserve"> "FS_10_2"</t>
  </si>
  <si>
    <t xml:space="preserve"> "FS_10_4"</t>
  </si>
  <si>
    <t xml:space="preserve"> "FS_25_1"</t>
  </si>
  <si>
    <t xml:space="preserve"> "FS_25_2"</t>
  </si>
  <si>
    <t xml:space="preserve"> "FS_25_4"</t>
  </si>
  <si>
    <t xml:space="preserve"> "NA_NA_NA")</t>
  </si>
  <si>
    <t>NA</t>
  </si>
  <si>
    <t xml:space="preserve"> NA</t>
  </si>
  <si>
    <t xml:space="preserve"> NA)</t>
  </si>
  <si>
    <t xml:space="preserve"> 0.665346067)</t>
  </si>
  <si>
    <t xml:space="preserve"> 1)</t>
  </si>
  <si>
    <t>Mean</t>
  </si>
  <si>
    <t>Sd</t>
  </si>
  <si>
    <t>n</t>
  </si>
  <si>
    <t>se</t>
  </si>
  <si>
    <t>Species</t>
  </si>
  <si>
    <t>Diameter</t>
  </si>
  <si>
    <t>Class</t>
  </si>
  <si>
    <t>AA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</si>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</sst>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2812320897242409E-2"/>
          <c:y val="9.5187131089057533E-2"/>
          <c:w val="0.8629275571791839"/>
          <c:h val="0.81593193593111502"/>
        </c:manualLayout>
      </c:layout>
      <c:barChart>
        <c:barDir val="col"/>
        <c:grouping val="clustered"/>
        <c:varyColors val="0"/>
        <c:ser>
          <c:idx val="0"/>
          <c:order val="0"/>
          <c:tx>
            <c:v>AA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Sheet1!$L$12:$L$14</c:f>
                <c:numCache>
                  <c:formatCode>General</c:formatCode>
                  <c:ptCount val="3"/>
                  <c:pt idx="0">
                    <c:v>8.9682946210934752E-3</c:v>
                  </c:pt>
                  <c:pt idx="1">
                    <c:v>1.8170677095543392E-2</c:v>
                  </c:pt>
                  <c:pt idx="2">
                    <c:v>0.11576157640451126</c:v>
                  </c:pt>
                </c:numCache>
              </c:numRef>
            </c:plus>
            <c:minus>
              <c:numRef>
                <c:f>Sheet1!$L$12:$L$14</c:f>
                <c:numCache>
                  <c:formatCode>General</c:formatCode>
                  <c:ptCount val="3"/>
                  <c:pt idx="0">
                    <c:v>8.9682946210934752E-3</c:v>
                  </c:pt>
                  <c:pt idx="1">
                    <c:v>1.8170677095543392E-2</c:v>
                  </c:pt>
                  <c:pt idx="2">
                    <c:v>0.11576157640451126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Sheet1!$I$12:$I$14</c:f>
              <c:numCache>
                <c:formatCode>General</c:formatCode>
                <c:ptCount val="3"/>
                <c:pt idx="0">
                  <c:v>0.67206360189090897</c:v>
                </c:pt>
                <c:pt idx="1">
                  <c:v>0.68631734728070204</c:v>
                </c:pt>
                <c:pt idx="2">
                  <c:v>0.84438534314035096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D-4F27-B49E-29C14CAF445F}"/>
            </c:ext>
          </c:extLst>
        </c:ser>
        <c:ser>
          <c:idx val="1"/>
          <c:order val="1"/>
          <c:tx>
            <c:v>FS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Sheet1!$L$21:$L$23</c:f>
                <c:numCache>
                  <c:formatCode>General</c:formatCode>
                  <c:ptCount val="3"/>
                  <c:pt idx="0">
                    <c:v>8.1263332175904486E-3</c:v>
                  </c:pt>
                  <c:pt idx="1">
                    <c:v>1.0201912464953968E-2</c:v>
                  </c:pt>
                  <c:pt idx="2">
                    <c:v>1.2136588460360568E-2</c:v>
                  </c:pt>
                </c:numCache>
              </c:numRef>
            </c:plus>
            <c:minus>
              <c:numRef>
                <c:f>Sheet1!$L$21:$L$23</c:f>
                <c:numCache>
                  <c:formatCode>General</c:formatCode>
                  <c:ptCount val="3"/>
                  <c:pt idx="0">
                    <c:v>8.1263332175904486E-3</c:v>
                  </c:pt>
                  <c:pt idx="1">
                    <c:v>1.0201912464953968E-2</c:v>
                  </c:pt>
                  <c:pt idx="2">
                    <c:v>1.2136588460360568E-2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Sheet1!$I$21:$I$23</c:f>
              <c:numCache>
                <c:formatCode>General</c:formatCode>
                <c:ptCount val="3"/>
                <c:pt idx="0">
                  <c:v>0.69685788962711903</c:v>
                </c:pt>
                <c:pt idx="1">
                  <c:v>0.70797441527586202</c:v>
                </c:pt>
                <c:pt idx="2">
                  <c:v>0.65625973955932204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D-4F27-B49E-29C14CAF4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576304"/>
        <c:axId val="651573352"/>
      </c:barChart>
      <c:catAx>
        <c:axId val="65157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3352"/>
        <c:crosses val="autoZero"/>
        <c:auto val="1"/>
        <c:lblAlgn val="ctr"/>
        <c:lblOffset val="100"/>
        <c:noMultiLvlLbl val="0"/>
      </c:catAx>
      <c:valAx>
        <c:axId val="6515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Density</a:t>
                </a:r>
                <a:r>
                  <a:rPr lang="es-ES" baseline="0"/>
                  <a:t> (g/cm</a:t>
                </a:r>
                <a:r>
                  <a:rPr lang="es-ES" baseline="30000"/>
                  <a:t>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10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2812320897242409E-2"/>
          <c:y val="9.5187131089057533E-2"/>
          <c:w val="0.8629275571791839"/>
          <c:h val="0.815931935931115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Sheet1!$L$15:$L$17</c:f>
                <c:numCache>
                  <c:formatCode>General</c:formatCode>
                  <c:ptCount val="3"/>
                  <c:pt idx="0">
                    <c:v>1.4451736925656005E-2</c:v>
                  </c:pt>
                  <c:pt idx="1">
                    <c:v>1.5260451401459624E-2</c:v>
                  </c:pt>
                  <c:pt idx="2">
                    <c:v>4.6503471566444493E-2</c:v>
                  </c:pt>
                </c:numCache>
              </c:numRef>
            </c:plus>
            <c:minus>
              <c:numRef>
                <c:f>Sheet1!$L$15:$L$17</c:f>
                <c:numCache>
                  <c:formatCode>General</c:formatCode>
                  <c:ptCount val="3"/>
                  <c:pt idx="0">
                    <c:v>1.4451736925656005E-2</c:v>
                  </c:pt>
                  <c:pt idx="1">
                    <c:v>1.5260451401459624E-2</c:v>
                  </c:pt>
                  <c:pt idx="2">
                    <c:v>4.6503471566444493E-2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Sheet1!$I$15:$I$17</c:f>
              <c:numCache>
                <c:formatCode>General</c:formatCode>
                <c:ptCount val="3"/>
                <c:pt idx="0">
                  <c:v>0.51842516510000003</c:v>
                </c:pt>
                <c:pt idx="1">
                  <c:v>0.52047378405</c:v>
                </c:pt>
                <c:pt idx="2">
                  <c:v>0.51644861645454498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6-4270-8111-B491DD4D3A1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Sheet1!$L$24:$L$26</c:f>
                <c:numCache>
                  <c:formatCode>General</c:formatCode>
                  <c:ptCount val="3"/>
                  <c:pt idx="0">
                    <c:v>1.4962918430854901E-2</c:v>
                  </c:pt>
                  <c:pt idx="1">
                    <c:v>1.2365270721714072E-2</c:v>
                  </c:pt>
                  <c:pt idx="2">
                    <c:v>3.3317394309910778E-2</c:v>
                  </c:pt>
                </c:numCache>
              </c:numRef>
            </c:plus>
            <c:minus>
              <c:numRef>
                <c:f>Sheet1!$L$24:$L$26</c:f>
                <c:numCache>
                  <c:formatCode>General</c:formatCode>
                  <c:ptCount val="3"/>
                  <c:pt idx="0">
                    <c:v>1.4962918430854901E-2</c:v>
                  </c:pt>
                  <c:pt idx="1">
                    <c:v>1.2365270721714072E-2</c:v>
                  </c:pt>
                  <c:pt idx="2">
                    <c:v>3.3317394309910778E-2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Sheet1!$I$24:$I$26</c:f>
              <c:numCache>
                <c:formatCode>General</c:formatCode>
                <c:ptCount val="3"/>
                <c:pt idx="0">
                  <c:v>0.73887113073684196</c:v>
                </c:pt>
                <c:pt idx="1">
                  <c:v>0.70539919019999997</c:v>
                </c:pt>
                <c:pt idx="2">
                  <c:v>0.64720661188888895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6-4270-8111-B491DD4D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576304"/>
        <c:axId val="651573352"/>
      </c:barChart>
      <c:catAx>
        <c:axId val="65157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3352"/>
        <c:crosses val="autoZero"/>
        <c:auto val="1"/>
        <c:lblAlgn val="ctr"/>
        <c:lblOffset val="100"/>
        <c:noMultiLvlLbl val="0"/>
      </c:catAx>
      <c:valAx>
        <c:axId val="6515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Density</a:t>
                </a:r>
                <a:r>
                  <a:rPr lang="es-ES" baseline="0"/>
                  <a:t> (g/cm</a:t>
                </a:r>
                <a:r>
                  <a:rPr lang="es-ES" baseline="30000"/>
                  <a:t>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25 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2812320897242409E-2"/>
          <c:y val="9.5187131089057533E-2"/>
          <c:w val="0.8629275571791839"/>
          <c:h val="0.815931935931115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Sheet1!$L$18:$L$20</c:f>
                <c:numCache>
                  <c:formatCode>General</c:formatCode>
                  <c:ptCount val="3"/>
                  <c:pt idx="0">
                    <c:v>2.3443000279968831E-2</c:v>
                  </c:pt>
                  <c:pt idx="1">
                    <c:v>3.2386707392509255E-2</c:v>
                  </c:pt>
                  <c:pt idx="2">
                    <c:v>4.4043945429868246E-2</c:v>
                  </c:pt>
                </c:numCache>
              </c:numRef>
            </c:plus>
            <c:minus>
              <c:numRef>
                <c:f>Sheet1!$L$18:$L$21</c:f>
                <c:numCache>
                  <c:formatCode>General</c:formatCode>
                  <c:ptCount val="4"/>
                  <c:pt idx="0">
                    <c:v>2.3443000279968831E-2</c:v>
                  </c:pt>
                  <c:pt idx="1">
                    <c:v>3.2386707392509255E-2</c:v>
                  </c:pt>
                  <c:pt idx="2">
                    <c:v>4.4043945429868246E-2</c:v>
                  </c:pt>
                  <c:pt idx="3">
                    <c:v>8.1263332175904486E-3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Sheet1!$I$18:$I$20</c:f>
              <c:numCache>
                <c:formatCode>General</c:formatCode>
                <c:ptCount val="3"/>
                <c:pt idx="0">
                  <c:v>0.49979473793333301</c:v>
                </c:pt>
                <c:pt idx="1">
                  <c:v>0.4876739296</c:v>
                </c:pt>
                <c:pt idx="2">
                  <c:v>0.55665059240000003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5-47E2-8E04-E668971AFD8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Sheet1!$L$27:$L$29</c:f>
                <c:numCache>
                  <c:formatCode>General</c:formatCode>
                  <c:ptCount val="3"/>
                  <c:pt idx="0">
                    <c:v>3.6065776596025771E-2</c:v>
                  </c:pt>
                  <c:pt idx="1">
                    <c:v>9.8674493891906995E-2</c:v>
                  </c:pt>
                  <c:pt idx="2">
                    <c:v>6.6907202880471792E-2</c:v>
                  </c:pt>
                </c:numCache>
              </c:numRef>
            </c:plus>
            <c:minus>
              <c:numRef>
                <c:f>Sheet1!$L$27:$L$29</c:f>
                <c:numCache>
                  <c:formatCode>General</c:formatCode>
                  <c:ptCount val="3"/>
                  <c:pt idx="0">
                    <c:v>3.6065776596025771E-2</c:v>
                  </c:pt>
                  <c:pt idx="1">
                    <c:v>9.8674493891906995E-2</c:v>
                  </c:pt>
                  <c:pt idx="2">
                    <c:v>6.6907202880471792E-2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Sheet1!$G$12:$G$14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Sheet1!$I$27:$I$29</c:f>
              <c:numCache>
                <c:formatCode>General</c:formatCode>
                <c:ptCount val="3"/>
                <c:pt idx="0">
                  <c:v>0.72547825215384598</c:v>
                </c:pt>
                <c:pt idx="1">
                  <c:v>0.87235610856250001</c:v>
                </c:pt>
                <c:pt idx="2">
                  <c:v>0.66420312392857095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5-47E2-8E04-E668971AF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1576304"/>
        <c:axId val="651573352"/>
      </c:barChart>
      <c:catAx>
        <c:axId val="651576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3352"/>
        <c:crosses val="autoZero"/>
        <c:auto val="1"/>
        <c:lblAlgn val="ctr"/>
        <c:lblOffset val="100"/>
        <c:noMultiLvlLbl val="0"/>
      </c:catAx>
      <c:valAx>
        <c:axId val="65157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Density</a:t>
                </a:r>
                <a:r>
                  <a:rPr lang="es-ES" baseline="0"/>
                  <a:t> (g/cm</a:t>
                </a:r>
                <a:r>
                  <a:rPr lang="es-ES" baseline="30000"/>
                  <a:t>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15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524398</xdr:colOff>
      <xdr:row>8</xdr:row>
      <xdr:rowOff>144445</xdr:rowOff>
    </xdr:from>
    <xdr:to>
      <xdr:col>23</xdr:col>
      <xdr:colOff>131938</xdr:colOff>
      <xdr:row>29</xdr:row>
      <xdr:rowOff>90697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92232-0968-407E-97CB-36A2F99E7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319151</xdr:colOff>
      <xdr:row>8</xdr:row>
      <xdr:rowOff>163284</xdr:rowOff>
    </xdr:from>
    <xdr:to>
      <xdr:col>33</xdr:col>
      <xdr:colOff>532827</xdr:colOff>
      <xdr:row>29</xdr:row>
      <xdr:rowOff>109536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7A285C-8B88-4249-A38C-EDCF78906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567790</xdr:colOff>
      <xdr:row>8</xdr:row>
      <xdr:rowOff>155863</xdr:rowOff>
    </xdr:from>
    <xdr:to>
      <xdr:col>44</xdr:col>
      <xdr:colOff>175331</xdr:colOff>
      <xdr:row>29</xdr:row>
      <xdr:rowOff>102115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705D62-9E67-4BC7-8A15-AD1B382F4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064F-258E-48BB-BBE3-6BD5ED3C45C0}">
  <dimension ref="B1:T29"/>
  <sheetViews>
    <sheetView tabSelected="1" topLeftCell="R1" zoomScale="70" zoomScaleNormal="70" workbookViewId="0">
      <selection activeCell="AI38" sqref="AI38"/>
    </sheetView>
  </sheetViews>
  <sheetFormatPr defaultRowHeight="15" x14ac:dyDescent="0.25"/>
  <cols>
    <col min="6" max="6" width="14.28515625" customWidth="1"/>
  </cols>
  <sheetData>
    <row r="1" spans="2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2:20" x14ac:dyDescent="0.25"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21</v>
      </c>
    </row>
    <row r="3" spans="2:20" x14ac:dyDescent="0.25">
      <c r="B3">
        <v>0.67206360189090897</v>
      </c>
      <c r="C3">
        <v>0.68631734728070204</v>
      </c>
      <c r="D3">
        <v>0.84438534314035096</v>
      </c>
      <c r="E3">
        <v>0.51842516510000003</v>
      </c>
      <c r="F3">
        <v>0.52047378405</v>
      </c>
      <c r="G3">
        <v>0.51644861645454498</v>
      </c>
      <c r="H3">
        <v>0.49979473793333301</v>
      </c>
      <c r="I3">
        <v>0.4876739296</v>
      </c>
      <c r="J3">
        <v>0.55665059240000003</v>
      </c>
      <c r="K3">
        <v>0.69685788962711903</v>
      </c>
      <c r="L3">
        <v>0.70797441527586202</v>
      </c>
      <c r="M3">
        <v>0.65625973955932204</v>
      </c>
      <c r="N3">
        <v>0.73887113073684196</v>
      </c>
      <c r="O3">
        <v>0.70539919019999997</v>
      </c>
      <c r="P3">
        <v>0.64720661188888895</v>
      </c>
      <c r="Q3">
        <v>0.72547825215384598</v>
      </c>
      <c r="R3">
        <v>0.87235610856250001</v>
      </c>
      <c r="S3">
        <v>0.66420312392857095</v>
      </c>
      <c r="T3" t="s">
        <v>22</v>
      </c>
    </row>
    <row r="4" spans="2:20" x14ac:dyDescent="0.25">
      <c r="B4">
        <v>165.116610156262</v>
      </c>
      <c r="C4">
        <v>181.62970123558301</v>
      </c>
      <c r="D4">
        <v>192.647230745174</v>
      </c>
      <c r="E4">
        <v>134.57167919776199</v>
      </c>
      <c r="F4">
        <v>132.28457164286701</v>
      </c>
      <c r="G4">
        <v>174.65474290948799</v>
      </c>
      <c r="H4">
        <v>130.38503419816701</v>
      </c>
      <c r="I4">
        <v>130.38503419816701</v>
      </c>
      <c r="J4">
        <v>130.38503419816701</v>
      </c>
      <c r="K4">
        <v>192.76606014820501</v>
      </c>
      <c r="L4">
        <v>186.485878174785</v>
      </c>
      <c r="M4">
        <v>192.508026201397</v>
      </c>
      <c r="N4">
        <v>129.46694581428699</v>
      </c>
      <c r="O4">
        <v>136.508569231694</v>
      </c>
      <c r="P4">
        <v>130.72567695131301</v>
      </c>
      <c r="Q4">
        <v>138.121926813474</v>
      </c>
      <c r="R4">
        <v>122.840750567554</v>
      </c>
      <c r="S4">
        <v>127.43651727062399</v>
      </c>
      <c r="T4" t="s">
        <v>21</v>
      </c>
    </row>
    <row r="5" spans="2:20" x14ac:dyDescent="0.25">
      <c r="B5">
        <v>6.65106530007816E-2</v>
      </c>
      <c r="C5">
        <v>0.13718560364811899</v>
      </c>
      <c r="D5">
        <v>0.87398073582000502</v>
      </c>
      <c r="E5">
        <v>6.4630132317421304E-2</v>
      </c>
      <c r="F5">
        <v>6.8246813401991305E-2</v>
      </c>
      <c r="G5">
        <v>0.218120615921752</v>
      </c>
      <c r="H5">
        <v>9.0794349669455099E-2</v>
      </c>
      <c r="I5">
        <v>0.12543317836968099</v>
      </c>
      <c r="J5">
        <v>0.170581467151148</v>
      </c>
      <c r="K5">
        <v>6.2419549840058298E-2</v>
      </c>
      <c r="L5">
        <v>7.7695450578974201E-2</v>
      </c>
      <c r="M5">
        <v>9.3222904845929794E-2</v>
      </c>
      <c r="N5">
        <v>6.5221849340538707E-2</v>
      </c>
      <c r="O5">
        <v>5.5299171787881102E-2</v>
      </c>
      <c r="P5">
        <v>0.14135373268802401</v>
      </c>
      <c r="Q5">
        <v>0.13003700680640001</v>
      </c>
      <c r="R5">
        <v>0.39469797556762798</v>
      </c>
      <c r="S5">
        <v>0.25034382988609999</v>
      </c>
      <c r="T5" t="s">
        <v>21</v>
      </c>
    </row>
    <row r="6" spans="2:20" x14ac:dyDescent="0.25">
      <c r="B6">
        <v>55</v>
      </c>
      <c r="C6">
        <v>57</v>
      </c>
      <c r="D6">
        <v>57</v>
      </c>
      <c r="E6">
        <v>20</v>
      </c>
      <c r="F6">
        <v>20</v>
      </c>
      <c r="G6">
        <v>22</v>
      </c>
      <c r="H6">
        <v>15</v>
      </c>
      <c r="I6">
        <v>15</v>
      </c>
      <c r="J6">
        <v>15</v>
      </c>
      <c r="K6">
        <v>59</v>
      </c>
      <c r="L6">
        <v>58</v>
      </c>
      <c r="M6">
        <v>59</v>
      </c>
      <c r="N6">
        <v>19</v>
      </c>
      <c r="O6">
        <v>20</v>
      </c>
      <c r="P6">
        <v>18</v>
      </c>
      <c r="Q6">
        <v>13</v>
      </c>
      <c r="R6">
        <v>16</v>
      </c>
      <c r="S6">
        <v>14</v>
      </c>
      <c r="T6" t="s">
        <v>23</v>
      </c>
    </row>
    <row r="7" spans="2:20" x14ac:dyDescent="0.25">
      <c r="B7">
        <v>55</v>
      </c>
      <c r="C7">
        <v>57</v>
      </c>
      <c r="D7">
        <v>57</v>
      </c>
      <c r="E7">
        <v>20</v>
      </c>
      <c r="F7">
        <v>20</v>
      </c>
      <c r="G7">
        <v>22</v>
      </c>
      <c r="H7">
        <v>15</v>
      </c>
      <c r="I7">
        <v>15</v>
      </c>
      <c r="J7">
        <v>15</v>
      </c>
      <c r="K7">
        <v>59</v>
      </c>
      <c r="L7">
        <v>58</v>
      </c>
      <c r="M7">
        <v>59</v>
      </c>
      <c r="N7">
        <v>19</v>
      </c>
      <c r="O7">
        <v>20</v>
      </c>
      <c r="P7">
        <v>18</v>
      </c>
      <c r="Q7">
        <v>13</v>
      </c>
      <c r="R7">
        <v>16</v>
      </c>
      <c r="S7">
        <v>14</v>
      </c>
      <c r="T7" t="s">
        <v>23</v>
      </c>
    </row>
    <row r="11" spans="2:20" x14ac:dyDescent="0.25">
      <c r="E11" t="s">
        <v>28</v>
      </c>
      <c r="F11" t="s">
        <v>29</v>
      </c>
      <c r="G11" t="s">
        <v>30</v>
      </c>
      <c r="I11" t="s">
        <v>24</v>
      </c>
      <c r="J11" t="s">
        <v>25</v>
      </c>
      <c r="K11" t="s">
        <v>26</v>
      </c>
      <c r="L11" t="s">
        <v>27</v>
      </c>
    </row>
    <row r="12" spans="2:20" x14ac:dyDescent="0.25">
      <c r="E12" t="s">
        <v>31</v>
      </c>
      <c r="F12">
        <v>1</v>
      </c>
      <c r="G12">
        <v>1</v>
      </c>
      <c r="H12" t="s">
        <v>0</v>
      </c>
      <c r="I12">
        <v>0.67206360189090897</v>
      </c>
      <c r="J12">
        <v>6.65106530007816E-2</v>
      </c>
      <c r="K12">
        <v>55</v>
      </c>
      <c r="L12">
        <f>J12/SQRT(K12)</f>
        <v>8.9682946210934752E-3</v>
      </c>
    </row>
    <row r="13" spans="2:20" x14ac:dyDescent="0.25">
      <c r="E13" t="s">
        <v>31</v>
      </c>
      <c r="F13">
        <v>1</v>
      </c>
      <c r="G13">
        <v>2</v>
      </c>
      <c r="H13" t="s">
        <v>1</v>
      </c>
      <c r="I13">
        <v>0.68631734728070204</v>
      </c>
      <c r="J13">
        <v>0.13718560364811899</v>
      </c>
      <c r="K13">
        <v>57</v>
      </c>
      <c r="L13">
        <f t="shared" ref="L13:L29" si="0">J13/SQRT(K13)</f>
        <v>1.8170677095543392E-2</v>
      </c>
    </row>
    <row r="14" spans="2:20" x14ac:dyDescent="0.25">
      <c r="E14" t="s">
        <v>31</v>
      </c>
      <c r="F14">
        <v>1</v>
      </c>
      <c r="G14">
        <v>4</v>
      </c>
      <c r="H14" t="s">
        <v>2</v>
      </c>
      <c r="I14">
        <v>0.84438534314035096</v>
      </c>
      <c r="J14">
        <v>0.87398073582000502</v>
      </c>
      <c r="K14">
        <v>57</v>
      </c>
      <c r="L14">
        <f t="shared" si="0"/>
        <v>0.11576157640451126</v>
      </c>
    </row>
    <row r="15" spans="2:20" x14ac:dyDescent="0.25">
      <c r="E15" t="s">
        <v>31</v>
      </c>
      <c r="F15">
        <v>10</v>
      </c>
      <c r="G15">
        <v>1</v>
      </c>
      <c r="H15" t="s">
        <v>3</v>
      </c>
      <c r="I15">
        <v>0.51842516510000003</v>
      </c>
      <c r="J15">
        <v>6.4630132317421304E-2</v>
      </c>
      <c r="K15">
        <v>20</v>
      </c>
      <c r="L15">
        <f t="shared" si="0"/>
        <v>1.4451736925656005E-2</v>
      </c>
    </row>
    <row r="16" spans="2:20" x14ac:dyDescent="0.25">
      <c r="E16" t="s">
        <v>31</v>
      </c>
      <c r="F16">
        <v>10</v>
      </c>
      <c r="G16">
        <v>2</v>
      </c>
      <c r="H16" t="s">
        <v>4</v>
      </c>
      <c r="I16">
        <v>0.52047378405</v>
      </c>
      <c r="J16">
        <v>6.8246813401991305E-2</v>
      </c>
      <c r="K16">
        <v>20</v>
      </c>
      <c r="L16">
        <f t="shared" si="0"/>
        <v>1.5260451401459624E-2</v>
      </c>
    </row>
    <row r="17" spans="5:12" x14ac:dyDescent="0.25">
      <c r="E17" t="s">
        <v>31</v>
      </c>
      <c r="F17">
        <v>10</v>
      </c>
      <c r="G17">
        <v>4</v>
      </c>
      <c r="H17" t="s">
        <v>5</v>
      </c>
      <c r="I17">
        <v>0.51644861645454498</v>
      </c>
      <c r="J17">
        <v>0.218120615921752</v>
      </c>
      <c r="K17">
        <v>22</v>
      </c>
      <c r="L17">
        <f t="shared" si="0"/>
        <v>4.6503471566444493E-2</v>
      </c>
    </row>
    <row r="18" spans="5:12" x14ac:dyDescent="0.25">
      <c r="E18" t="s">
        <v>31</v>
      </c>
      <c r="F18">
        <v>25</v>
      </c>
      <c r="G18">
        <v>1</v>
      </c>
      <c r="H18" t="s">
        <v>6</v>
      </c>
      <c r="I18">
        <v>0.49979473793333301</v>
      </c>
      <c r="J18">
        <v>9.0794349669455099E-2</v>
      </c>
      <c r="K18">
        <v>15</v>
      </c>
      <c r="L18">
        <f t="shared" si="0"/>
        <v>2.3443000279968831E-2</v>
      </c>
    </row>
    <row r="19" spans="5:12" x14ac:dyDescent="0.25">
      <c r="E19" t="s">
        <v>31</v>
      </c>
      <c r="F19">
        <v>25</v>
      </c>
      <c r="G19">
        <v>2</v>
      </c>
      <c r="H19" t="s">
        <v>7</v>
      </c>
      <c r="I19">
        <v>0.4876739296</v>
      </c>
      <c r="J19">
        <v>0.12543317836968099</v>
      </c>
      <c r="K19">
        <v>15</v>
      </c>
      <c r="L19">
        <f t="shared" si="0"/>
        <v>3.2386707392509255E-2</v>
      </c>
    </row>
    <row r="20" spans="5:12" x14ac:dyDescent="0.25">
      <c r="E20" t="s">
        <v>31</v>
      </c>
      <c r="F20">
        <v>25</v>
      </c>
      <c r="G20">
        <v>4</v>
      </c>
      <c r="H20" t="s">
        <v>8</v>
      </c>
      <c r="I20">
        <v>0.55665059240000003</v>
      </c>
      <c r="J20">
        <v>0.170581467151148</v>
      </c>
      <c r="K20">
        <v>15</v>
      </c>
      <c r="L20">
        <f t="shared" si="0"/>
        <v>4.4043945429868246E-2</v>
      </c>
    </row>
    <row r="21" spans="5:12" x14ac:dyDescent="0.25">
      <c r="E21" t="s">
        <v>32</v>
      </c>
      <c r="F21">
        <v>1</v>
      </c>
      <c r="G21">
        <v>1</v>
      </c>
      <c r="H21" t="s">
        <v>9</v>
      </c>
      <c r="I21">
        <v>0.69685788962711903</v>
      </c>
      <c r="J21">
        <v>6.2419549840058298E-2</v>
      </c>
      <c r="K21">
        <v>59</v>
      </c>
      <c r="L21">
        <f t="shared" si="0"/>
        <v>8.1263332175904486E-3</v>
      </c>
    </row>
    <row r="22" spans="5:12" x14ac:dyDescent="0.25">
      <c r="E22" t="s">
        <v>32</v>
      </c>
      <c r="F22">
        <v>1</v>
      </c>
      <c r="G22">
        <v>2</v>
      </c>
      <c r="H22" t="s">
        <v>10</v>
      </c>
      <c r="I22">
        <v>0.70797441527586202</v>
      </c>
      <c r="J22">
        <v>7.7695450578974201E-2</v>
      </c>
      <c r="K22">
        <v>58</v>
      </c>
      <c r="L22">
        <f t="shared" si="0"/>
        <v>1.0201912464953968E-2</v>
      </c>
    </row>
    <row r="23" spans="5:12" x14ac:dyDescent="0.25">
      <c r="E23" t="s">
        <v>32</v>
      </c>
      <c r="F23">
        <v>1</v>
      </c>
      <c r="G23">
        <v>4</v>
      </c>
      <c r="H23" t="s">
        <v>11</v>
      </c>
      <c r="I23">
        <v>0.65625973955932204</v>
      </c>
      <c r="J23">
        <v>9.3222904845929794E-2</v>
      </c>
      <c r="K23">
        <v>59</v>
      </c>
      <c r="L23">
        <f t="shared" si="0"/>
        <v>1.2136588460360568E-2</v>
      </c>
    </row>
    <row r="24" spans="5:12" x14ac:dyDescent="0.25">
      <c r="E24" t="s">
        <v>32</v>
      </c>
      <c r="F24">
        <v>10</v>
      </c>
      <c r="G24">
        <v>1</v>
      </c>
      <c r="H24" t="s">
        <v>12</v>
      </c>
      <c r="I24">
        <v>0.73887113073684196</v>
      </c>
      <c r="J24">
        <v>6.5221849340538707E-2</v>
      </c>
      <c r="K24">
        <v>19</v>
      </c>
      <c r="L24">
        <f t="shared" si="0"/>
        <v>1.4962918430854901E-2</v>
      </c>
    </row>
    <row r="25" spans="5:12" x14ac:dyDescent="0.25">
      <c r="E25" t="s">
        <v>32</v>
      </c>
      <c r="F25">
        <v>10</v>
      </c>
      <c r="G25">
        <v>2</v>
      </c>
      <c r="H25" t="s">
        <v>13</v>
      </c>
      <c r="I25">
        <v>0.70539919019999997</v>
      </c>
      <c r="J25">
        <v>5.5299171787881102E-2</v>
      </c>
      <c r="K25">
        <v>20</v>
      </c>
      <c r="L25">
        <f t="shared" si="0"/>
        <v>1.2365270721714072E-2</v>
      </c>
    </row>
    <row r="26" spans="5:12" x14ac:dyDescent="0.25">
      <c r="E26" t="s">
        <v>32</v>
      </c>
      <c r="F26">
        <v>10</v>
      </c>
      <c r="G26">
        <v>4</v>
      </c>
      <c r="H26" t="s">
        <v>14</v>
      </c>
      <c r="I26">
        <v>0.64720661188888895</v>
      </c>
      <c r="J26">
        <v>0.14135373268802401</v>
      </c>
      <c r="K26">
        <v>18</v>
      </c>
      <c r="L26">
        <f t="shared" si="0"/>
        <v>3.3317394309910778E-2</v>
      </c>
    </row>
    <row r="27" spans="5:12" x14ac:dyDescent="0.25">
      <c r="E27" t="s">
        <v>32</v>
      </c>
      <c r="F27">
        <v>25</v>
      </c>
      <c r="G27">
        <v>1</v>
      </c>
      <c r="H27" t="s">
        <v>15</v>
      </c>
      <c r="I27">
        <v>0.72547825215384598</v>
      </c>
      <c r="J27">
        <v>0.13003700680640001</v>
      </c>
      <c r="K27">
        <v>13</v>
      </c>
      <c r="L27">
        <f t="shared" si="0"/>
        <v>3.6065776596025771E-2</v>
      </c>
    </row>
    <row r="28" spans="5:12" x14ac:dyDescent="0.25">
      <c r="E28" t="s">
        <v>32</v>
      </c>
      <c r="F28">
        <v>25</v>
      </c>
      <c r="G28">
        <v>2</v>
      </c>
      <c r="H28" t="s">
        <v>16</v>
      </c>
      <c r="I28">
        <v>0.87235610856250001</v>
      </c>
      <c r="J28">
        <v>0.39469797556762798</v>
      </c>
      <c r="K28">
        <v>16</v>
      </c>
      <c r="L28">
        <f t="shared" si="0"/>
        <v>9.8674493891906995E-2</v>
      </c>
    </row>
    <row r="29" spans="5:12" x14ac:dyDescent="0.25">
      <c r="E29" t="s">
        <v>32</v>
      </c>
      <c r="F29">
        <v>25</v>
      </c>
      <c r="G29">
        <v>4</v>
      </c>
      <c r="H29" t="s">
        <v>17</v>
      </c>
      <c r="I29">
        <v>0.66420312392857095</v>
      </c>
      <c r="J29">
        <v>0.25034382988609999</v>
      </c>
      <c r="K29">
        <v>14</v>
      </c>
      <c r="L29">
        <f t="shared" si="0"/>
        <v>6.6907202880471792E-2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Buezo Bravo</dc:creator>
  <cp:lastModifiedBy>Javier Buezo Bravo</cp:lastModifiedBy>
  <dcterms:created xsi:type="dcterms:W3CDTF">2022-01-17T15:44:58Z</dcterms:created>
  <dcterms:modified xsi:type="dcterms:W3CDTF">2022-01-17T16:06:26Z</dcterms:modified>
</cp:coreProperties>
</file>