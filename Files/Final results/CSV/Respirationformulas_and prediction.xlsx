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Final results\CSV\"/>
    </mc:Choice>
  </mc:AlternateContent>
  <xr:revisionPtr revIDLastSave="0" documentId="13_ncr:1_{17545ECE-7404-425E-8C46-3B43CC9DE31C}" xr6:coauthVersionLast="47" xr6:coauthVersionMax="47" xr10:uidLastSave="{00000000-0000-0000-0000-000000000000}"/>
  <bookViews>
    <workbookView minimized="1" xWindow="2670" yWindow="3870" windowWidth="28800" windowHeight="15435" xr2:uid="{EC8D21CC-6140-415A-A63F-F6947D268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9" i="1"/>
  <c r="F19" i="1"/>
  <c r="F16" i="1"/>
  <c r="F13" i="1"/>
  <c r="F10" i="1"/>
  <c r="F7" i="1"/>
  <c r="F4" i="1"/>
  <c r="E2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</calcChain>
</file>

<file path=xl/sharedStrings.xml><?xml version="1.0" encoding="utf-8"?>
<sst xmlns="http://schemas.openxmlformats.org/spreadsheetml/2006/main" count="25" uniqueCount="25">
  <si>
    <t>1AA1</t>
  </si>
  <si>
    <t>1AA2</t>
  </si>
  <si>
    <t>1AA4</t>
  </si>
  <si>
    <t>10AA1</t>
  </si>
  <si>
    <t>10AA2</t>
  </si>
  <si>
    <t>10AA4</t>
  </si>
  <si>
    <t>25AA1</t>
  </si>
  <si>
    <t>25AA2</t>
  </si>
  <si>
    <t>25AA4</t>
  </si>
  <si>
    <t>1FS1</t>
  </si>
  <si>
    <t>1FS2</t>
  </si>
  <si>
    <t>1FS4</t>
  </si>
  <si>
    <t>10FS2</t>
  </si>
  <si>
    <t>10FS1</t>
  </si>
  <si>
    <t>10FS4</t>
  </si>
  <si>
    <t>type</t>
  </si>
  <si>
    <t>a</t>
  </si>
  <si>
    <t>b</t>
  </si>
  <si>
    <t>c</t>
  </si>
  <si>
    <t>25FS1</t>
  </si>
  <si>
    <t>25FS2</t>
  </si>
  <si>
    <t>25FS4</t>
  </si>
  <si>
    <t>Total of 108g CO2 per Kg of DW per YEAR</t>
  </si>
  <si>
    <t>Abies alba</t>
  </si>
  <si>
    <t>Fagus sylvatica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</si>
</sst>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 CO</a:t>
            </a:r>
            <a:r>
              <a:rPr lang="es-ES" baseline="-25000"/>
              <a:t>2</a:t>
            </a:r>
            <a:r>
              <a:rPr lang="es-ES"/>
              <a:t> Kg</a:t>
            </a:r>
            <a:r>
              <a:rPr lang="es-ES" baseline="30000"/>
              <a:t>-1</a:t>
            </a:r>
            <a:r>
              <a:rPr lang="es-ES"/>
              <a:t> DW year</a:t>
            </a:r>
            <a:r>
              <a:rPr lang="es-ES" baseline="30000"/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1 cm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Sheet1!$K$4:$K$5</c:f>
              <c:strCache>
                <c:ptCount val="2"/>
                <c:pt idx="0">
                  <c:v>Abies alba</c:v>
                </c:pt>
                <c:pt idx="1">
                  <c:v>Fagus sylvatica</c:v>
                </c:pt>
              </c:strCache>
            </c:strRef>
          </c:cat>
          <c:val>
            <c:numRef>
              <c:f>(Sheet1!$F$4,Sheet1!$F$13)</c:f>
              <c:numCache>
                <c:formatCode>General</c:formatCode>
                <c:ptCount val="2"/>
                <c:pt idx="0">
                  <c:v>6.5803500000000001</c:v>
                </c:pt>
                <c:pt idx="1">
                  <c:v>7.7222749999999998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D2-4190-8715-6A1192B44BD7}"/>
            </c:ext>
          </c:extLst>
        </c:ser>
        <c:ser>
          <c:idx val="1"/>
          <c:order val="1"/>
          <c:tx>
            <c:v>10 cm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Sheet1!$K$4:$K$5</c:f>
              <c:strCache>
                <c:ptCount val="2"/>
                <c:pt idx="0">
                  <c:v>Abies alba</c:v>
                </c:pt>
                <c:pt idx="1">
                  <c:v>Fagus sylvatica</c:v>
                </c:pt>
              </c:strCache>
            </c:strRef>
          </c:cat>
          <c:val>
            <c:numRef>
              <c:f>(Sheet1!$F$7,Sheet1!$F$16)</c:f>
              <c:numCache>
                <c:formatCode>General</c:formatCode>
                <c:ptCount val="2"/>
                <c:pt idx="0">
                  <c:v>4.0629249999999999</c:v>
                </c:pt>
                <c:pt idx="1">
                  <c:v>6.43025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D2-4190-8715-6A1192B44BD7}"/>
            </c:ext>
          </c:extLst>
        </c:ser>
        <c:ser>
          <c:idx val="2"/>
          <c:order val="2"/>
          <c:tx>
            <c:v>25 cm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Sheet1!$K$4:$K$5</c:f>
              <c:strCache>
                <c:ptCount val="2"/>
                <c:pt idx="0">
                  <c:v>Abies alba</c:v>
                </c:pt>
                <c:pt idx="1">
                  <c:v>Fagus sylvatica</c:v>
                </c:pt>
              </c:strCache>
            </c:strRef>
          </c:cat>
          <c:val>
            <c:numRef>
              <c:f>(Sheet1!$F$10,Sheet1!$F$19)</c:f>
              <c:numCache>
                <c:formatCode>General</c:formatCode>
                <c:ptCount val="2"/>
                <c:pt idx="0">
                  <c:v>46.944249999999997</c:v>
                </c:pt>
                <c:pt idx="1">
                  <c:v>36.868250000000003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D2-4190-8715-6A1192B44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1851160"/>
        <c:axId val="621850504"/>
      </c:barChart>
      <c:catAx>
        <c:axId val="62185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1850504"/>
        <c:crosses val="autoZero"/>
        <c:auto val="1"/>
        <c:lblAlgn val="ctr"/>
        <c:lblOffset val="100"/>
        <c:noMultiLvlLbl val="0"/>
      </c:catAx>
      <c:valAx>
        <c:axId val="62185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185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6</xdr:row>
      <xdr:rowOff>80962</xdr:rowOff>
    </xdr:from>
    <xdr:to>
      <xdr:col>19</xdr:col>
      <xdr:colOff>333375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B0906-5896-4CE7-922F-7477107FA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F5A9-300F-4751-98FA-C9B3E1CD249B}">
  <dimension ref="A1:K28"/>
  <sheetViews>
    <sheetView tabSelected="1" workbookViewId="0">
      <selection activeCell="X25" sqref="X25"/>
    </sheetView>
  </sheetViews>
  <sheetFormatPr defaultRowHeight="15" x14ac:dyDescent="0.25"/>
  <sheetData>
    <row r="1" spans="1:11" ht="15.75" thickBot="1" x14ac:dyDescent="0.3">
      <c r="A1" t="s">
        <v>15</v>
      </c>
      <c r="B1" t="s">
        <v>16</v>
      </c>
      <c r="C1" t="s">
        <v>17</v>
      </c>
      <c r="D1" t="s">
        <v>18</v>
      </c>
    </row>
    <row r="2" spans="1:11" x14ac:dyDescent="0.25">
      <c r="A2" s="1" t="s">
        <v>0</v>
      </c>
      <c r="B2" s="2">
        <v>1.7</v>
      </c>
      <c r="C2" s="2">
        <v>-8.5999999999999993E-2</v>
      </c>
      <c r="D2" s="2">
        <v>1.2999999999999999E-2</v>
      </c>
      <c r="E2" s="3">
        <f t="shared" ref="E2:E18" si="0">(($E$24^2)*D2)+(C2*$E$24)+B2</f>
        <v>1.5762499999999999</v>
      </c>
    </row>
    <row r="3" spans="1:11" x14ac:dyDescent="0.25">
      <c r="A3" s="4" t="s">
        <v>1</v>
      </c>
      <c r="B3" s="5">
        <v>1.8</v>
      </c>
      <c r="C3" s="5">
        <v>0.11</v>
      </c>
      <c r="D3" s="5">
        <v>2.0999999999999999E-3</v>
      </c>
      <c r="E3" s="6">
        <f t="shared" si="0"/>
        <v>2.3375250000000003</v>
      </c>
    </row>
    <row r="4" spans="1:11" ht="15.75" thickBot="1" x14ac:dyDescent="0.3">
      <c r="A4" s="7" t="s">
        <v>2</v>
      </c>
      <c r="B4" s="8">
        <v>2.8</v>
      </c>
      <c r="C4" s="8">
        <v>-4.9000000000000002E-2</v>
      </c>
      <c r="D4" s="8">
        <v>4.3E-3</v>
      </c>
      <c r="E4" s="9">
        <f t="shared" si="0"/>
        <v>2.6665749999999999</v>
      </c>
      <c r="F4">
        <f>SUM(E2:E4)</f>
        <v>6.5803500000000001</v>
      </c>
      <c r="K4" t="s">
        <v>23</v>
      </c>
    </row>
    <row r="5" spans="1:11" x14ac:dyDescent="0.25">
      <c r="A5" s="1" t="s">
        <v>3</v>
      </c>
      <c r="B5" s="2">
        <v>0.83</v>
      </c>
      <c r="C5" s="2">
        <v>6.4999999999999997E-3</v>
      </c>
      <c r="D5" s="2">
        <v>6.8999999999999999E-3</v>
      </c>
      <c r="E5" s="3">
        <f t="shared" si="0"/>
        <v>0.99897499999999995</v>
      </c>
      <c r="K5" t="s">
        <v>24</v>
      </c>
    </row>
    <row r="6" spans="1:11" x14ac:dyDescent="0.25">
      <c r="A6" s="4" t="s">
        <v>4</v>
      </c>
      <c r="B6" s="5">
        <v>0.55000000000000004</v>
      </c>
      <c r="C6" s="5">
        <v>3.3E-3</v>
      </c>
      <c r="D6" s="5">
        <v>9.4000000000000004E-3</v>
      </c>
      <c r="E6" s="6">
        <f t="shared" si="0"/>
        <v>0.75520000000000009</v>
      </c>
    </row>
    <row r="7" spans="1:11" ht="15.75" thickBot="1" x14ac:dyDescent="0.3">
      <c r="A7" s="7" t="s">
        <v>5</v>
      </c>
      <c r="B7" s="8">
        <v>1.6</v>
      </c>
      <c r="C7" s="8">
        <v>6.3E-2</v>
      </c>
      <c r="D7" s="8">
        <v>2.1000000000000001E-2</v>
      </c>
      <c r="E7" s="9">
        <f t="shared" si="0"/>
        <v>2.3087499999999999</v>
      </c>
      <c r="F7">
        <f>SUM(E5:E7)</f>
        <v>4.0629249999999999</v>
      </c>
      <c r="K7">
        <v>1</v>
      </c>
    </row>
    <row r="8" spans="1:11" x14ac:dyDescent="0.25">
      <c r="A8" s="1" t="s">
        <v>6</v>
      </c>
      <c r="B8" s="2">
        <v>16</v>
      </c>
      <c r="C8" s="2">
        <v>-0.51</v>
      </c>
      <c r="D8" s="2">
        <v>7.6999999999999999E-2</v>
      </c>
      <c r="E8" s="3">
        <f t="shared" si="0"/>
        <v>15.264250000000001</v>
      </c>
      <c r="K8">
        <v>10</v>
      </c>
    </row>
    <row r="9" spans="1:11" x14ac:dyDescent="0.25">
      <c r="A9" s="4" t="s">
        <v>7</v>
      </c>
      <c r="B9" s="5">
        <v>20</v>
      </c>
      <c r="C9" s="5">
        <v>-2.2999999999999998</v>
      </c>
      <c r="D9" s="5">
        <v>0.15</v>
      </c>
      <c r="E9" s="6">
        <f t="shared" si="0"/>
        <v>12.6875</v>
      </c>
      <c r="K9">
        <v>25</v>
      </c>
    </row>
    <row r="10" spans="1:11" ht="15.75" thickBot="1" x14ac:dyDescent="0.3">
      <c r="A10" s="7" t="s">
        <v>8</v>
      </c>
      <c r="B10" s="8">
        <v>25</v>
      </c>
      <c r="C10" s="8">
        <v>-2.1</v>
      </c>
      <c r="D10" s="8">
        <v>0.17</v>
      </c>
      <c r="E10" s="9">
        <f t="shared" si="0"/>
        <v>18.9925</v>
      </c>
      <c r="F10">
        <f>SUM(E8:E10)</f>
        <v>46.944249999999997</v>
      </c>
      <c r="H10">
        <f>SUM(F4,F7,F10)</f>
        <v>57.587524999999999</v>
      </c>
    </row>
    <row r="11" spans="1:11" x14ac:dyDescent="0.25">
      <c r="A11" s="1" t="s">
        <v>9</v>
      </c>
      <c r="B11" s="2">
        <v>2.2999999999999998</v>
      </c>
      <c r="C11" s="2">
        <v>-2.1000000000000001E-2</v>
      </c>
      <c r="D11" s="2">
        <v>0.01</v>
      </c>
      <c r="E11" s="3">
        <f t="shared" si="0"/>
        <v>2.4079999999999999</v>
      </c>
    </row>
    <row r="12" spans="1:11" x14ac:dyDescent="0.25">
      <c r="A12" s="4" t="s">
        <v>10</v>
      </c>
      <c r="B12" s="5">
        <v>1.3</v>
      </c>
      <c r="C12" s="5">
        <v>-6.0999999999999999E-2</v>
      </c>
      <c r="D12" s="5">
        <v>4.1000000000000002E-2</v>
      </c>
      <c r="E12" s="6">
        <f t="shared" si="0"/>
        <v>1.85575</v>
      </c>
    </row>
    <row r="13" spans="1:11" ht="15.75" thickBot="1" x14ac:dyDescent="0.3">
      <c r="A13" s="7" t="s">
        <v>11</v>
      </c>
      <c r="B13" s="8">
        <v>3.2</v>
      </c>
      <c r="C13" s="8">
        <v>8.4000000000000005E-2</v>
      </c>
      <c r="D13" s="8">
        <v>-5.8999999999999999E-3</v>
      </c>
      <c r="E13" s="9">
        <f t="shared" si="0"/>
        <v>3.4585250000000003</v>
      </c>
      <c r="F13">
        <f>SUM(E11:E13)</f>
        <v>7.7222749999999998</v>
      </c>
    </row>
    <row r="14" spans="1:11" x14ac:dyDescent="0.25">
      <c r="A14" s="1" t="s">
        <v>13</v>
      </c>
      <c r="B14" s="2">
        <v>1.4</v>
      </c>
      <c r="C14" s="2">
        <v>-2.1999999999999999E-2</v>
      </c>
      <c r="D14" s="2">
        <v>2.3E-2</v>
      </c>
      <c r="E14" s="3">
        <f t="shared" si="0"/>
        <v>1.76675</v>
      </c>
    </row>
    <row r="15" spans="1:11" x14ac:dyDescent="0.25">
      <c r="A15" s="4" t="s">
        <v>12</v>
      </c>
      <c r="B15" s="5">
        <v>1.6</v>
      </c>
      <c r="C15" s="5">
        <v>-0.05</v>
      </c>
      <c r="D15" s="5">
        <v>4.2999999999999997E-2</v>
      </c>
      <c r="E15" s="6">
        <f t="shared" si="0"/>
        <v>2.2457500000000001</v>
      </c>
    </row>
    <row r="16" spans="1:11" ht="15.75" thickBot="1" x14ac:dyDescent="0.3">
      <c r="A16" s="7" t="s">
        <v>14</v>
      </c>
      <c r="B16" s="8">
        <v>1.7</v>
      </c>
      <c r="C16" s="8">
        <v>-3.4000000000000002E-2</v>
      </c>
      <c r="D16" s="8">
        <v>4.2999999999999997E-2</v>
      </c>
      <c r="E16" s="9">
        <f t="shared" si="0"/>
        <v>2.4177499999999998</v>
      </c>
      <c r="F16">
        <f>SUM(E14:E16)</f>
        <v>6.43025</v>
      </c>
    </row>
    <row r="17" spans="1:8" x14ac:dyDescent="0.25">
      <c r="A17" s="1" t="s">
        <v>19</v>
      </c>
      <c r="B17" s="2">
        <v>14</v>
      </c>
      <c r="C17" s="2">
        <v>-1.7</v>
      </c>
      <c r="D17" s="2">
        <v>8.3000000000000004E-2</v>
      </c>
      <c r="E17" s="3">
        <f t="shared" si="0"/>
        <v>8.0307500000000012</v>
      </c>
    </row>
    <row r="18" spans="1:8" x14ac:dyDescent="0.25">
      <c r="A18" s="4" t="s">
        <v>20</v>
      </c>
      <c r="B18" s="5">
        <v>16</v>
      </c>
      <c r="C18" s="5">
        <v>-2.1</v>
      </c>
      <c r="D18" s="5">
        <v>0.16</v>
      </c>
      <c r="E18" s="6">
        <f t="shared" si="0"/>
        <v>9.7899999999999991</v>
      </c>
    </row>
    <row r="19" spans="1:8" ht="15.75" thickBot="1" x14ac:dyDescent="0.3">
      <c r="A19" s="7" t="s">
        <v>21</v>
      </c>
      <c r="B19" s="8">
        <v>26</v>
      </c>
      <c r="C19" s="8">
        <v>-2.4</v>
      </c>
      <c r="D19" s="8">
        <v>0.19</v>
      </c>
      <c r="E19" s="9">
        <f>(($E$24^2)*D19)+(C19*$E$24)+B19</f>
        <v>19.047499999999999</v>
      </c>
      <c r="F19">
        <f>SUM(E17:E19)</f>
        <v>36.868250000000003</v>
      </c>
      <c r="H19">
        <f>SUM(F13,F16,F19)</f>
        <v>51.020775</v>
      </c>
    </row>
    <row r="20" spans="1:8" x14ac:dyDescent="0.25">
      <c r="E20">
        <f>SUM(E2:E19)</f>
        <v>108.6083</v>
      </c>
    </row>
    <row r="24" spans="1:8" x14ac:dyDescent="0.25">
      <c r="E24">
        <v>4.5</v>
      </c>
    </row>
    <row r="28" spans="1:8" x14ac:dyDescent="0.25">
      <c r="C28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2022-06-08T15:01:12Z</dcterms:created>
  <dcterms:modified xsi:type="dcterms:W3CDTF">2022-06-08T16:23:49Z</dcterms:modified>
</cp:coreProperties>
</file>