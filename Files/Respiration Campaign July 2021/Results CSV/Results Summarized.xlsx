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July 2021/Results CSV/"/>
    </mc:Choice>
  </mc:AlternateContent>
  <xr:revisionPtr revIDLastSave="120" documentId="8_{C570CE6C-CDE7-4B68-80AE-D51452360D18}" xr6:coauthVersionLast="46" xr6:coauthVersionMax="46" xr10:uidLastSave="{CD89DDA8-54E0-4497-ADA5-0241C488AFC3}"/>
  <bookViews>
    <workbookView xWindow="-108" yWindow="-108" windowWidth="23256" windowHeight="12576" xr2:uid="{2129AE82-4AAF-4DE8-BD86-A0637497B7D8}"/>
  </bookViews>
  <sheets>
    <sheet name="Abies alb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" i="1" l="1"/>
  <c r="R14" i="1"/>
  <c r="R15" i="1"/>
  <c r="R16" i="1"/>
  <c r="R17" i="1"/>
  <c r="R18" i="1"/>
  <c r="R19" i="1"/>
  <c r="R20" i="1"/>
  <c r="R21" i="1"/>
  <c r="O10" i="1"/>
  <c r="P10" i="1"/>
  <c r="Q10" i="1"/>
  <c r="O13" i="1"/>
  <c r="P13" i="1"/>
  <c r="Q13" i="1"/>
  <c r="O14" i="1"/>
  <c r="P14" i="1"/>
  <c r="Q14" i="1"/>
  <c r="O15" i="1"/>
  <c r="P15" i="1"/>
  <c r="Q15" i="1"/>
  <c r="O16" i="1"/>
  <c r="P16" i="1"/>
  <c r="Q16" i="1"/>
  <c r="O17" i="1"/>
  <c r="P17" i="1"/>
  <c r="Q17" i="1"/>
  <c r="O18" i="1"/>
  <c r="P18" i="1"/>
  <c r="Q18" i="1"/>
  <c r="O19" i="1"/>
  <c r="P19" i="1"/>
  <c r="Q19" i="1"/>
  <c r="O20" i="1"/>
  <c r="P20" i="1"/>
  <c r="Q20" i="1"/>
  <c r="O21" i="1"/>
  <c r="P21" i="1"/>
  <c r="Q21" i="1"/>
  <c r="N13" i="1"/>
  <c r="N14" i="1"/>
  <c r="N15" i="1"/>
  <c r="N16" i="1"/>
  <c r="N17" i="1"/>
  <c r="N18" i="1"/>
  <c r="N19" i="1"/>
  <c r="N20" i="1"/>
  <c r="N21" i="1"/>
  <c r="O2" i="1"/>
  <c r="P2" i="1"/>
  <c r="Q2" i="1"/>
  <c r="R2" i="1"/>
  <c r="O3" i="1"/>
  <c r="P3" i="1"/>
  <c r="Q3" i="1"/>
  <c r="R3" i="1"/>
  <c r="O4" i="1"/>
  <c r="P4" i="1"/>
  <c r="Q4" i="1"/>
  <c r="R4" i="1"/>
  <c r="O5" i="1"/>
  <c r="P5" i="1"/>
  <c r="Q5" i="1"/>
  <c r="R5" i="1"/>
  <c r="O6" i="1"/>
  <c r="P6" i="1"/>
  <c r="Q6" i="1"/>
  <c r="R6" i="1"/>
  <c r="O7" i="1"/>
  <c r="P7" i="1"/>
  <c r="Q7" i="1"/>
  <c r="R7" i="1"/>
  <c r="O8" i="1"/>
  <c r="P8" i="1"/>
  <c r="Q8" i="1"/>
  <c r="R8" i="1"/>
  <c r="O9" i="1"/>
  <c r="P9" i="1"/>
  <c r="Q9" i="1"/>
  <c r="R9" i="1"/>
  <c r="R10" i="1"/>
  <c r="N3" i="1"/>
  <c r="N4" i="1"/>
  <c r="N5" i="1"/>
  <c r="N6" i="1"/>
  <c r="N7" i="1"/>
  <c r="N8" i="1"/>
  <c r="N9" i="1"/>
  <c r="N10" i="1"/>
  <c r="N2" i="1"/>
</calcChain>
</file>

<file path=xl/sharedStrings.xml><?xml version="1.0" encoding="utf-8"?>
<sst xmlns="http://schemas.openxmlformats.org/spreadsheetml/2006/main" count="46" uniqueCount="22">
  <si>
    <t>Class</t>
  </si>
  <si>
    <t>Bark(%)_mean</t>
  </si>
  <si>
    <t>Waterpercentage_mean</t>
  </si>
  <si>
    <t>T3_mean</t>
  </si>
  <si>
    <t>Soil_moist_mean</t>
  </si>
  <si>
    <t>RespCorrectedArea_mean</t>
  </si>
  <si>
    <t>Bark(%)_sd</t>
  </si>
  <si>
    <t>Waterpercentage_sd</t>
  </si>
  <si>
    <t>T3_sd</t>
  </si>
  <si>
    <t>Soil_moist_sd</t>
  </si>
  <si>
    <t>RespCorrectedArea_sd</t>
  </si>
  <si>
    <t>AA</t>
  </si>
  <si>
    <t>1cm</t>
  </si>
  <si>
    <t>10cm</t>
  </si>
  <si>
    <t>25cm</t>
  </si>
  <si>
    <t>Bark(%)_se</t>
  </si>
  <si>
    <t>Waterpercentage_se</t>
  </si>
  <si>
    <t>T3_se</t>
  </si>
  <si>
    <t>Soil_moist_se</t>
  </si>
  <si>
    <t>RespCorrectedArea_se</t>
  </si>
  <si>
    <t>N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</si>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</sst>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1 cm</a:t>
            </a:r>
          </a:p>
        </c:rich>
      </c:tx>
      <c:layout>
        <c:manualLayout>
          <c:xMode val="edge"/>
          <c:yMode val="edge"/>
          <c:x val="0.4731041119860017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Abies alba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'Abies alba'!$R$2:$R$4</c:f>
                <c:numCache>
                  <c:formatCode>General</c:formatCode>
                  <c:ptCount val="3"/>
                  <c:pt idx="0">
                    <c:v>4.9878686191606493E-2</c:v>
                  </c:pt>
                  <c:pt idx="1">
                    <c:v>3.7406343274507939E-2</c:v>
                  </c:pt>
                  <c:pt idx="2">
                    <c:v>3.5826606594949705E-2</c:v>
                  </c:pt>
                </c:numCache>
              </c:numRef>
            </c:plus>
            <c:minus>
              <c:numRef>
                <c:f>'Abies alba'!$R$2:$R$4</c:f>
                <c:numCache>
                  <c:formatCode>General</c:formatCode>
                  <c:ptCount val="3"/>
                  <c:pt idx="0">
                    <c:v>4.9878686191606493E-2</c:v>
                  </c:pt>
                  <c:pt idx="1">
                    <c:v>3.7406343274507939E-2</c:v>
                  </c:pt>
                  <c:pt idx="2">
                    <c:v>3.5826606594949705E-2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'Abies alba'!$B$2:$B$4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'Abies alba'!$G$2:$G$4</c:f>
              <c:numCache>
                <c:formatCode>General</c:formatCode>
                <c:ptCount val="3"/>
                <c:pt idx="0">
                  <c:v>0.61022252565162005</c:v>
                </c:pt>
                <c:pt idx="1">
                  <c:v>0.27424808741363099</c:v>
                </c:pt>
                <c:pt idx="2">
                  <c:v>0.18537639234516801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A-4199-8F9C-EFA96D419548}"/>
            </c:ext>
          </c:extLst>
        </c:ser>
        <c:ser>
          <c:idx val="1"/>
          <c:order val="1"/>
          <c:tx>
            <c:v>Fagus sylvatica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'Abies alba'!$R$13:$R$15</c:f>
                <c:numCache>
                  <c:formatCode>General</c:formatCode>
                  <c:ptCount val="3"/>
                  <c:pt idx="0">
                    <c:v>9.0679749883059949E-2</c:v>
                  </c:pt>
                  <c:pt idx="1">
                    <c:v>0.21951912487465036</c:v>
                  </c:pt>
                  <c:pt idx="2">
                    <c:v>4.5636010457916064E-2</c:v>
                  </c:pt>
                </c:numCache>
              </c:numRef>
            </c:plus>
            <c:minus>
              <c:numRef>
                <c:f>'Abies alba'!$R$13:$R$15</c:f>
                <c:numCache>
                  <c:formatCode>General</c:formatCode>
                  <c:ptCount val="3"/>
                  <c:pt idx="0">
                    <c:v>9.0679749883059949E-2</c:v>
                  </c:pt>
                  <c:pt idx="1">
                    <c:v>0.21951912487465036</c:v>
                  </c:pt>
                  <c:pt idx="2">
                    <c:v>4.5636010457916064E-2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'Abies alba'!$B$2:$B$4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'Abies alba'!$G$13:$G$15</c:f>
              <c:numCache>
                <c:formatCode>General</c:formatCode>
                <c:ptCount val="3"/>
                <c:pt idx="0">
                  <c:v>0.71650831672086102</c:v>
                </c:pt>
                <c:pt idx="1">
                  <c:v>1.95589565836888</c:v>
                </c:pt>
                <c:pt idx="2">
                  <c:v>0.18598646169831501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A-4199-8F9C-EFA96D419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1605071"/>
        <c:axId val="1551602991"/>
      </c:barChart>
      <c:catAx>
        <c:axId val="155160507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1602991"/>
        <c:crosses val="autoZero"/>
        <c:auto val="1"/>
        <c:lblAlgn val="ctr"/>
        <c:lblOffset val="100"/>
        <c:noMultiLvlLbl val="0"/>
      </c:catAx>
      <c:valAx>
        <c:axId val="155160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Respiration µM CO</a:t>
                </a:r>
                <a:r>
                  <a:rPr lang="es-ES" strike="noStrike" baseline="-25000"/>
                  <a:t>2</a:t>
                </a:r>
                <a:r>
                  <a:rPr lang="es-ES"/>
                  <a:t>/s * cm</a:t>
                </a:r>
                <a:r>
                  <a:rPr lang="es-ES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160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88363954505691"/>
          <c:y val="0.22763815981335661"/>
          <c:w val="0.19538237796010208"/>
          <c:h val="0.158654919221198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10 cm</a:t>
            </a:r>
          </a:p>
        </c:rich>
      </c:tx>
      <c:layout>
        <c:manualLayout>
          <c:xMode val="edge"/>
          <c:yMode val="edge"/>
          <c:x val="0.4731041119860017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'Abies alba'!$R$5:$R$7</c:f>
                <c:numCache>
                  <c:formatCode>General</c:formatCode>
                  <c:ptCount val="3"/>
                  <c:pt idx="0">
                    <c:v>0.1066888246050457</c:v>
                  </c:pt>
                  <c:pt idx="1">
                    <c:v>0.1481196080905412</c:v>
                  </c:pt>
                  <c:pt idx="2">
                    <c:v>0.20313633262398517</c:v>
                  </c:pt>
                </c:numCache>
              </c:numRef>
            </c:plus>
            <c:minus>
              <c:numRef>
                <c:f>'Abies alba'!$R$5:$R$7</c:f>
                <c:numCache>
                  <c:formatCode>General</c:formatCode>
                  <c:ptCount val="3"/>
                  <c:pt idx="0">
                    <c:v>0.1066888246050457</c:v>
                  </c:pt>
                  <c:pt idx="1">
                    <c:v>0.1481196080905412</c:v>
                  </c:pt>
                  <c:pt idx="2">
                    <c:v>0.20313633262398517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'Abies alba'!$B$2:$B$4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'Abies alba'!$G$5:$G$7</c:f>
              <c:numCache>
                <c:formatCode>General</c:formatCode>
                <c:ptCount val="3"/>
                <c:pt idx="0">
                  <c:v>1.4838326804317501</c:v>
                </c:pt>
                <c:pt idx="1">
                  <c:v>1.4213115020763201</c:v>
                </c:pt>
                <c:pt idx="2">
                  <c:v>2.8009124601355402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2-482F-A612-C9D7CC10EBA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'Abies alba'!$R$16:$R$18</c:f>
                <c:numCache>
                  <c:formatCode>General</c:formatCode>
                  <c:ptCount val="3"/>
                  <c:pt idx="0">
                    <c:v>0.32230233297667921</c:v>
                  </c:pt>
                  <c:pt idx="1">
                    <c:v>0.61909059994295013</c:v>
                  </c:pt>
                  <c:pt idx="2">
                    <c:v>0.47817310989387801</c:v>
                  </c:pt>
                </c:numCache>
              </c:numRef>
            </c:plus>
            <c:minus>
              <c:numRef>
                <c:f>'Abies alba'!$R$16:$R$18</c:f>
                <c:numCache>
                  <c:formatCode>General</c:formatCode>
                  <c:ptCount val="3"/>
                  <c:pt idx="0">
                    <c:v>0.32230233297667921</c:v>
                  </c:pt>
                  <c:pt idx="1">
                    <c:v>0.61909059994295013</c:v>
                  </c:pt>
                  <c:pt idx="2">
                    <c:v>0.47817310989387801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'Abies alba'!$B$2:$B$4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'Abies alba'!$G$16:$G$18</c:f>
              <c:numCache>
                <c:formatCode>General</c:formatCode>
                <c:ptCount val="3"/>
                <c:pt idx="0">
                  <c:v>5.3136247274904598</c:v>
                </c:pt>
                <c:pt idx="1">
                  <c:v>8.5548395718233508</c:v>
                </c:pt>
                <c:pt idx="2">
                  <c:v>5.6478767460930497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F2-482F-A612-C9D7CC10E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1605071"/>
        <c:axId val="1551602991"/>
      </c:barChart>
      <c:catAx>
        <c:axId val="155160507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1602991"/>
        <c:crosses val="autoZero"/>
        <c:auto val="1"/>
        <c:lblAlgn val="ctr"/>
        <c:lblOffset val="100"/>
        <c:noMultiLvlLbl val="0"/>
      </c:catAx>
      <c:valAx>
        <c:axId val="155160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Respiration µM CO</a:t>
                </a:r>
                <a:r>
                  <a:rPr lang="es-ES" strike="noStrike" baseline="-25000"/>
                  <a:t>2</a:t>
                </a:r>
                <a:r>
                  <a:rPr lang="es-ES"/>
                  <a:t>/s * cm</a:t>
                </a:r>
                <a:r>
                  <a:rPr lang="es-ES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160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88363954505691"/>
          <c:y val="0.22763815981335661"/>
          <c:w val="0.1946719160104986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25 cm</a:t>
            </a:r>
          </a:p>
        </c:rich>
      </c:tx>
      <c:layout>
        <c:manualLayout>
          <c:xMode val="edge"/>
          <c:yMode val="edge"/>
          <c:x val="0.4731041119860017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'Abies alba'!$R$8:$R$10</c:f>
                <c:numCache>
                  <c:formatCode>General</c:formatCode>
                  <c:ptCount val="3"/>
                  <c:pt idx="0">
                    <c:v>10.628231941213206</c:v>
                  </c:pt>
                  <c:pt idx="1">
                    <c:v>7.5628705985216849</c:v>
                  </c:pt>
                  <c:pt idx="2">
                    <c:v>5.9938865531687666</c:v>
                  </c:pt>
                </c:numCache>
              </c:numRef>
            </c:plus>
            <c:minus>
              <c:numRef>
                <c:f>'Abies alba'!$R$8:$R$10</c:f>
                <c:numCache>
                  <c:formatCode>General</c:formatCode>
                  <c:ptCount val="3"/>
                  <c:pt idx="0">
                    <c:v>10.628231941213206</c:v>
                  </c:pt>
                  <c:pt idx="1">
                    <c:v>7.5628705985216849</c:v>
                  </c:pt>
                  <c:pt idx="2">
                    <c:v>5.9938865531687666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'Abies alba'!$B$2:$B$4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'Abies alba'!$G$8:$G$10</c:f>
              <c:numCache>
                <c:formatCode>General</c:formatCode>
                <c:ptCount val="3"/>
                <c:pt idx="0">
                  <c:v>55.4899262530461</c:v>
                </c:pt>
                <c:pt idx="1">
                  <c:v>45.6559948848668</c:v>
                </c:pt>
                <c:pt idx="2">
                  <c:v>45.327019695752703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B-4D8A-B668-D8CCD3F6A72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'Abies alba'!$R$19:$R$21</c:f>
                <c:numCache>
                  <c:formatCode>General</c:formatCode>
                  <c:ptCount val="3"/>
                  <c:pt idx="0">
                    <c:v>4.3424672889799627</c:v>
                  </c:pt>
                  <c:pt idx="1">
                    <c:v>5.6238561573793717</c:v>
                  </c:pt>
                  <c:pt idx="2">
                    <c:v>6.6265448413209507</c:v>
                  </c:pt>
                </c:numCache>
              </c:numRef>
            </c:plus>
            <c:minus>
              <c:numRef>
                <c:f>'Abies alba'!$R$19:$R$21</c:f>
                <c:numCache>
                  <c:formatCode>General</c:formatCode>
                  <c:ptCount val="3"/>
                  <c:pt idx="0">
                    <c:v>4.3424672889799627</c:v>
                  </c:pt>
                  <c:pt idx="1">
                    <c:v>5.6238561573793717</c:v>
                  </c:pt>
                  <c:pt idx="2">
                    <c:v>6.6265448413209507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'Abies alba'!$B$2:$B$4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'Abies alba'!$G$19:$G$21</c:f>
              <c:numCache>
                <c:formatCode>General</c:formatCode>
                <c:ptCount val="3"/>
                <c:pt idx="0">
                  <c:v>25.052847298932701</c:v>
                </c:pt>
                <c:pt idx="1">
                  <c:v>75.628443600718001</c:v>
                </c:pt>
                <c:pt idx="2">
                  <c:v>57.978504870044297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EB-4D8A-B668-D8CCD3F6A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1605071"/>
        <c:axId val="1551602991"/>
      </c:barChart>
      <c:catAx>
        <c:axId val="155160507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1602991"/>
        <c:crosses val="autoZero"/>
        <c:auto val="1"/>
        <c:lblAlgn val="ctr"/>
        <c:lblOffset val="100"/>
        <c:noMultiLvlLbl val="0"/>
      </c:catAx>
      <c:valAx>
        <c:axId val="155160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Respiration µM CO</a:t>
                </a:r>
                <a:r>
                  <a:rPr lang="es-ES" strike="noStrike" baseline="-25000"/>
                  <a:t>2</a:t>
                </a:r>
                <a:r>
                  <a:rPr lang="es-ES"/>
                  <a:t>/s * cm</a:t>
                </a:r>
                <a:r>
                  <a:rPr lang="es-ES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160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88363954505691"/>
          <c:y val="0.22763815981335661"/>
          <c:w val="0.1946719160104986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1 cm</a:t>
            </a:r>
          </a:p>
        </c:rich>
      </c:tx>
      <c:layout>
        <c:manualLayout>
          <c:xMode val="edge"/>
          <c:yMode val="edge"/>
          <c:x val="0.4731041119860017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'Abies alba'!$O$2:$O$4</c:f>
                <c:numCache>
                  <c:formatCode>General</c:formatCode>
                  <c:ptCount val="3"/>
                  <c:pt idx="0">
                    <c:v>2.8464874111343317</c:v>
                  </c:pt>
                  <c:pt idx="1">
                    <c:v>4.1055903066615764</c:v>
                  </c:pt>
                  <c:pt idx="2">
                    <c:v>3.3247574354307323</c:v>
                  </c:pt>
                </c:numCache>
              </c:numRef>
            </c:plus>
            <c:minus>
              <c:numRef>
                <c:f>'Abies alba'!$O$2:$O$4</c:f>
                <c:numCache>
                  <c:formatCode>General</c:formatCode>
                  <c:ptCount val="3"/>
                  <c:pt idx="0">
                    <c:v>2.8464874111343317</c:v>
                  </c:pt>
                  <c:pt idx="1">
                    <c:v>4.1055903066615764</c:v>
                  </c:pt>
                  <c:pt idx="2">
                    <c:v>3.3247574354307323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'Abies alba'!$B$2:$B$4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'Abies alba'!$D$2:$D$4</c:f>
              <c:numCache>
                <c:formatCode>General</c:formatCode>
                <c:ptCount val="3"/>
                <c:pt idx="0">
                  <c:v>32.208509007382503</c:v>
                </c:pt>
                <c:pt idx="1">
                  <c:v>43.651711562267302</c:v>
                </c:pt>
                <c:pt idx="2">
                  <c:v>37.717703412271298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8-4CE6-B2AC-053ECE67C89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'Abies alba'!$O$13:$O$15</c:f>
                <c:numCache>
                  <c:formatCode>General</c:formatCode>
                  <c:ptCount val="3"/>
                  <c:pt idx="0">
                    <c:v>2.7060725794310678</c:v>
                  </c:pt>
                  <c:pt idx="1">
                    <c:v>2.1079510816329088</c:v>
                  </c:pt>
                  <c:pt idx="2">
                    <c:v>1.9405402336151603</c:v>
                  </c:pt>
                </c:numCache>
              </c:numRef>
            </c:plus>
            <c:minus>
              <c:numRef>
                <c:f>'Abies alba'!$O$13:$O$15</c:f>
                <c:numCache>
                  <c:formatCode>General</c:formatCode>
                  <c:ptCount val="3"/>
                  <c:pt idx="0">
                    <c:v>2.7060725794310678</c:v>
                  </c:pt>
                  <c:pt idx="1">
                    <c:v>2.1079510816329088</c:v>
                  </c:pt>
                  <c:pt idx="2">
                    <c:v>1.9405402336151603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'Abies alba'!$D$13:$D$15</c:f>
              <c:numCache>
                <c:formatCode>General</c:formatCode>
                <c:ptCount val="3"/>
                <c:pt idx="0">
                  <c:v>35.385961109029303</c:v>
                </c:pt>
                <c:pt idx="1">
                  <c:v>36.105753913529398</c:v>
                </c:pt>
                <c:pt idx="2">
                  <c:v>31.370900476081701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D8-4CE6-B2AC-053ECE67C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1605071"/>
        <c:axId val="1551602991"/>
      </c:barChart>
      <c:catAx>
        <c:axId val="155160507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1602991"/>
        <c:crosses val="autoZero"/>
        <c:auto val="1"/>
        <c:lblAlgn val="ctr"/>
        <c:lblOffset val="100"/>
        <c:noMultiLvlLbl val="0"/>
      </c:catAx>
      <c:valAx>
        <c:axId val="155160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Water content (%)</a:t>
                </a:r>
                <a:endParaRPr lang="es-ES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160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88363954505691"/>
          <c:y val="0.22763815981335661"/>
          <c:w val="0.19538237796010208"/>
          <c:h val="0.158654977946696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10 cm</a:t>
            </a:r>
          </a:p>
        </c:rich>
      </c:tx>
      <c:layout>
        <c:manualLayout>
          <c:xMode val="edge"/>
          <c:yMode val="edge"/>
          <c:x val="0.4731041119860017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'Abies alba'!$O$5:$O$7</c:f>
                <c:numCache>
                  <c:formatCode>General</c:formatCode>
                  <c:ptCount val="3"/>
                  <c:pt idx="0">
                    <c:v>3.4815692857829439</c:v>
                  </c:pt>
                  <c:pt idx="1">
                    <c:v>4.8442120177328976</c:v>
                  </c:pt>
                  <c:pt idx="2">
                    <c:v>1.4263024959675472</c:v>
                  </c:pt>
                </c:numCache>
              </c:numRef>
            </c:plus>
            <c:minus>
              <c:numRef>
                <c:f>'Abies alba'!$O$5:$O$7</c:f>
                <c:numCache>
                  <c:formatCode>General</c:formatCode>
                  <c:ptCount val="3"/>
                  <c:pt idx="0">
                    <c:v>3.4815692857829439</c:v>
                  </c:pt>
                  <c:pt idx="1">
                    <c:v>4.8442120177328976</c:v>
                  </c:pt>
                  <c:pt idx="2">
                    <c:v>1.4263024959675472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'Abies alba'!$B$2:$B$4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'Abies alba'!$D$5:$D$7</c:f>
              <c:numCache>
                <c:formatCode>General</c:formatCode>
                <c:ptCount val="3"/>
                <c:pt idx="0">
                  <c:v>45.382291558798201</c:v>
                </c:pt>
                <c:pt idx="1">
                  <c:v>40.975078387808701</c:v>
                </c:pt>
                <c:pt idx="2">
                  <c:v>44.686583176114603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D-453A-8D16-4329D666EF7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'Abies alba'!$O$16:$O$18</c:f>
                <c:numCache>
                  <c:formatCode>General</c:formatCode>
                  <c:ptCount val="3"/>
                  <c:pt idx="0">
                    <c:v>2.0603204217880617</c:v>
                  </c:pt>
                  <c:pt idx="1">
                    <c:v>2.198999116043225</c:v>
                  </c:pt>
                  <c:pt idx="2">
                    <c:v>3.04039444586593</c:v>
                  </c:pt>
                </c:numCache>
              </c:numRef>
            </c:plus>
            <c:minus>
              <c:numRef>
                <c:f>'Abies alba'!$O$16:$O$18</c:f>
                <c:numCache>
                  <c:formatCode>General</c:formatCode>
                  <c:ptCount val="3"/>
                  <c:pt idx="0">
                    <c:v>2.0603204217880617</c:v>
                  </c:pt>
                  <c:pt idx="1">
                    <c:v>2.198999116043225</c:v>
                  </c:pt>
                  <c:pt idx="2">
                    <c:v>3.04039444586593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'Abies alba'!$D$16:$D$18</c:f>
              <c:numCache>
                <c:formatCode>General</c:formatCode>
                <c:ptCount val="3"/>
                <c:pt idx="0">
                  <c:v>41.336934318869297</c:v>
                </c:pt>
                <c:pt idx="1">
                  <c:v>33.934431587641399</c:v>
                </c:pt>
                <c:pt idx="2">
                  <c:v>61.8975655774328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3D-453A-8D16-4329D666E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1605071"/>
        <c:axId val="1551602991"/>
      </c:barChart>
      <c:catAx>
        <c:axId val="155160507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1602991"/>
        <c:crosses val="autoZero"/>
        <c:auto val="1"/>
        <c:lblAlgn val="ctr"/>
        <c:lblOffset val="100"/>
        <c:noMultiLvlLbl val="0"/>
      </c:catAx>
      <c:valAx>
        <c:axId val="155160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Water content (%)</a:t>
                </a:r>
                <a:endParaRPr lang="es-ES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160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88363954505691"/>
          <c:y val="0.22763815981335661"/>
          <c:w val="0.19538237796010208"/>
          <c:h val="0.158654977946696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25 cm</a:t>
            </a:r>
          </a:p>
        </c:rich>
      </c:tx>
      <c:layout>
        <c:manualLayout>
          <c:xMode val="edge"/>
          <c:yMode val="edge"/>
          <c:x val="0.4731041119860017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'Abies alba'!$O$8:$O$10</c:f>
                <c:numCache>
                  <c:formatCode>General</c:formatCode>
                  <c:ptCount val="3"/>
                  <c:pt idx="0">
                    <c:v>0.96396808319139082</c:v>
                  </c:pt>
                  <c:pt idx="1">
                    <c:v>0.32939323827877398</c:v>
                  </c:pt>
                  <c:pt idx="2">
                    <c:v>1.4683677581399273</c:v>
                  </c:pt>
                </c:numCache>
              </c:numRef>
            </c:plus>
            <c:minus>
              <c:numRef>
                <c:f>'Abies alba'!$O$8:$O$10</c:f>
                <c:numCache>
                  <c:formatCode>General</c:formatCode>
                  <c:ptCount val="3"/>
                  <c:pt idx="0">
                    <c:v>0.96396808319139082</c:v>
                  </c:pt>
                  <c:pt idx="1">
                    <c:v>0.32939323827877398</c:v>
                  </c:pt>
                  <c:pt idx="2">
                    <c:v>1.4683677581399273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'Abies alba'!$B$2:$B$4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'Abies alba'!$D$8:$D$10</c:f>
              <c:numCache>
                <c:formatCode>General</c:formatCode>
                <c:ptCount val="3"/>
                <c:pt idx="0">
                  <c:v>40.442482991572703</c:v>
                </c:pt>
                <c:pt idx="1">
                  <c:v>38.706210418282502</c:v>
                </c:pt>
                <c:pt idx="2">
                  <c:v>51.865276343063897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D-46FA-823B-4E742CC363F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'Abies alba'!$O$19:$O$21</c:f>
                <c:numCache>
                  <c:formatCode>General</c:formatCode>
                  <c:ptCount val="3"/>
                  <c:pt idx="0">
                    <c:v>0.46786027907417366</c:v>
                  </c:pt>
                  <c:pt idx="1">
                    <c:v>0.39845993452370038</c:v>
                  </c:pt>
                  <c:pt idx="2">
                    <c:v>1.8468509731041334</c:v>
                  </c:pt>
                </c:numCache>
              </c:numRef>
            </c:plus>
            <c:minus>
              <c:numRef>
                <c:f>'Abies alba'!$O$19:$O$21</c:f>
                <c:numCache>
                  <c:formatCode>General</c:formatCode>
                  <c:ptCount val="3"/>
                  <c:pt idx="0">
                    <c:v>0.46786027907417366</c:v>
                  </c:pt>
                  <c:pt idx="1">
                    <c:v>0.39845993452370038</c:v>
                  </c:pt>
                  <c:pt idx="2">
                    <c:v>1.8468509731041334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'Abies alba'!$D$19:$D$21</c:f>
              <c:numCache>
                <c:formatCode>General</c:formatCode>
                <c:ptCount val="3"/>
                <c:pt idx="0">
                  <c:v>38.807510000000001</c:v>
                </c:pt>
                <c:pt idx="1">
                  <c:v>35.621859999999998</c:v>
                </c:pt>
                <c:pt idx="2">
                  <c:v>59.307267253219401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AD-46FA-823B-4E742CC36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1605071"/>
        <c:axId val="1551602991"/>
      </c:barChart>
      <c:catAx>
        <c:axId val="155160507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1602991"/>
        <c:crosses val="autoZero"/>
        <c:auto val="1"/>
        <c:lblAlgn val="ctr"/>
        <c:lblOffset val="100"/>
        <c:noMultiLvlLbl val="0"/>
      </c:catAx>
      <c:valAx>
        <c:axId val="155160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Water content (%)</a:t>
                </a:r>
                <a:endParaRPr lang="es-ES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160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88363954505691"/>
          <c:y val="0.22763815981335661"/>
          <c:w val="0.19538237796010208"/>
          <c:h val="0.158654977946696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295794</xdr:colOff>
      <xdr:row>22</xdr:row>
      <xdr:rowOff>84859</xdr:rowOff>
    </xdr:from>
    <xdr:to>
      <xdr:col>6</xdr:col>
      <xdr:colOff>112914</xdr:colOff>
      <xdr:row>37</xdr:row>
      <xdr:rowOff>84859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FB7B7-6DDB-48A8-BD5C-00081881C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265314</xdr:colOff>
      <xdr:row>22</xdr:row>
      <xdr:rowOff>96289</xdr:rowOff>
    </xdr:from>
    <xdr:to>
      <xdr:col>11</xdr:col>
      <xdr:colOff>873529</xdr:colOff>
      <xdr:row>37</xdr:row>
      <xdr:rowOff>96289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62EF26-68DA-48AA-9DF8-30760C253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957349</xdr:colOff>
      <xdr:row>22</xdr:row>
      <xdr:rowOff>81049</xdr:rowOff>
    </xdr:from>
    <xdr:to>
      <xdr:col>17</xdr:col>
      <xdr:colOff>158634</xdr:colOff>
      <xdr:row>37</xdr:row>
      <xdr:rowOff>81049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262B514-3C06-47AD-87C6-499F26E57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304800</xdr:colOff>
      <xdr:row>52</xdr:row>
      <xdr:rowOff>166254</xdr:rowOff>
    </xdr:from>
    <xdr:to>
      <xdr:col>6</xdr:col>
      <xdr:colOff>121920</xdr:colOff>
      <xdr:row>67</xdr:row>
      <xdr:rowOff>166254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046F39A-BE95-4EAC-8716-05D2BCCB1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290946</xdr:colOff>
      <xdr:row>53</xdr:row>
      <xdr:rowOff>138546</xdr:rowOff>
    </xdr:from>
    <xdr:to>
      <xdr:col>11</xdr:col>
      <xdr:colOff>897776</xdr:colOff>
      <xdr:row>68</xdr:row>
      <xdr:rowOff>138545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25ED299-C08D-4A37-8258-19A225DD9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1094510</xdr:colOff>
      <xdr:row>53</xdr:row>
      <xdr:rowOff>96982</xdr:rowOff>
    </xdr:from>
    <xdr:to>
      <xdr:col>17</xdr:col>
      <xdr:colOff>288176</xdr:colOff>
      <xdr:row>68</xdr:row>
      <xdr:rowOff>96981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F248E2C-FAB1-4CE3-AB3E-F5C0893B4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3AEC8-7BE1-4B91-A3CE-7F37C34E6750}">
  <dimension ref="A1:R21"/>
  <sheetViews>
    <sheetView tabSelected="1" zoomScale="55" zoomScaleNormal="55" workbookViewId="0">
      <selection activeCell="V37" sqref="V37"/>
    </sheetView>
  </sheetViews>
  <sheetFormatPr baseColWidth="10" defaultRowHeight="14.4" x14ac:dyDescent="0.3"/>
  <cols>
    <col min="12" max="12" width="20.6640625" customWidth="1"/>
    <col min="18" max="18" width="14.109375" customWidth="1"/>
  </cols>
  <sheetData>
    <row r="1" spans="1:18" s="8" customFormat="1" ht="15" thickBot="1" x14ac:dyDescent="0.35">
      <c r="A1" s="7" t="s">
        <v>11</v>
      </c>
      <c r="B1" s="8" t="s">
        <v>0</v>
      </c>
      <c r="C1" s="7" t="s">
        <v>1</v>
      </c>
      <c r="D1" s="8" t="s">
        <v>2</v>
      </c>
      <c r="E1" s="8" t="s">
        <v>3</v>
      </c>
      <c r="F1" s="8" t="s">
        <v>4</v>
      </c>
      <c r="G1" s="9" t="s">
        <v>5</v>
      </c>
      <c r="H1" s="7" t="s">
        <v>6</v>
      </c>
      <c r="I1" s="8" t="s">
        <v>7</v>
      </c>
      <c r="J1" s="8" t="s">
        <v>8</v>
      </c>
      <c r="K1" s="8" t="s">
        <v>9</v>
      </c>
      <c r="L1" s="9" t="s">
        <v>10</v>
      </c>
      <c r="M1" s="13" t="s">
        <v>20</v>
      </c>
      <c r="N1" s="7" t="s">
        <v>15</v>
      </c>
      <c r="O1" s="8" t="s">
        <v>16</v>
      </c>
      <c r="P1" s="8" t="s">
        <v>17</v>
      </c>
      <c r="Q1" s="8" t="s">
        <v>18</v>
      </c>
      <c r="R1" s="9" t="s">
        <v>19</v>
      </c>
    </row>
    <row r="2" spans="1:18" s="4" customFormat="1" x14ac:dyDescent="0.3">
      <c r="A2" s="3" t="s">
        <v>12</v>
      </c>
      <c r="B2" s="4">
        <v>1</v>
      </c>
      <c r="C2" s="3">
        <v>99.391304347826093</v>
      </c>
      <c r="D2" s="4">
        <v>32.208509007382503</v>
      </c>
      <c r="E2" s="4">
        <v>22.002717391304301</v>
      </c>
      <c r="F2" s="4">
        <v>2241.4347826087001</v>
      </c>
      <c r="G2" s="10">
        <v>0.61022252565162005</v>
      </c>
      <c r="H2" s="3">
        <v>1.0050596636698901</v>
      </c>
      <c r="I2" s="4">
        <v>19.305816915125</v>
      </c>
      <c r="J2" s="4">
        <v>1.1388008832499299</v>
      </c>
      <c r="K2" s="4">
        <v>391.82477104916399</v>
      </c>
      <c r="L2" s="10">
        <v>0.338293708876229</v>
      </c>
      <c r="M2" s="14">
        <v>46</v>
      </c>
      <c r="N2" s="3">
        <f>H2/SQRT($M2)</f>
        <v>0.14818796286387159</v>
      </c>
      <c r="O2" s="4">
        <f t="shared" ref="O2:R17" si="0">I2/SQRT($M2)</f>
        <v>2.8464874111343317</v>
      </c>
      <c r="P2" s="4">
        <f t="shared" si="0"/>
        <v>0.16790702989729428</v>
      </c>
      <c r="Q2" s="4">
        <f t="shared" si="0"/>
        <v>57.771410713433447</v>
      </c>
      <c r="R2" s="10">
        <f t="shared" si="0"/>
        <v>4.9878686191606493E-2</v>
      </c>
    </row>
    <row r="3" spans="1:18" s="4" customFormat="1" x14ac:dyDescent="0.3">
      <c r="A3" s="3"/>
      <c r="B3" s="4">
        <v>2</v>
      </c>
      <c r="C3" s="3">
        <v>97.768292682926798</v>
      </c>
      <c r="D3" s="4">
        <v>43.651711562267302</v>
      </c>
      <c r="E3" s="4">
        <v>21.7545731707317</v>
      </c>
      <c r="F3" s="4">
        <v>2315.85365853659</v>
      </c>
      <c r="G3" s="10">
        <v>0.27424808741363099</v>
      </c>
      <c r="H3" s="3">
        <v>2.5546466511428001</v>
      </c>
      <c r="I3" s="4">
        <v>26.288604801554101</v>
      </c>
      <c r="J3" s="4">
        <v>1.1472104621699499</v>
      </c>
      <c r="K3" s="4">
        <v>334.65381821933602</v>
      </c>
      <c r="L3" s="10">
        <v>0.239517463254735</v>
      </c>
      <c r="M3" s="14">
        <v>41</v>
      </c>
      <c r="N3" s="3">
        <f t="shared" ref="N3:N21" si="1">H3/SQRT($M3)</f>
        <v>0.39896877780510054</v>
      </c>
      <c r="O3" s="4">
        <f t="shared" si="0"/>
        <v>4.1055903066615764</v>
      </c>
      <c r="P3" s="4">
        <f t="shared" si="0"/>
        <v>0.17916417355504749</v>
      </c>
      <c r="Q3" s="4">
        <f t="shared" si="0"/>
        <v>52.264145721699443</v>
      </c>
      <c r="R3" s="10">
        <f t="shared" si="0"/>
        <v>3.7406343274507939E-2</v>
      </c>
    </row>
    <row r="4" spans="1:18" s="6" customFormat="1" ht="15" thickBot="1" x14ac:dyDescent="0.35">
      <c r="A4" s="5"/>
      <c r="B4" s="6">
        <v>4</v>
      </c>
      <c r="C4" s="5">
        <v>92.792682926829301</v>
      </c>
      <c r="D4" s="6">
        <v>37.717703412271298</v>
      </c>
      <c r="E4" s="6">
        <v>21.856707317073202</v>
      </c>
      <c r="F4" s="6">
        <v>2297.7317073170698</v>
      </c>
      <c r="G4" s="11">
        <v>0.18537639234516801</v>
      </c>
      <c r="H4" s="5">
        <v>7.1036747618363796</v>
      </c>
      <c r="I4" s="6">
        <v>21.288834918391601</v>
      </c>
      <c r="J4" s="6">
        <v>1.2116172610173199</v>
      </c>
      <c r="K4" s="6">
        <v>325.29755796733599</v>
      </c>
      <c r="L4" s="11">
        <v>0.22940221303309399</v>
      </c>
      <c r="M4" s="15">
        <v>41</v>
      </c>
      <c r="N4" s="3">
        <f t="shared" si="1"/>
        <v>1.1094076107891351</v>
      </c>
      <c r="O4" s="4">
        <f t="shared" si="0"/>
        <v>3.3247574354307323</v>
      </c>
      <c r="P4" s="4">
        <f t="shared" si="0"/>
        <v>0.18922282562224399</v>
      </c>
      <c r="Q4" s="4">
        <f t="shared" si="0"/>
        <v>50.802943360935764</v>
      </c>
      <c r="R4" s="10">
        <f t="shared" si="0"/>
        <v>3.5826606594949705E-2</v>
      </c>
    </row>
    <row r="5" spans="1:18" s="2" customFormat="1" x14ac:dyDescent="0.3">
      <c r="A5" s="1" t="s">
        <v>11</v>
      </c>
      <c r="B5" s="2">
        <v>1</v>
      </c>
      <c r="C5" s="1">
        <v>97.15625</v>
      </c>
      <c r="D5" s="2">
        <v>45.382291558798201</v>
      </c>
      <c r="E5" s="2">
        <v>22.109375</v>
      </c>
      <c r="F5" s="2">
        <v>2364</v>
      </c>
      <c r="G5" s="12">
        <v>1.4838326804317501</v>
      </c>
      <c r="H5" s="1">
        <v>2.11155614532001</v>
      </c>
      <c r="I5" s="2">
        <v>19.694730009183399</v>
      </c>
      <c r="J5" s="2">
        <v>1.1925296709638</v>
      </c>
      <c r="K5" s="2">
        <v>267.49458842883098</v>
      </c>
      <c r="L5" s="12">
        <v>0.60352313084039999</v>
      </c>
      <c r="M5" s="16">
        <v>32</v>
      </c>
      <c r="N5" s="3">
        <f t="shared" si="1"/>
        <v>0.37327391730297649</v>
      </c>
      <c r="O5" s="4">
        <f t="shared" si="0"/>
        <v>3.4815692857829439</v>
      </c>
      <c r="P5" s="4">
        <f t="shared" si="0"/>
        <v>0.21081145427616629</v>
      </c>
      <c r="Q5" s="4">
        <f t="shared" si="0"/>
        <v>47.286809352182743</v>
      </c>
      <c r="R5" s="10">
        <f t="shared" si="0"/>
        <v>0.1066888246050457</v>
      </c>
    </row>
    <row r="6" spans="1:18" s="4" customFormat="1" x14ac:dyDescent="0.3">
      <c r="A6" s="3" t="s">
        <v>13</v>
      </c>
      <c r="B6" s="4">
        <v>2</v>
      </c>
      <c r="C6" s="3">
        <v>98.0625</v>
      </c>
      <c r="D6" s="4">
        <v>40.975078387808701</v>
      </c>
      <c r="E6" s="4">
        <v>21.833984375</v>
      </c>
      <c r="F6" s="4">
        <v>2189.34375</v>
      </c>
      <c r="G6" s="10">
        <v>1.4213115020763201</v>
      </c>
      <c r="H6" s="3">
        <v>1.4354385639823599</v>
      </c>
      <c r="I6" s="4">
        <v>27.4030013379544</v>
      </c>
      <c r="J6" s="4">
        <v>0.99793251181384002</v>
      </c>
      <c r="K6" s="4">
        <v>266.81473690680002</v>
      </c>
      <c r="L6" s="10">
        <v>0.83789103446012403</v>
      </c>
      <c r="M6" s="14">
        <v>32</v>
      </c>
      <c r="N6" s="3">
        <f t="shared" si="1"/>
        <v>0.25375208564215163</v>
      </c>
      <c r="O6" s="4">
        <f t="shared" si="0"/>
        <v>4.8442120177328976</v>
      </c>
      <c r="P6" s="4">
        <f t="shared" si="0"/>
        <v>0.17641121156752268</v>
      </c>
      <c r="Q6" s="4">
        <f t="shared" si="0"/>
        <v>47.166627446825721</v>
      </c>
      <c r="R6" s="10">
        <f t="shared" si="0"/>
        <v>0.1481196080905412</v>
      </c>
    </row>
    <row r="7" spans="1:18" s="6" customFormat="1" ht="15" thickBot="1" x14ac:dyDescent="0.35">
      <c r="A7" s="5"/>
      <c r="B7" s="6">
        <v>4</v>
      </c>
      <c r="C7" s="5">
        <v>91.0322580645161</v>
      </c>
      <c r="D7" s="6">
        <v>44.686583176114603</v>
      </c>
      <c r="E7" s="6">
        <v>22.112903225806502</v>
      </c>
      <c r="F7" s="6">
        <v>2218.22580645161</v>
      </c>
      <c r="G7" s="11">
        <v>2.8009124601355402</v>
      </c>
      <c r="H7" s="5">
        <v>4.2228258387620201</v>
      </c>
      <c r="I7" s="6">
        <v>7.9413162076636201</v>
      </c>
      <c r="J7" s="6">
        <v>1.05245488754748</v>
      </c>
      <c r="K7" s="6">
        <v>366.82872567247898</v>
      </c>
      <c r="L7" s="11">
        <v>1.13101523357981</v>
      </c>
      <c r="M7" s="15">
        <v>31</v>
      </c>
      <c r="N7" s="3">
        <f t="shared" si="1"/>
        <v>0.75844191017732177</v>
      </c>
      <c r="O7" s="4">
        <f t="shared" si="0"/>
        <v>1.4263024959675472</v>
      </c>
      <c r="P7" s="4">
        <f t="shared" si="0"/>
        <v>0.18902647794752056</v>
      </c>
      <c r="Q7" s="4">
        <f t="shared" si="0"/>
        <v>65.884384066502548</v>
      </c>
      <c r="R7" s="10">
        <f t="shared" si="0"/>
        <v>0.20313633262398517</v>
      </c>
    </row>
    <row r="8" spans="1:18" x14ac:dyDescent="0.3">
      <c r="A8" t="s">
        <v>11</v>
      </c>
      <c r="B8">
        <v>1</v>
      </c>
      <c r="C8" s="3">
        <v>96.738095238095198</v>
      </c>
      <c r="D8" s="4">
        <v>40.442482991572703</v>
      </c>
      <c r="E8" s="4">
        <v>21.933035714285701</v>
      </c>
      <c r="F8" s="4">
        <v>2253.7619047619</v>
      </c>
      <c r="G8" s="10">
        <v>55.4899262530461</v>
      </c>
      <c r="H8" s="3">
        <v>3.9636120740601402</v>
      </c>
      <c r="I8" s="4">
        <v>6.2472271887046604</v>
      </c>
      <c r="J8" s="4">
        <v>1.1685663949579801</v>
      </c>
      <c r="K8" s="4">
        <v>376.03430107707902</v>
      </c>
      <c r="L8" s="10">
        <v>68.878815293538807</v>
      </c>
      <c r="M8" s="14">
        <v>42</v>
      </c>
      <c r="N8" s="3">
        <f t="shared" si="1"/>
        <v>0.6115986209776747</v>
      </c>
      <c r="O8" s="4">
        <f t="shared" si="0"/>
        <v>0.96396808319139082</v>
      </c>
      <c r="P8" s="4">
        <f t="shared" si="0"/>
        <v>0.18031370939514133</v>
      </c>
      <c r="Q8" s="4">
        <f t="shared" si="0"/>
        <v>58.023352356847155</v>
      </c>
      <c r="R8" s="10">
        <f t="shared" si="0"/>
        <v>10.628231941213206</v>
      </c>
    </row>
    <row r="9" spans="1:18" x14ac:dyDescent="0.3">
      <c r="A9" t="s">
        <v>14</v>
      </c>
      <c r="B9">
        <v>2</v>
      </c>
      <c r="C9" s="3">
        <v>96.772727272727295</v>
      </c>
      <c r="D9" s="4">
        <v>38.706210418282502</v>
      </c>
      <c r="E9" s="4">
        <v>21.882102272727298</v>
      </c>
      <c r="F9" s="4">
        <v>2251.5909090909099</v>
      </c>
      <c r="G9" s="10">
        <v>45.6559948848668</v>
      </c>
      <c r="H9" s="3">
        <v>1.8535150310698001</v>
      </c>
      <c r="I9" s="4">
        <v>2.1849475597016501</v>
      </c>
      <c r="J9" s="4">
        <v>1.5526852156286901</v>
      </c>
      <c r="K9" s="4">
        <v>378.33836942067899</v>
      </c>
      <c r="L9" s="10">
        <v>50.166408226614003</v>
      </c>
      <c r="M9" s="14">
        <v>44</v>
      </c>
      <c r="N9" s="3">
        <f t="shared" si="1"/>
        <v>0.27942790460647537</v>
      </c>
      <c r="O9" s="4">
        <f t="shared" si="0"/>
        <v>0.32939323827877398</v>
      </c>
      <c r="P9" s="4">
        <f t="shared" si="0"/>
        <v>0.2340761035351106</v>
      </c>
      <c r="Q9" s="4">
        <f t="shared" si="0"/>
        <v>57.036655234693782</v>
      </c>
      <c r="R9" s="10">
        <f t="shared" si="0"/>
        <v>7.5628705985216849</v>
      </c>
    </row>
    <row r="10" spans="1:18" x14ac:dyDescent="0.3">
      <c r="B10">
        <v>4</v>
      </c>
      <c r="C10" s="3">
        <v>78.813953488372107</v>
      </c>
      <c r="D10" s="4">
        <v>51.865276343063897</v>
      </c>
      <c r="E10" s="4">
        <v>21.888081395348799</v>
      </c>
      <c r="F10" s="4">
        <v>2284.6511627906998</v>
      </c>
      <c r="G10" s="10">
        <v>45.327019695752703</v>
      </c>
      <c r="H10" s="3">
        <v>14.368046250113601</v>
      </c>
      <c r="I10" s="4">
        <v>9.6287313050697207</v>
      </c>
      <c r="J10" s="4">
        <v>1.1763700013693901</v>
      </c>
      <c r="K10" s="4">
        <v>382.377517502628</v>
      </c>
      <c r="L10" s="10">
        <v>39.304542594044598</v>
      </c>
      <c r="M10" s="14">
        <v>43</v>
      </c>
      <c r="N10" s="3">
        <f t="shared" si="1"/>
        <v>2.1911065116150659</v>
      </c>
      <c r="O10" s="4">
        <f t="shared" si="0"/>
        <v>1.4683677581399273</v>
      </c>
      <c r="P10" s="4">
        <f t="shared" si="0"/>
        <v>0.17939474339099618</v>
      </c>
      <c r="Q10" s="4">
        <f t="shared" si="0"/>
        <v>58.312024746481292</v>
      </c>
      <c r="R10" s="10">
        <f t="shared" si="0"/>
        <v>5.9938865531687666</v>
      </c>
    </row>
    <row r="11" spans="1:18" ht="15" thickBot="1" x14ac:dyDescent="0.35">
      <c r="C11" s="3"/>
      <c r="D11" s="4"/>
      <c r="E11" s="4"/>
      <c r="F11" s="4"/>
      <c r="G11" s="10"/>
      <c r="H11" s="3"/>
      <c r="I11" s="4"/>
      <c r="J11" s="4"/>
      <c r="K11" s="4"/>
      <c r="L11" s="10"/>
      <c r="M11" s="14"/>
      <c r="N11" s="3"/>
      <c r="O11" s="4"/>
      <c r="P11" s="4"/>
      <c r="Q11" s="4"/>
      <c r="R11" s="10"/>
    </row>
    <row r="12" spans="1:18" s="2" customFormat="1" ht="15" thickBot="1" x14ac:dyDescent="0.35">
      <c r="A12" s="1"/>
      <c r="B12" s="2" t="s">
        <v>0</v>
      </c>
      <c r="C12" s="1" t="s">
        <v>1</v>
      </c>
      <c r="D12" s="2" t="s">
        <v>2</v>
      </c>
      <c r="E12" s="2" t="s">
        <v>3</v>
      </c>
      <c r="F12" s="2" t="s">
        <v>4</v>
      </c>
      <c r="G12" s="12" t="s">
        <v>5</v>
      </c>
      <c r="H12" s="1" t="s">
        <v>6</v>
      </c>
      <c r="I12" s="2" t="s">
        <v>7</v>
      </c>
      <c r="J12" s="2" t="s">
        <v>8</v>
      </c>
      <c r="K12" s="2" t="s">
        <v>9</v>
      </c>
      <c r="L12" s="12" t="s">
        <v>10</v>
      </c>
      <c r="M12" s="16" t="s">
        <v>20</v>
      </c>
      <c r="N12" s="7" t="s">
        <v>15</v>
      </c>
      <c r="O12" s="8" t="s">
        <v>16</v>
      </c>
      <c r="P12" s="8" t="s">
        <v>17</v>
      </c>
      <c r="Q12" s="8" t="s">
        <v>18</v>
      </c>
      <c r="R12" s="9" t="s">
        <v>19</v>
      </c>
    </row>
    <row r="13" spans="1:18" s="4" customFormat="1" x14ac:dyDescent="0.3">
      <c r="A13" s="3" t="s">
        <v>21</v>
      </c>
      <c r="B13" s="4">
        <v>1</v>
      </c>
      <c r="C13" s="3">
        <v>98.9444444444444</v>
      </c>
      <c r="D13" s="4">
        <v>35.385961109029303</v>
      </c>
      <c r="E13" s="4">
        <v>21.938888888888901</v>
      </c>
      <c r="F13" s="4">
        <v>2346.1999999999998</v>
      </c>
      <c r="G13" s="10">
        <v>0.71650831672086102</v>
      </c>
      <c r="H13" s="3">
        <v>1.4350412657284199</v>
      </c>
      <c r="I13" s="4">
        <v>18.152886718968201</v>
      </c>
      <c r="J13" s="4">
        <v>1.0626243985405801</v>
      </c>
      <c r="K13" s="4">
        <v>333.199066898181</v>
      </c>
      <c r="L13" s="10">
        <v>0.608298254763602</v>
      </c>
      <c r="M13" s="14">
        <v>45</v>
      </c>
      <c r="N13" s="3">
        <f t="shared" si="1"/>
        <v>0.21392332137907241</v>
      </c>
      <c r="O13" s="4">
        <f t="shared" si="0"/>
        <v>2.7060725794310678</v>
      </c>
      <c r="P13" s="4">
        <f t="shared" si="0"/>
        <v>0.15840669264577101</v>
      </c>
      <c r="Q13" s="4">
        <f t="shared" si="0"/>
        <v>49.670384241588849</v>
      </c>
      <c r="R13" s="10">
        <f t="shared" ref="R13:R21" si="2">L13/SQRT($M13)</f>
        <v>9.0679749883059949E-2</v>
      </c>
    </row>
    <row r="14" spans="1:18" s="4" customFormat="1" x14ac:dyDescent="0.3">
      <c r="A14" s="3" t="s">
        <v>12</v>
      </c>
      <c r="B14" s="4">
        <v>2</v>
      </c>
      <c r="C14" s="3">
        <v>97.223684210526301</v>
      </c>
      <c r="D14" s="4">
        <v>36.105753913529398</v>
      </c>
      <c r="E14" s="4">
        <v>21.952302631578899</v>
      </c>
      <c r="F14" s="4">
        <v>2281.6842105263199</v>
      </c>
      <c r="G14" s="10">
        <v>1.95589565836888</v>
      </c>
      <c r="H14" s="3">
        <v>2.8037074114345701</v>
      </c>
      <c r="I14" s="4">
        <v>12.994283165191501</v>
      </c>
      <c r="J14" s="4">
        <v>1.0183529331618699</v>
      </c>
      <c r="K14" s="4">
        <v>344.49321220811902</v>
      </c>
      <c r="L14" s="10">
        <v>1.35320676729679</v>
      </c>
      <c r="M14" s="14">
        <v>38</v>
      </c>
      <c r="N14" s="3">
        <f t="shared" si="1"/>
        <v>0.45482140071776755</v>
      </c>
      <c r="O14" s="4">
        <f t="shared" si="0"/>
        <v>2.1079510816329088</v>
      </c>
      <c r="P14" s="4">
        <f t="shared" si="0"/>
        <v>0.16519866003019898</v>
      </c>
      <c r="Q14" s="4">
        <f t="shared" si="0"/>
        <v>55.884178454302429</v>
      </c>
      <c r="R14" s="10">
        <f t="shared" si="2"/>
        <v>0.21951912487465036</v>
      </c>
    </row>
    <row r="15" spans="1:18" s="6" customFormat="1" ht="15" thickBot="1" x14ac:dyDescent="0.35">
      <c r="A15" s="5"/>
      <c r="B15" s="6">
        <v>4</v>
      </c>
      <c r="C15" s="5">
        <v>49.362499999999997</v>
      </c>
      <c r="D15" s="6">
        <v>31.370900476081701</v>
      </c>
      <c r="E15" s="6">
        <v>21.715624999999999</v>
      </c>
      <c r="F15" s="6">
        <v>2252.375</v>
      </c>
      <c r="G15" s="11">
        <v>0.18598646169831501</v>
      </c>
      <c r="H15" s="5">
        <v>17.744622695774201</v>
      </c>
      <c r="I15" s="6">
        <v>12.2730540588383</v>
      </c>
      <c r="J15" s="6">
        <v>1.1725142487243101</v>
      </c>
      <c r="K15" s="6">
        <v>307.09279375191898</v>
      </c>
      <c r="L15" s="11">
        <v>0.288627472740557</v>
      </c>
      <c r="M15" s="15">
        <v>40</v>
      </c>
      <c r="N15" s="3">
        <f t="shared" si="1"/>
        <v>2.8056711969481776</v>
      </c>
      <c r="O15" s="4">
        <f t="shared" si="0"/>
        <v>1.9405402336151603</v>
      </c>
      <c r="P15" s="4">
        <f t="shared" si="0"/>
        <v>0.18539078074849982</v>
      </c>
      <c r="Q15" s="4">
        <f t="shared" si="0"/>
        <v>48.555634064019451</v>
      </c>
      <c r="R15" s="10">
        <f t="shared" si="2"/>
        <v>4.5636010457916064E-2</v>
      </c>
    </row>
    <row r="16" spans="1:18" s="2" customFormat="1" x14ac:dyDescent="0.3">
      <c r="A16" s="1" t="s">
        <v>21</v>
      </c>
      <c r="B16" s="2">
        <v>1</v>
      </c>
      <c r="C16" s="1">
        <v>96.923076923076906</v>
      </c>
      <c r="D16" s="2">
        <v>41.336934318869297</v>
      </c>
      <c r="E16" s="2">
        <v>21.876201923076898</v>
      </c>
      <c r="F16" s="2">
        <v>2209.73076923077</v>
      </c>
      <c r="G16" s="12">
        <v>5.3136247274904598</v>
      </c>
      <c r="H16" s="1">
        <v>4.0236855305638404</v>
      </c>
      <c r="I16" s="2">
        <v>14.857181849284901</v>
      </c>
      <c r="J16" s="2">
        <v>1.20916703730869</v>
      </c>
      <c r="K16" s="2">
        <v>381.56736179043202</v>
      </c>
      <c r="L16" s="12">
        <v>2.32415517549817</v>
      </c>
      <c r="M16" s="16">
        <v>52</v>
      </c>
      <c r="N16" s="3">
        <f t="shared" si="1"/>
        <v>0.5579847883380944</v>
      </c>
      <c r="O16" s="4">
        <f t="shared" si="0"/>
        <v>2.0603204217880617</v>
      </c>
      <c r="P16" s="4">
        <f t="shared" si="0"/>
        <v>0.16768129821605232</v>
      </c>
      <c r="Q16" s="4">
        <f t="shared" si="0"/>
        <v>52.913872614573911</v>
      </c>
      <c r="R16" s="10">
        <f t="shared" si="2"/>
        <v>0.32230233297667921</v>
      </c>
    </row>
    <row r="17" spans="1:18" s="4" customFormat="1" x14ac:dyDescent="0.3">
      <c r="A17" s="3" t="s">
        <v>13</v>
      </c>
      <c r="B17" s="4">
        <v>2</v>
      </c>
      <c r="C17" s="3">
        <v>98.267857142857096</v>
      </c>
      <c r="D17" s="4">
        <v>33.934431587641399</v>
      </c>
      <c r="E17" s="4">
        <v>21.926339285714299</v>
      </c>
      <c r="F17" s="4">
        <v>2228.4464285714298</v>
      </c>
      <c r="G17" s="10">
        <v>8.5548395718233508</v>
      </c>
      <c r="H17" s="3">
        <v>1.7108325610497499</v>
      </c>
      <c r="I17" s="4">
        <v>16.455802572105</v>
      </c>
      <c r="J17" s="4">
        <v>1.10840712534677</v>
      </c>
      <c r="K17" s="4">
        <v>377.87659936896</v>
      </c>
      <c r="L17" s="10">
        <v>4.6328498327177003</v>
      </c>
      <c r="M17" s="14">
        <v>56</v>
      </c>
      <c r="N17" s="3">
        <f t="shared" si="1"/>
        <v>0.22861961748518489</v>
      </c>
      <c r="O17" s="4">
        <f t="shared" si="0"/>
        <v>2.198999116043225</v>
      </c>
      <c r="P17" s="4">
        <f t="shared" si="0"/>
        <v>0.14811713243237901</v>
      </c>
      <c r="Q17" s="4">
        <f t="shared" si="0"/>
        <v>50.495884618495943</v>
      </c>
      <c r="R17" s="10">
        <f t="shared" si="2"/>
        <v>0.61909059994295013</v>
      </c>
    </row>
    <row r="18" spans="1:18" s="6" customFormat="1" ht="15" thickBot="1" x14ac:dyDescent="0.35">
      <c r="A18" s="5"/>
      <c r="B18" s="6">
        <v>4</v>
      </c>
      <c r="C18" s="5">
        <v>78.174999999999997</v>
      </c>
      <c r="D18" s="6">
        <v>61.8975655774328</v>
      </c>
      <c r="E18" s="6">
        <v>21.803125000000001</v>
      </c>
      <c r="F18" s="6">
        <v>2196.9499999999998</v>
      </c>
      <c r="G18" s="11">
        <v>5.6478767460930497</v>
      </c>
      <c r="H18" s="5">
        <v>8.6909546257987298</v>
      </c>
      <c r="I18" s="6">
        <v>19.229142868523699</v>
      </c>
      <c r="J18" s="6">
        <v>1.0872909097550201</v>
      </c>
      <c r="K18" s="6">
        <v>360.91223096694603</v>
      </c>
      <c r="L18" s="11">
        <v>3.0242322862213</v>
      </c>
      <c r="M18" s="15">
        <v>40</v>
      </c>
      <c r="N18" s="3">
        <f t="shared" si="1"/>
        <v>1.3741605829350179</v>
      </c>
      <c r="O18" s="4">
        <f t="shared" ref="O18:O21" si="3">I18/SQRT($M18)</f>
        <v>3.04039444586593</v>
      </c>
      <c r="P18" s="4">
        <f t="shared" ref="P18:P21" si="4">J18/SQRT($M18)</f>
        <v>0.17191578770112265</v>
      </c>
      <c r="Q18" s="4">
        <f t="shared" ref="Q18:Q21" si="5">K18/SQRT($M18)</f>
        <v>57.065234263415185</v>
      </c>
      <c r="R18" s="10">
        <f t="shared" si="2"/>
        <v>0.47817310989387801</v>
      </c>
    </row>
    <row r="19" spans="1:18" s="2" customFormat="1" x14ac:dyDescent="0.3">
      <c r="A19" s="1" t="s">
        <v>21</v>
      </c>
      <c r="B19" s="2">
        <v>1</v>
      </c>
      <c r="C19" s="1">
        <v>97.840909090909093</v>
      </c>
      <c r="D19" s="2">
        <v>38.807510000000001</v>
      </c>
      <c r="E19" s="2">
        <v>22.005681818181799</v>
      </c>
      <c r="F19" s="2">
        <v>2270.1136363636401</v>
      </c>
      <c r="G19" s="12">
        <v>25.052847298932701</v>
      </c>
      <c r="H19" s="1">
        <v>3.15449610333599</v>
      </c>
      <c r="I19" s="2">
        <v>3.103434</v>
      </c>
      <c r="J19" s="2">
        <v>1.18629974393171</v>
      </c>
      <c r="K19" s="2">
        <v>383.33167470609698</v>
      </c>
      <c r="L19" s="12">
        <v>28.804669323876698</v>
      </c>
      <c r="M19" s="16">
        <v>44</v>
      </c>
      <c r="N19" s="3">
        <f t="shared" si="1"/>
        <v>0.47555818079107515</v>
      </c>
      <c r="O19" s="4">
        <f t="shared" si="3"/>
        <v>0.46786027907417366</v>
      </c>
      <c r="P19" s="4">
        <f t="shared" si="4"/>
        <v>0.17884141543255327</v>
      </c>
      <c r="Q19" s="4">
        <f t="shared" si="5"/>
        <v>57.789424329940601</v>
      </c>
      <c r="R19" s="10">
        <f t="shared" si="2"/>
        <v>4.3424672889799627</v>
      </c>
    </row>
    <row r="20" spans="1:18" s="4" customFormat="1" x14ac:dyDescent="0.3">
      <c r="A20" s="3" t="s">
        <v>14</v>
      </c>
      <c r="B20" s="4">
        <v>2</v>
      </c>
      <c r="C20" s="3">
        <v>91</v>
      </c>
      <c r="D20" s="4">
        <v>35.621859999999998</v>
      </c>
      <c r="E20" s="4">
        <v>21.90625</v>
      </c>
      <c r="F20" s="4">
        <v>2295.60526315789</v>
      </c>
      <c r="G20" s="10">
        <v>75.628443600718001</v>
      </c>
      <c r="H20" s="3">
        <v>8.9954943676775692</v>
      </c>
      <c r="I20" s="4">
        <v>2.4562719999999998</v>
      </c>
      <c r="J20" s="4">
        <v>1.20016802736905</v>
      </c>
      <c r="K20" s="4">
        <v>397.98842435113198</v>
      </c>
      <c r="L20" s="10">
        <v>34.667777647232697</v>
      </c>
      <c r="M20" s="14">
        <v>38</v>
      </c>
      <c r="N20" s="3">
        <f t="shared" si="1"/>
        <v>1.4592618800984256</v>
      </c>
      <c r="O20" s="4">
        <f t="shared" si="3"/>
        <v>0.39845993452370038</v>
      </c>
      <c r="P20" s="4">
        <f t="shared" si="4"/>
        <v>0.19469296299551123</v>
      </c>
      <c r="Q20" s="4">
        <f t="shared" si="5"/>
        <v>64.562247791833613</v>
      </c>
      <c r="R20" s="10">
        <f t="shared" si="2"/>
        <v>5.6238561573793717</v>
      </c>
    </row>
    <row r="21" spans="1:18" s="6" customFormat="1" ht="15" thickBot="1" x14ac:dyDescent="0.35">
      <c r="A21" s="5"/>
      <c r="B21" s="6">
        <v>4</v>
      </c>
      <c r="C21" s="5">
        <v>53.026315789473699</v>
      </c>
      <c r="D21" s="6">
        <v>59.307267253219401</v>
      </c>
      <c r="E21" s="6">
        <v>21.689144736842099</v>
      </c>
      <c r="F21" s="6">
        <v>2281.71052631579</v>
      </c>
      <c r="G21" s="11">
        <v>57.978504870044297</v>
      </c>
      <c r="H21" s="5">
        <v>20.780040894407701</v>
      </c>
      <c r="I21" s="6">
        <v>11.384753999999999</v>
      </c>
      <c r="J21" s="6">
        <v>1.3847540122458599</v>
      </c>
      <c r="K21" s="6">
        <v>382.91724516265703</v>
      </c>
      <c r="L21" s="11">
        <v>40.848765811140701</v>
      </c>
      <c r="M21" s="15">
        <v>38</v>
      </c>
      <c r="N21" s="5">
        <f t="shared" si="1"/>
        <v>3.3709677650461796</v>
      </c>
      <c r="O21" s="6">
        <f t="shared" si="3"/>
        <v>1.8468509731041334</v>
      </c>
      <c r="P21" s="6">
        <f t="shared" si="4"/>
        <v>0.22463676378304875</v>
      </c>
      <c r="Q21" s="6">
        <f t="shared" si="5"/>
        <v>62.117379685762835</v>
      </c>
      <c r="R21" s="11">
        <f t="shared" si="2"/>
        <v>6.6265448413209507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Abies alba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Buezo</cp:lastModifiedBy>
  <dcterms:created xsi:type="dcterms:W3CDTF">2021-10-19T13:54:57Z</dcterms:created>
  <dcterms:modified xsi:type="dcterms:W3CDTF">2021-11-23T12:46:28Z</dcterms:modified>
</cp:coreProperties>
</file>