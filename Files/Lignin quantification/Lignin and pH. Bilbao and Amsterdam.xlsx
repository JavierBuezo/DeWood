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Lignin quantification\"/>
    </mc:Choice>
  </mc:AlternateContent>
  <xr:revisionPtr revIDLastSave="0" documentId="13_ncr:1_{975A90DF-E9CD-4389-B4E7-7A2D939BD73C}" xr6:coauthVersionLast="47" xr6:coauthVersionMax="47" xr10:uidLastSave="{00000000-0000-0000-0000-000000000000}"/>
  <bookViews>
    <workbookView xWindow="-108" yWindow="-108" windowWidth="23256" windowHeight="12576" firstSheet="1" activeTab="6" xr2:uid="{C37FFB74-A1D4-44DB-8510-8404C777A435}"/>
  </bookViews>
  <sheets>
    <sheet name="CEBAS ION2768" sheetId="1" r:id="rId1"/>
    <sheet name="CEBAS ION2775" sheetId="2" r:id="rId2"/>
    <sheet name="Hoja1" sheetId="8" r:id="rId3"/>
    <sheet name="LIGNIN BILBAO" sheetId="3" r:id="rId4"/>
    <sheet name="Counting for FITR" sheetId="9" r:id="rId5"/>
    <sheet name="pH measurement" sheetId="10" r:id="rId6"/>
    <sheet name="Hoja3" sheetId="12" r:id="rId7"/>
    <sheet name="Lignin measurement Plates" sheetId="4" r:id="rId8"/>
    <sheet name="Hoja2" sheetId="6" r:id="rId9"/>
    <sheet name="Light path calculation" sheetId="5" r:id="rId10"/>
    <sheet name="Dried samples " sheetId="7" r:id="rId11"/>
  </sheets>
  <definedNames>
    <definedName name="_xlnm._FilterDatabase" localSheetId="3" hidden="1">'LIGNIN BILBAO'!$A$1:$Q$51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2" l="1"/>
  <c r="M15" i="12"/>
  <c r="L15" i="12"/>
  <c r="K15" i="12"/>
  <c r="J15" i="12"/>
  <c r="I15" i="12"/>
  <c r="H15" i="12"/>
  <c r="G15" i="12"/>
  <c r="F15" i="12"/>
  <c r="G9" i="12"/>
  <c r="H9" i="12"/>
  <c r="I9" i="12"/>
  <c r="J9" i="12"/>
  <c r="K9" i="12"/>
  <c r="L9" i="12"/>
  <c r="M9" i="12"/>
  <c r="N9" i="12"/>
  <c r="F9" i="12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C23" i="10"/>
  <c r="F23" i="10" s="1"/>
  <c r="C24" i="10"/>
  <c r="F24" i="10" s="1"/>
  <c r="C25" i="10"/>
  <c r="F25" i="10" s="1"/>
  <c r="C26" i="10"/>
  <c r="F26" i="10" s="1"/>
  <c r="C27" i="10"/>
  <c r="D27" i="10" s="1"/>
  <c r="C28" i="10"/>
  <c r="D28" i="10" s="1"/>
  <c r="C29" i="10"/>
  <c r="E29" i="10" s="1"/>
  <c r="C30" i="10"/>
  <c r="E30" i="10" s="1"/>
  <c r="C31" i="10"/>
  <c r="F31" i="10" s="1"/>
  <c r="C32" i="10"/>
  <c r="F32" i="10" s="1"/>
  <c r="C33" i="10"/>
  <c r="F33" i="10" s="1"/>
  <c r="C34" i="10"/>
  <c r="F34" i="10" s="1"/>
  <c r="C35" i="10"/>
  <c r="D35" i="10" s="1"/>
  <c r="C36" i="10"/>
  <c r="D36" i="10" s="1"/>
  <c r="C37" i="10"/>
  <c r="E37" i="10" s="1"/>
  <c r="C38" i="10"/>
  <c r="E38" i="10" s="1"/>
  <c r="C39" i="10"/>
  <c r="F39" i="10" s="1"/>
  <c r="C40" i="10"/>
  <c r="F40" i="10" s="1"/>
  <c r="C41" i="10"/>
  <c r="F41" i="10" s="1"/>
  <c r="C42" i="10"/>
  <c r="F42" i="10" s="1"/>
  <c r="C43" i="10"/>
  <c r="D43" i="10" s="1"/>
  <c r="C44" i="10"/>
  <c r="D44" i="10" s="1"/>
  <c r="C45" i="10"/>
  <c r="E45" i="10" s="1"/>
  <c r="C46" i="10"/>
  <c r="E46" i="10" s="1"/>
  <c r="C47" i="10"/>
  <c r="F47" i="10" s="1"/>
  <c r="C48" i="10"/>
  <c r="F48" i="10" s="1"/>
  <c r="C49" i="10"/>
  <c r="F49" i="10" s="1"/>
  <c r="C50" i="10"/>
  <c r="F50" i="10" s="1"/>
  <c r="C51" i="10"/>
  <c r="D51" i="10" s="1"/>
  <c r="C52" i="10"/>
  <c r="D52" i="10" s="1"/>
  <c r="C53" i="10"/>
  <c r="E53" i="10" s="1"/>
  <c r="C54" i="10"/>
  <c r="E54" i="10" s="1"/>
  <c r="C55" i="10"/>
  <c r="F55" i="10" s="1"/>
  <c r="C56" i="10"/>
  <c r="F56" i="10" s="1"/>
  <c r="C57" i="10"/>
  <c r="F57" i="10" s="1"/>
  <c r="C58" i="10"/>
  <c r="F58" i="10" s="1"/>
  <c r="C59" i="10"/>
  <c r="D59" i="10" s="1"/>
  <c r="C60" i="10"/>
  <c r="D60" i="10" s="1"/>
  <c r="C61" i="10"/>
  <c r="E61" i="10" s="1"/>
  <c r="C62" i="10"/>
  <c r="E62" i="10" s="1"/>
  <c r="C63" i="10"/>
  <c r="F63" i="10" s="1"/>
  <c r="C64" i="10"/>
  <c r="F64" i="10" s="1"/>
  <c r="C65" i="10"/>
  <c r="F65" i="10" s="1"/>
  <c r="C66" i="10"/>
  <c r="F66" i="10" s="1"/>
  <c r="C67" i="10"/>
  <c r="D67" i="10" s="1"/>
  <c r="C68" i="10"/>
  <c r="D68" i="10" s="1"/>
  <c r="C69" i="10"/>
  <c r="E69" i="10" s="1"/>
  <c r="C70" i="10"/>
  <c r="E70" i="10" s="1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22" i="10"/>
  <c r="F22" i="10" s="1"/>
  <c r="F62" i="9"/>
  <c r="Q10" i="9"/>
  <c r="I22" i="9"/>
  <c r="L14" i="9"/>
  <c r="K14" i="9"/>
  <c r="J14" i="9"/>
  <c r="L13" i="9"/>
  <c r="K13" i="9"/>
  <c r="J13" i="9"/>
  <c r="L12" i="9"/>
  <c r="K12" i="9"/>
  <c r="J12" i="9"/>
  <c r="J6" i="9"/>
  <c r="K6" i="9"/>
  <c r="Q11" i="9" s="1"/>
  <c r="L6" i="9"/>
  <c r="J7" i="9"/>
  <c r="K7" i="9"/>
  <c r="Q12" i="9" s="1"/>
  <c r="L7" i="9"/>
  <c r="L5" i="9"/>
  <c r="J5" i="9"/>
  <c r="N3" i="3"/>
  <c r="P3" i="3" s="1"/>
  <c r="N4" i="3"/>
  <c r="P4" i="3" s="1"/>
  <c r="N5" i="3"/>
  <c r="P5" i="3" s="1"/>
  <c r="N6" i="3"/>
  <c r="P6" i="3" s="1"/>
  <c r="N7" i="3"/>
  <c r="O7" i="3" s="1"/>
  <c r="N8" i="3"/>
  <c r="O8" i="3" s="1"/>
  <c r="N9" i="3"/>
  <c r="Q9" i="3" s="1"/>
  <c r="N10" i="3"/>
  <c r="P10" i="3" s="1"/>
  <c r="N11" i="3"/>
  <c r="P11" i="3" s="1"/>
  <c r="N12" i="3"/>
  <c r="P12" i="3" s="1"/>
  <c r="N13" i="3"/>
  <c r="Q13" i="3" s="1"/>
  <c r="N14" i="3"/>
  <c r="Q14" i="3" s="1"/>
  <c r="N15" i="3"/>
  <c r="O15" i="3" s="1"/>
  <c r="N16" i="3"/>
  <c r="O16" i="3" s="1"/>
  <c r="N17" i="3"/>
  <c r="Q17" i="3" s="1"/>
  <c r="N18" i="3"/>
  <c r="P18" i="3" s="1"/>
  <c r="N19" i="3"/>
  <c r="P19" i="3" s="1"/>
  <c r="N20" i="3"/>
  <c r="P20" i="3" s="1"/>
  <c r="N21" i="3"/>
  <c r="P21" i="3" s="1"/>
  <c r="N22" i="3"/>
  <c r="P22" i="3" s="1"/>
  <c r="N23" i="3"/>
  <c r="O23" i="3" s="1"/>
  <c r="N24" i="3"/>
  <c r="O24" i="3" s="1"/>
  <c r="N25" i="3"/>
  <c r="Q25" i="3" s="1"/>
  <c r="N26" i="3"/>
  <c r="Q26" i="3" s="1"/>
  <c r="N27" i="3"/>
  <c r="P27" i="3" s="1"/>
  <c r="N28" i="3"/>
  <c r="P28" i="3" s="1"/>
  <c r="N29" i="3"/>
  <c r="P29" i="3" s="1"/>
  <c r="N30" i="3"/>
  <c r="P30" i="3" s="1"/>
  <c r="N31" i="3"/>
  <c r="O31" i="3" s="1"/>
  <c r="N32" i="3"/>
  <c r="O32" i="3" s="1"/>
  <c r="N33" i="3"/>
  <c r="Q33" i="3" s="1"/>
  <c r="N34" i="3"/>
  <c r="Q34" i="3" s="1"/>
  <c r="N35" i="3"/>
  <c r="P35" i="3" s="1"/>
  <c r="N36" i="3"/>
  <c r="P36" i="3" s="1"/>
  <c r="N37" i="3"/>
  <c r="P37" i="3" s="1"/>
  <c r="N38" i="3"/>
  <c r="P38" i="3" s="1"/>
  <c r="N39" i="3"/>
  <c r="O39" i="3" s="1"/>
  <c r="N40" i="3"/>
  <c r="O40" i="3" s="1"/>
  <c r="N41" i="3"/>
  <c r="Q41" i="3" s="1"/>
  <c r="N42" i="3"/>
  <c r="Q42" i="3" s="1"/>
  <c r="N43" i="3"/>
  <c r="P43" i="3" s="1"/>
  <c r="N44" i="3"/>
  <c r="P44" i="3" s="1"/>
  <c r="N45" i="3"/>
  <c r="P45" i="3" s="1"/>
  <c r="N46" i="3"/>
  <c r="P46" i="3" s="1"/>
  <c r="N47" i="3"/>
  <c r="O47" i="3" s="1"/>
  <c r="N48" i="3"/>
  <c r="O48" i="3" s="1"/>
  <c r="N49" i="3"/>
  <c r="Q49" i="3" s="1"/>
  <c r="N50" i="3"/>
  <c r="Q50" i="3" s="1"/>
  <c r="N51" i="3"/>
  <c r="P51" i="3" s="1"/>
  <c r="N2" i="3"/>
  <c r="P2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2" i="3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182" i="4"/>
  <c r="E60" i="3"/>
  <c r="E61" i="3"/>
  <c r="E62" i="3"/>
  <c r="E63" i="3"/>
  <c r="E59" i="3"/>
  <c r="E3" i="3"/>
  <c r="F3" i="3" s="1"/>
  <c r="E4" i="3"/>
  <c r="F4" i="3" s="1"/>
  <c r="E5" i="3"/>
  <c r="F5" i="3" s="1"/>
  <c r="E6" i="3"/>
  <c r="F6" i="3" s="1"/>
  <c r="E7" i="3"/>
  <c r="E8" i="3"/>
  <c r="F8" i="3" s="1"/>
  <c r="E9" i="3"/>
  <c r="F9" i="3" s="1"/>
  <c r="E10" i="3"/>
  <c r="F10" i="3" s="1"/>
  <c r="E11" i="3"/>
  <c r="E12" i="3"/>
  <c r="F12" i="3" s="1"/>
  <c r="E13" i="3"/>
  <c r="F13" i="3" s="1"/>
  <c r="E14" i="3"/>
  <c r="E15" i="3"/>
  <c r="E16" i="3"/>
  <c r="F16" i="3" s="1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2" i="3"/>
  <c r="F2" i="3" s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2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31" i="3"/>
  <c r="AA115" i="3"/>
  <c r="AA116" i="3"/>
  <c r="AA117" i="3"/>
  <c r="AA118" i="3"/>
  <c r="AA119" i="3"/>
  <c r="AA120" i="3"/>
  <c r="Y31" i="3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3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W129" i="4"/>
  <c r="W128" i="4"/>
  <c r="W127" i="4"/>
  <c r="W126" i="4"/>
  <c r="V131" i="4"/>
  <c r="V129" i="4"/>
  <c r="V128" i="4"/>
  <c r="V127" i="4"/>
  <c r="V126" i="4"/>
  <c r="S129" i="4"/>
  <c r="S128" i="4"/>
  <c r="S127" i="4"/>
  <c r="S126" i="4"/>
  <c r="R131" i="4"/>
  <c r="R129" i="4"/>
  <c r="R128" i="4"/>
  <c r="R127" i="4"/>
  <c r="R126" i="4"/>
  <c r="U131" i="4"/>
  <c r="U130" i="4"/>
  <c r="U129" i="4"/>
  <c r="U128" i="4"/>
  <c r="U127" i="4"/>
  <c r="U126" i="4"/>
  <c r="Q131" i="4"/>
  <c r="Q130" i="4"/>
  <c r="Q129" i="4"/>
  <c r="Q128" i="4"/>
  <c r="Q127" i="4"/>
  <c r="Q126" i="4"/>
  <c r="N157" i="4"/>
  <c r="N149" i="4"/>
  <c r="N158" i="4"/>
  <c r="N154" i="4"/>
  <c r="N145" i="4"/>
  <c r="N150" i="4"/>
  <c r="N155" i="4"/>
  <c r="N156" i="4"/>
  <c r="N146" i="4"/>
  <c r="N151" i="4"/>
  <c r="N147" i="4"/>
  <c r="N159" i="4"/>
  <c r="N160" i="4"/>
  <c r="N152" i="4"/>
  <c r="N161" i="4"/>
  <c r="N148" i="4"/>
  <c r="N162" i="4"/>
  <c r="N175" i="4"/>
  <c r="N171" i="4"/>
  <c r="N176" i="4"/>
  <c r="N163" i="4"/>
  <c r="N164" i="4"/>
  <c r="N170" i="4"/>
  <c r="N177" i="4"/>
  <c r="N165" i="4"/>
  <c r="N168" i="4"/>
  <c r="N166" i="4"/>
  <c r="N172" i="4"/>
  <c r="N173" i="4"/>
  <c r="N169" i="4"/>
  <c r="N167" i="4"/>
  <c r="N174" i="4"/>
  <c r="M157" i="4"/>
  <c r="M149" i="4"/>
  <c r="M158" i="4"/>
  <c r="M154" i="4"/>
  <c r="M145" i="4"/>
  <c r="M150" i="4"/>
  <c r="M155" i="4"/>
  <c r="M156" i="4"/>
  <c r="M146" i="4"/>
  <c r="M151" i="4"/>
  <c r="M147" i="4"/>
  <c r="M159" i="4"/>
  <c r="M160" i="4"/>
  <c r="M152" i="4"/>
  <c r="M161" i="4"/>
  <c r="M148" i="4"/>
  <c r="M162" i="4"/>
  <c r="M175" i="4"/>
  <c r="M171" i="4"/>
  <c r="M176" i="4"/>
  <c r="M163" i="4"/>
  <c r="M164" i="4"/>
  <c r="M170" i="4"/>
  <c r="M177" i="4"/>
  <c r="M165" i="4"/>
  <c r="M168" i="4"/>
  <c r="M166" i="4"/>
  <c r="M172" i="4"/>
  <c r="M173" i="4"/>
  <c r="M169" i="4"/>
  <c r="M167" i="4"/>
  <c r="M174" i="4"/>
  <c r="L157" i="4"/>
  <c r="L149" i="4"/>
  <c r="L158" i="4"/>
  <c r="L154" i="4"/>
  <c r="L145" i="4"/>
  <c r="L150" i="4"/>
  <c r="L155" i="4"/>
  <c r="L156" i="4"/>
  <c r="L146" i="4"/>
  <c r="L151" i="4"/>
  <c r="L147" i="4"/>
  <c r="L159" i="4"/>
  <c r="L160" i="4"/>
  <c r="L152" i="4"/>
  <c r="L161" i="4"/>
  <c r="L148" i="4"/>
  <c r="L162" i="4"/>
  <c r="L175" i="4"/>
  <c r="L171" i="4"/>
  <c r="L176" i="4"/>
  <c r="L163" i="4"/>
  <c r="L170" i="4"/>
  <c r="L177" i="4"/>
  <c r="L165" i="4"/>
  <c r="L168" i="4"/>
  <c r="L166" i="4"/>
  <c r="L172" i="4"/>
  <c r="L173" i="4"/>
  <c r="L169" i="4"/>
  <c r="L167" i="4"/>
  <c r="L174" i="4"/>
  <c r="K107" i="4"/>
  <c r="K153" i="4"/>
  <c r="N153" i="4" s="1"/>
  <c r="G153" i="4"/>
  <c r="D153" i="4"/>
  <c r="F153" i="4" s="1"/>
  <c r="N132" i="4"/>
  <c r="N135" i="4"/>
  <c r="N129" i="4"/>
  <c r="N126" i="4"/>
  <c r="N136" i="4"/>
  <c r="N130" i="4"/>
  <c r="N137" i="4"/>
  <c r="N133" i="4"/>
  <c r="N139" i="4"/>
  <c r="N131" i="4"/>
  <c r="N134" i="4"/>
  <c r="N140" i="4"/>
  <c r="N138" i="4"/>
  <c r="N127" i="4"/>
  <c r="N128" i="4"/>
  <c r="N141" i="4"/>
  <c r="N125" i="4"/>
  <c r="M132" i="4"/>
  <c r="M135" i="4"/>
  <c r="M129" i="4"/>
  <c r="M126" i="4"/>
  <c r="M136" i="4"/>
  <c r="M130" i="4"/>
  <c r="M137" i="4"/>
  <c r="M133" i="4"/>
  <c r="M139" i="4"/>
  <c r="M131" i="4"/>
  <c r="M134" i="4"/>
  <c r="M140" i="4"/>
  <c r="M138" i="4"/>
  <c r="M127" i="4"/>
  <c r="M128" i="4"/>
  <c r="M141" i="4"/>
  <c r="M125" i="4"/>
  <c r="K111" i="4"/>
  <c r="K101" i="4"/>
  <c r="K118" i="4"/>
  <c r="K116" i="4"/>
  <c r="K97" i="4"/>
  <c r="K115" i="4"/>
  <c r="K100" i="4"/>
  <c r="K98" i="4"/>
  <c r="K95" i="4"/>
  <c r="K108" i="4"/>
  <c r="K90" i="4"/>
  <c r="K77" i="4"/>
  <c r="K113" i="4"/>
  <c r="K93" i="4"/>
  <c r="K79" i="4"/>
  <c r="K109" i="4"/>
  <c r="K119" i="4"/>
  <c r="K114" i="4"/>
  <c r="K81" i="4"/>
  <c r="K120" i="4"/>
  <c r="K110" i="4"/>
  <c r="K75" i="4"/>
  <c r="K87" i="4"/>
  <c r="K80" i="4"/>
  <c r="K96" i="4"/>
  <c r="K121" i="4"/>
  <c r="K89" i="4"/>
  <c r="K112" i="4"/>
  <c r="K73" i="4"/>
  <c r="K84" i="4"/>
  <c r="K88" i="4"/>
  <c r="K106" i="4"/>
  <c r="K83" i="4"/>
  <c r="K104" i="4"/>
  <c r="K92" i="4"/>
  <c r="K86" i="4"/>
  <c r="K117" i="4"/>
  <c r="K94" i="4"/>
  <c r="K78" i="4"/>
  <c r="K82" i="4"/>
  <c r="K74" i="4"/>
  <c r="K103" i="4"/>
  <c r="K72" i="4"/>
  <c r="K85" i="4"/>
  <c r="K76" i="4"/>
  <c r="K91" i="4"/>
  <c r="K102" i="4"/>
  <c r="K105" i="4"/>
  <c r="K99" i="4"/>
  <c r="D57" i="10" l="1"/>
  <c r="D26" i="10"/>
  <c r="E36" i="10"/>
  <c r="E52" i="10"/>
  <c r="D50" i="10"/>
  <c r="D49" i="10"/>
  <c r="F45" i="10"/>
  <c r="D42" i="10"/>
  <c r="F37" i="10"/>
  <c r="D41" i="10"/>
  <c r="F29" i="10"/>
  <c r="E59" i="10"/>
  <c r="E27" i="10"/>
  <c r="D66" i="10"/>
  <c r="D34" i="10"/>
  <c r="E51" i="10"/>
  <c r="F69" i="10"/>
  <c r="D65" i="10"/>
  <c r="D33" i="10"/>
  <c r="E44" i="10"/>
  <c r="F61" i="10"/>
  <c r="D58" i="10"/>
  <c r="E43" i="10"/>
  <c r="F53" i="10"/>
  <c r="D25" i="10"/>
  <c r="E35" i="10"/>
  <c r="E67" i="10"/>
  <c r="E28" i="10"/>
  <c r="E68" i="10"/>
  <c r="E60" i="10"/>
  <c r="F70" i="10"/>
  <c r="F62" i="10"/>
  <c r="F54" i="10"/>
  <c r="F46" i="10"/>
  <c r="F38" i="10"/>
  <c r="F30" i="10"/>
  <c r="D22" i="10"/>
  <c r="D64" i="10"/>
  <c r="D56" i="10"/>
  <c r="D48" i="10"/>
  <c r="D40" i="10"/>
  <c r="D32" i="10"/>
  <c r="D24" i="10"/>
  <c r="E66" i="10"/>
  <c r="E58" i="10"/>
  <c r="E50" i="10"/>
  <c r="E42" i="10"/>
  <c r="E34" i="10"/>
  <c r="E26" i="10"/>
  <c r="F68" i="10"/>
  <c r="F60" i="10"/>
  <c r="F52" i="10"/>
  <c r="F44" i="10"/>
  <c r="F36" i="10"/>
  <c r="F28" i="10"/>
  <c r="D63" i="10"/>
  <c r="D55" i="10"/>
  <c r="D47" i="10"/>
  <c r="D39" i="10"/>
  <c r="D31" i="10"/>
  <c r="D23" i="10"/>
  <c r="E65" i="10"/>
  <c r="E57" i="10"/>
  <c r="E49" i="10"/>
  <c r="E41" i="10"/>
  <c r="E33" i="10"/>
  <c r="E25" i="10"/>
  <c r="F67" i="10"/>
  <c r="F59" i="10"/>
  <c r="F51" i="10"/>
  <c r="F43" i="10"/>
  <c r="F35" i="10"/>
  <c r="F27" i="10"/>
  <c r="D70" i="10"/>
  <c r="D62" i="10"/>
  <c r="D54" i="10"/>
  <c r="D46" i="10"/>
  <c r="D38" i="10"/>
  <c r="D30" i="10"/>
  <c r="E22" i="10"/>
  <c r="E64" i="10"/>
  <c r="E56" i="10"/>
  <c r="E48" i="10"/>
  <c r="E40" i="10"/>
  <c r="E32" i="10"/>
  <c r="E24" i="10"/>
  <c r="D69" i="10"/>
  <c r="D61" i="10"/>
  <c r="D53" i="10"/>
  <c r="D45" i="10"/>
  <c r="D37" i="10"/>
  <c r="D29" i="10"/>
  <c r="E63" i="10"/>
  <c r="E55" i="10"/>
  <c r="E47" i="10"/>
  <c r="E39" i="10"/>
  <c r="E31" i="10"/>
  <c r="E23" i="10"/>
  <c r="L19" i="9"/>
  <c r="Q4" i="3"/>
  <c r="O21" i="3"/>
  <c r="Q21" i="3"/>
  <c r="O37" i="3"/>
  <c r="Q22" i="3"/>
  <c r="O14" i="3"/>
  <c r="Q6" i="3"/>
  <c r="O13" i="3"/>
  <c r="Q5" i="3"/>
  <c r="O4" i="3"/>
  <c r="P33" i="3"/>
  <c r="Q47" i="3"/>
  <c r="P15" i="3"/>
  <c r="O2" i="3"/>
  <c r="Q45" i="3"/>
  <c r="P14" i="3"/>
  <c r="O44" i="3"/>
  <c r="Q29" i="3"/>
  <c r="P13" i="3"/>
  <c r="O22" i="3"/>
  <c r="Q30" i="3"/>
  <c r="Q7" i="3"/>
  <c r="P39" i="3"/>
  <c r="P16" i="3"/>
  <c r="O45" i="3"/>
  <c r="O20" i="3"/>
  <c r="Q46" i="3"/>
  <c r="Q23" i="3"/>
  <c r="P32" i="3"/>
  <c r="P49" i="3"/>
  <c r="P31" i="3"/>
  <c r="Q39" i="3"/>
  <c r="P48" i="3"/>
  <c r="P25" i="3"/>
  <c r="P8" i="3"/>
  <c r="O36" i="3"/>
  <c r="O12" i="3"/>
  <c r="Q38" i="3"/>
  <c r="Q15" i="3"/>
  <c r="P47" i="3"/>
  <c r="P24" i="3"/>
  <c r="P7" i="3"/>
  <c r="O29" i="3"/>
  <c r="O6" i="3"/>
  <c r="Q37" i="3"/>
  <c r="P41" i="3"/>
  <c r="P23" i="3"/>
  <c r="O28" i="3"/>
  <c r="O5" i="3"/>
  <c r="Q31" i="3"/>
  <c r="P40" i="3"/>
  <c r="O46" i="3"/>
  <c r="O38" i="3"/>
  <c r="O30" i="3"/>
  <c r="Q48" i="3"/>
  <c r="Q40" i="3"/>
  <c r="Q32" i="3"/>
  <c r="Q24" i="3"/>
  <c r="Q16" i="3"/>
  <c r="Q8" i="3"/>
  <c r="P50" i="3"/>
  <c r="P42" i="3"/>
  <c r="P34" i="3"/>
  <c r="P26" i="3"/>
  <c r="P17" i="3"/>
  <c r="P9" i="3"/>
  <c r="O51" i="3"/>
  <c r="O43" i="3"/>
  <c r="O35" i="3"/>
  <c r="O27" i="3"/>
  <c r="O19" i="3"/>
  <c r="O11" i="3"/>
  <c r="O3" i="3"/>
  <c r="O50" i="3"/>
  <c r="O42" i="3"/>
  <c r="O34" i="3"/>
  <c r="O26" i="3"/>
  <c r="O18" i="3"/>
  <c r="O10" i="3"/>
  <c r="Q2" i="3"/>
  <c r="Q44" i="3"/>
  <c r="Q36" i="3"/>
  <c r="Q28" i="3"/>
  <c r="Q20" i="3"/>
  <c r="Q12" i="3"/>
  <c r="O49" i="3"/>
  <c r="O41" i="3"/>
  <c r="O33" i="3"/>
  <c r="O25" i="3"/>
  <c r="O17" i="3"/>
  <c r="O9" i="3"/>
  <c r="Q51" i="3"/>
  <c r="Q43" i="3"/>
  <c r="Q35" i="3"/>
  <c r="Q27" i="3"/>
  <c r="Q19" i="3"/>
  <c r="Q11" i="3"/>
  <c r="Q3" i="3"/>
  <c r="Q18" i="3"/>
  <c r="Q10" i="3"/>
  <c r="F15" i="3"/>
  <c r="L72" i="4" s="1"/>
  <c r="F14" i="3"/>
  <c r="G14" i="3" s="1"/>
  <c r="F31" i="3"/>
  <c r="G31" i="3" s="1"/>
  <c r="F11" i="3"/>
  <c r="G11" i="3" s="1"/>
  <c r="E64" i="3"/>
  <c r="F23" i="3"/>
  <c r="G23" i="3" s="1"/>
  <c r="F7" i="3"/>
  <c r="G7" i="3" s="1"/>
  <c r="F43" i="3"/>
  <c r="L106" i="4" s="1"/>
  <c r="L102" i="4"/>
  <c r="G50" i="3"/>
  <c r="L107" i="4"/>
  <c r="G49" i="3"/>
  <c r="G45" i="3"/>
  <c r="L92" i="4"/>
  <c r="G13" i="3"/>
  <c r="L76" i="4"/>
  <c r="L77" i="4"/>
  <c r="G17" i="3"/>
  <c r="L108" i="4"/>
  <c r="G30" i="3"/>
  <c r="L90" i="4"/>
  <c r="G28" i="3"/>
  <c r="G12" i="3"/>
  <c r="L82" i="4"/>
  <c r="L81" i="4"/>
  <c r="G18" i="3"/>
  <c r="G16" i="3"/>
  <c r="L80" i="4"/>
  <c r="L89" i="4"/>
  <c r="G27" i="3"/>
  <c r="L105" i="4"/>
  <c r="G46" i="3"/>
  <c r="G44" i="3"/>
  <c r="L100" i="4"/>
  <c r="G42" i="3"/>
  <c r="L101" i="4"/>
  <c r="G26" i="3"/>
  <c r="L114" i="4"/>
  <c r="G10" i="3"/>
  <c r="L78" i="4"/>
  <c r="G32" i="3"/>
  <c r="L118" i="4"/>
  <c r="G9" i="3"/>
  <c r="L85" i="4"/>
  <c r="G8" i="3"/>
  <c r="L83" i="4"/>
  <c r="G29" i="3"/>
  <c r="L115" i="4"/>
  <c r="L113" i="4"/>
  <c r="G34" i="3"/>
  <c r="L94" i="4"/>
  <c r="G48" i="3"/>
  <c r="G40" i="3"/>
  <c r="L95" i="4"/>
  <c r="L121" i="4"/>
  <c r="G39" i="3"/>
  <c r="L98" i="4"/>
  <c r="G38" i="3"/>
  <c r="G22" i="3"/>
  <c r="L119" i="4"/>
  <c r="L74" i="4"/>
  <c r="G6" i="3"/>
  <c r="G24" i="3"/>
  <c r="L120" i="4"/>
  <c r="L97" i="4"/>
  <c r="G37" i="3"/>
  <c r="L117" i="4"/>
  <c r="G21" i="3"/>
  <c r="L73" i="4"/>
  <c r="G5" i="3"/>
  <c r="G41" i="3"/>
  <c r="L99" i="4"/>
  <c r="L111" i="4"/>
  <c r="G20" i="3"/>
  <c r="L87" i="4"/>
  <c r="G4" i="3"/>
  <c r="L112" i="4"/>
  <c r="G33" i="3"/>
  <c r="G47" i="3"/>
  <c r="L103" i="4"/>
  <c r="G25" i="3"/>
  <c r="L91" i="4"/>
  <c r="G2" i="3"/>
  <c r="L75" i="4"/>
  <c r="L93" i="4"/>
  <c r="G36" i="3"/>
  <c r="L104" i="4"/>
  <c r="G51" i="3"/>
  <c r="L88" i="4"/>
  <c r="G35" i="3"/>
  <c r="G19" i="3"/>
  <c r="L116" i="4"/>
  <c r="L79" i="4"/>
  <c r="G3" i="3"/>
  <c r="J153" i="4"/>
  <c r="L153" i="4"/>
  <c r="M153" i="4"/>
  <c r="H153" i="4"/>
  <c r="I153" i="4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G111" i="4"/>
  <c r="G101" i="4"/>
  <c r="G118" i="4"/>
  <c r="G116" i="4"/>
  <c r="G97" i="4"/>
  <c r="G115" i="4"/>
  <c r="G100" i="4"/>
  <c r="G98" i="4"/>
  <c r="G95" i="4"/>
  <c r="G108" i="4"/>
  <c r="G90" i="4"/>
  <c r="G77" i="4"/>
  <c r="G113" i="4"/>
  <c r="G93" i="4"/>
  <c r="G79" i="4"/>
  <c r="G109" i="4"/>
  <c r="G119" i="4"/>
  <c r="G114" i="4"/>
  <c r="G81" i="4"/>
  <c r="G120" i="4"/>
  <c r="G110" i="4"/>
  <c r="G75" i="4"/>
  <c r="G87" i="4"/>
  <c r="G80" i="4"/>
  <c r="G96" i="4"/>
  <c r="G121" i="4"/>
  <c r="G89" i="4"/>
  <c r="G112" i="4"/>
  <c r="G73" i="4"/>
  <c r="G84" i="4"/>
  <c r="G88" i="4"/>
  <c r="G106" i="4"/>
  <c r="G83" i="4"/>
  <c r="G104" i="4"/>
  <c r="G92" i="4"/>
  <c r="G86" i="4"/>
  <c r="G117" i="4"/>
  <c r="G94" i="4"/>
  <c r="G78" i="4"/>
  <c r="G82" i="4"/>
  <c r="G74" i="4"/>
  <c r="G107" i="4"/>
  <c r="G103" i="4"/>
  <c r="G72" i="4"/>
  <c r="G85" i="4"/>
  <c r="G76" i="4"/>
  <c r="G91" i="4"/>
  <c r="G102" i="4"/>
  <c r="G105" i="4"/>
  <c r="G99" i="4"/>
  <c r="D111" i="4"/>
  <c r="F111" i="4" s="1"/>
  <c r="D101" i="4"/>
  <c r="F101" i="4" s="1"/>
  <c r="D118" i="4"/>
  <c r="F118" i="4" s="1"/>
  <c r="D116" i="4"/>
  <c r="F116" i="4" s="1"/>
  <c r="D97" i="4"/>
  <c r="F97" i="4" s="1"/>
  <c r="D115" i="4"/>
  <c r="F115" i="4" s="1"/>
  <c r="D100" i="4"/>
  <c r="F100" i="4" s="1"/>
  <c r="D98" i="4"/>
  <c r="F98" i="4" s="1"/>
  <c r="D95" i="4"/>
  <c r="F95" i="4" s="1"/>
  <c r="D108" i="4"/>
  <c r="F108" i="4" s="1"/>
  <c r="D90" i="4"/>
  <c r="F90" i="4" s="1"/>
  <c r="D77" i="4"/>
  <c r="F77" i="4" s="1"/>
  <c r="D113" i="4"/>
  <c r="F113" i="4" s="1"/>
  <c r="D93" i="4"/>
  <c r="F93" i="4" s="1"/>
  <c r="D79" i="4"/>
  <c r="F79" i="4" s="1"/>
  <c r="D109" i="4"/>
  <c r="F109" i="4" s="1"/>
  <c r="D119" i="4"/>
  <c r="F119" i="4" s="1"/>
  <c r="D114" i="4"/>
  <c r="F114" i="4" s="1"/>
  <c r="D81" i="4"/>
  <c r="F81" i="4" s="1"/>
  <c r="D120" i="4"/>
  <c r="F120" i="4" s="1"/>
  <c r="D110" i="4"/>
  <c r="F110" i="4" s="1"/>
  <c r="D75" i="4"/>
  <c r="F75" i="4" s="1"/>
  <c r="D87" i="4"/>
  <c r="F87" i="4" s="1"/>
  <c r="D80" i="4"/>
  <c r="F80" i="4" s="1"/>
  <c r="D96" i="4"/>
  <c r="F96" i="4" s="1"/>
  <c r="D121" i="4"/>
  <c r="F121" i="4" s="1"/>
  <c r="D89" i="4"/>
  <c r="F89" i="4" s="1"/>
  <c r="D112" i="4"/>
  <c r="F112" i="4" s="1"/>
  <c r="D73" i="4"/>
  <c r="F73" i="4" s="1"/>
  <c r="D84" i="4"/>
  <c r="F84" i="4" s="1"/>
  <c r="D88" i="4"/>
  <c r="F88" i="4" s="1"/>
  <c r="D106" i="4"/>
  <c r="F106" i="4" s="1"/>
  <c r="D83" i="4"/>
  <c r="F83" i="4" s="1"/>
  <c r="D104" i="4"/>
  <c r="F104" i="4" s="1"/>
  <c r="D92" i="4"/>
  <c r="F92" i="4" s="1"/>
  <c r="D86" i="4"/>
  <c r="F86" i="4" s="1"/>
  <c r="D117" i="4"/>
  <c r="F117" i="4" s="1"/>
  <c r="D94" i="4"/>
  <c r="F94" i="4" s="1"/>
  <c r="D78" i="4"/>
  <c r="F78" i="4" s="1"/>
  <c r="D82" i="4"/>
  <c r="F82" i="4" s="1"/>
  <c r="D74" i="4"/>
  <c r="F74" i="4" s="1"/>
  <c r="D107" i="4"/>
  <c r="F107" i="4" s="1"/>
  <c r="D103" i="4"/>
  <c r="F103" i="4" s="1"/>
  <c r="D72" i="4"/>
  <c r="F72" i="4" s="1"/>
  <c r="D85" i="4"/>
  <c r="F85" i="4" s="1"/>
  <c r="D76" i="4"/>
  <c r="F76" i="4" s="1"/>
  <c r="D91" i="4"/>
  <c r="F91" i="4" s="1"/>
  <c r="D102" i="4"/>
  <c r="F102" i="4" s="1"/>
  <c r="D105" i="4"/>
  <c r="F105" i="4" s="1"/>
  <c r="D99" i="4"/>
  <c r="F99" i="4" s="1"/>
  <c r="U53" i="4"/>
  <c r="U54" i="4"/>
  <c r="U55" i="4"/>
  <c r="U56" i="4"/>
  <c r="U57" i="4"/>
  <c r="U58" i="4"/>
  <c r="U59" i="4"/>
  <c r="Q56" i="4"/>
  <c r="Q57" i="4"/>
  <c r="Q58" i="4"/>
  <c r="Q59" i="4"/>
  <c r="Q55" i="4"/>
  <c r="L57" i="4"/>
  <c r="L58" i="4"/>
  <c r="L59" i="4"/>
  <c r="L56" i="4"/>
  <c r="F56" i="4"/>
  <c r="F57" i="4"/>
  <c r="F58" i="4"/>
  <c r="F59" i="4"/>
  <c r="F55" i="4"/>
  <c r="R42" i="4"/>
  <c r="R43" i="4"/>
  <c r="R44" i="4"/>
  <c r="R45" i="4"/>
  <c r="R46" i="4"/>
  <c r="R47" i="4"/>
  <c r="R48" i="4"/>
  <c r="R41" i="4"/>
  <c r="L42" i="4"/>
  <c r="L43" i="4"/>
  <c r="L44" i="4"/>
  <c r="L45" i="4"/>
  <c r="L46" i="4"/>
  <c r="L47" i="4"/>
  <c r="L48" i="4"/>
  <c r="L41" i="4"/>
  <c r="F42" i="4"/>
  <c r="F43" i="4"/>
  <c r="F44" i="4"/>
  <c r="F45" i="4"/>
  <c r="F46" i="4"/>
  <c r="F47" i="4"/>
  <c r="F48" i="4"/>
  <c r="F41" i="4"/>
  <c r="W42" i="4"/>
  <c r="W43" i="4"/>
  <c r="W44" i="4"/>
  <c r="W45" i="4"/>
  <c r="W46" i="4"/>
  <c r="W47" i="4"/>
  <c r="W48" i="4"/>
  <c r="W41" i="4"/>
  <c r="G8" i="5"/>
  <c r="D11" i="5"/>
  <c r="B11" i="5"/>
  <c r="O113" i="4" l="1"/>
  <c r="O82" i="4"/>
  <c r="G43" i="3"/>
  <c r="N112" i="4"/>
  <c r="L109" i="4"/>
  <c r="N109" i="4" s="1"/>
  <c r="O81" i="4"/>
  <c r="O101" i="4"/>
  <c r="H34" i="3"/>
  <c r="I34" i="3" s="1"/>
  <c r="J34" i="3" s="1"/>
  <c r="K34" i="3" s="1"/>
  <c r="M34" i="3" s="1"/>
  <c r="H42" i="3"/>
  <c r="I42" i="3" s="1"/>
  <c r="J42" i="3" s="1"/>
  <c r="K42" i="3" s="1"/>
  <c r="H50" i="3"/>
  <c r="I50" i="3" s="1"/>
  <c r="J50" i="3" s="1"/>
  <c r="K50" i="3" s="1"/>
  <c r="M50" i="3" s="1"/>
  <c r="H18" i="3"/>
  <c r="I18" i="3" s="1"/>
  <c r="J18" i="3" s="1"/>
  <c r="K18" i="3" s="1"/>
  <c r="M18" i="3" s="1"/>
  <c r="L110" i="4"/>
  <c r="N110" i="4" s="1"/>
  <c r="H28" i="3"/>
  <c r="I28" i="3" s="1"/>
  <c r="J28" i="3" s="1"/>
  <c r="K28" i="3" s="1"/>
  <c r="M28" i="3" s="1"/>
  <c r="H16" i="3"/>
  <c r="I16" i="3" s="1"/>
  <c r="J16" i="3" s="1"/>
  <c r="K16" i="3" s="1"/>
  <c r="H25" i="3"/>
  <c r="I25" i="3" s="1"/>
  <c r="J25" i="3" s="1"/>
  <c r="K25" i="3" s="1"/>
  <c r="M25" i="3" s="1"/>
  <c r="H11" i="3"/>
  <c r="I11" i="3" s="1"/>
  <c r="J11" i="3" s="1"/>
  <c r="K11" i="3" s="1"/>
  <c r="M11" i="3" s="1"/>
  <c r="H14" i="3"/>
  <c r="I14" i="3" s="1"/>
  <c r="J14" i="3" s="1"/>
  <c r="K14" i="3" s="1"/>
  <c r="M14" i="3" s="1"/>
  <c r="H30" i="3"/>
  <c r="I30" i="3" s="1"/>
  <c r="J30" i="3" s="1"/>
  <c r="K30" i="3" s="1"/>
  <c r="H9" i="3"/>
  <c r="I9" i="3" s="1"/>
  <c r="J9" i="3" s="1"/>
  <c r="K9" i="3" s="1"/>
  <c r="M9" i="3" s="1"/>
  <c r="H45" i="3"/>
  <c r="I45" i="3" s="1"/>
  <c r="J45" i="3" s="1"/>
  <c r="K45" i="3" s="1"/>
  <c r="M45" i="3" s="1"/>
  <c r="L86" i="4"/>
  <c r="N86" i="4" s="1"/>
  <c r="L96" i="4"/>
  <c r="N96" i="4" s="1"/>
  <c r="H36" i="3"/>
  <c r="I36" i="3" s="1"/>
  <c r="J36" i="3" s="1"/>
  <c r="K36" i="3" s="1"/>
  <c r="H24" i="3"/>
  <c r="I24" i="3" s="1"/>
  <c r="J24" i="3" s="1"/>
  <c r="K24" i="3" s="1"/>
  <c r="M24" i="3" s="1"/>
  <c r="H33" i="3"/>
  <c r="I33" i="3" s="1"/>
  <c r="J33" i="3" s="1"/>
  <c r="K33" i="3" s="1"/>
  <c r="H19" i="3"/>
  <c r="I19" i="3" s="1"/>
  <c r="J19" i="3" s="1"/>
  <c r="K19" i="3" s="1"/>
  <c r="H38" i="3"/>
  <c r="I38" i="3" s="1"/>
  <c r="J38" i="3" s="1"/>
  <c r="K38" i="3" s="1"/>
  <c r="H46" i="3"/>
  <c r="I46" i="3" s="1"/>
  <c r="J46" i="3" s="1"/>
  <c r="K46" i="3" s="1"/>
  <c r="M46" i="3" s="1"/>
  <c r="H47" i="3"/>
  <c r="I47" i="3" s="1"/>
  <c r="J47" i="3" s="1"/>
  <c r="K47" i="3" s="1"/>
  <c r="M47" i="3" s="1"/>
  <c r="H43" i="3"/>
  <c r="I43" i="3" s="1"/>
  <c r="J43" i="3" s="1"/>
  <c r="K43" i="3" s="1"/>
  <c r="M43" i="3" s="1"/>
  <c r="H4" i="3"/>
  <c r="I4" i="3" s="1"/>
  <c r="J4" i="3" s="1"/>
  <c r="K4" i="3" s="1"/>
  <c r="M4" i="3" s="1"/>
  <c r="H17" i="3"/>
  <c r="I17" i="3" s="1"/>
  <c r="J17" i="3" s="1"/>
  <c r="K17" i="3" s="1"/>
  <c r="M17" i="3" s="1"/>
  <c r="H6" i="3"/>
  <c r="I6" i="3" s="1"/>
  <c r="J6" i="3" s="1"/>
  <c r="K6" i="3" s="1"/>
  <c r="M6" i="3" s="1"/>
  <c r="H7" i="3"/>
  <c r="I7" i="3" s="1"/>
  <c r="J7" i="3" s="1"/>
  <c r="K7" i="3" s="1"/>
  <c r="M7" i="3" s="1"/>
  <c r="L84" i="4"/>
  <c r="O84" i="4" s="1"/>
  <c r="G15" i="3"/>
  <c r="H29" i="3"/>
  <c r="I29" i="3" s="1"/>
  <c r="J29" i="3" s="1"/>
  <c r="K29" i="3" s="1"/>
  <c r="M29" i="3" s="1"/>
  <c r="H40" i="3"/>
  <c r="I40" i="3" s="1"/>
  <c r="J40" i="3" s="1"/>
  <c r="K40" i="3" s="1"/>
  <c r="H49" i="3"/>
  <c r="I49" i="3" s="1"/>
  <c r="J49" i="3" s="1"/>
  <c r="K49" i="3" s="1"/>
  <c r="M49" i="3" s="1"/>
  <c r="H27" i="3"/>
  <c r="I27" i="3" s="1"/>
  <c r="J27" i="3" s="1"/>
  <c r="K27" i="3" s="1"/>
  <c r="H12" i="3"/>
  <c r="I12" i="3" s="1"/>
  <c r="J12" i="3" s="1"/>
  <c r="K12" i="3" s="1"/>
  <c r="M12" i="3" s="1"/>
  <c r="H39" i="3"/>
  <c r="I39" i="3" s="1"/>
  <c r="J39" i="3" s="1"/>
  <c r="K39" i="3" s="1"/>
  <c r="H15" i="3"/>
  <c r="I15" i="3" s="1"/>
  <c r="J15" i="3" s="1"/>
  <c r="K15" i="3" s="1"/>
  <c r="M15" i="3" s="1"/>
  <c r="H8" i="3"/>
  <c r="I8" i="3" s="1"/>
  <c r="J8" i="3" s="1"/>
  <c r="K8" i="3" s="1"/>
  <c r="M8" i="3" s="1"/>
  <c r="H21" i="3"/>
  <c r="I21" i="3" s="1"/>
  <c r="J21" i="3" s="1"/>
  <c r="K21" i="3" s="1"/>
  <c r="M21" i="3" s="1"/>
  <c r="H32" i="3"/>
  <c r="I32" i="3" s="1"/>
  <c r="J32" i="3" s="1"/>
  <c r="K32" i="3" s="1"/>
  <c r="M32" i="3" s="1"/>
  <c r="H41" i="3"/>
  <c r="I41" i="3" s="1"/>
  <c r="J41" i="3" s="1"/>
  <c r="K41" i="3" s="1"/>
  <c r="H3" i="3"/>
  <c r="I3" i="3" s="1"/>
  <c r="J3" i="3" s="1"/>
  <c r="K3" i="3" s="1"/>
  <c r="M3" i="3" s="1"/>
  <c r="H35" i="3"/>
  <c r="I35" i="3" s="1"/>
  <c r="J35" i="3" s="1"/>
  <c r="K35" i="3" s="1"/>
  <c r="M35" i="3" s="1"/>
  <c r="H37" i="3"/>
  <c r="I37" i="3" s="1"/>
  <c r="J37" i="3" s="1"/>
  <c r="K37" i="3" s="1"/>
  <c r="H48" i="3"/>
  <c r="I48" i="3" s="1"/>
  <c r="J48" i="3" s="1"/>
  <c r="K48" i="3" s="1"/>
  <c r="M48" i="3" s="1"/>
  <c r="H10" i="3"/>
  <c r="I10" i="3" s="1"/>
  <c r="J10" i="3" s="1"/>
  <c r="K10" i="3" s="1"/>
  <c r="M10" i="3" s="1"/>
  <c r="H51" i="3"/>
  <c r="I51" i="3" s="1"/>
  <c r="J51" i="3" s="1"/>
  <c r="K51" i="3" s="1"/>
  <c r="M51" i="3" s="1"/>
  <c r="H20" i="3"/>
  <c r="I20" i="3" s="1"/>
  <c r="J20" i="3" s="1"/>
  <c r="K20" i="3" s="1"/>
  <c r="M20" i="3" s="1"/>
  <c r="H5" i="3"/>
  <c r="I5" i="3" s="1"/>
  <c r="J5" i="3" s="1"/>
  <c r="K5" i="3" s="1"/>
  <c r="M5" i="3" s="1"/>
  <c r="H23" i="3"/>
  <c r="I23" i="3" s="1"/>
  <c r="J23" i="3" s="1"/>
  <c r="K23" i="3" s="1"/>
  <c r="M23" i="3" s="1"/>
  <c r="H22" i="3"/>
  <c r="I22" i="3" s="1"/>
  <c r="J22" i="3" s="1"/>
  <c r="K22" i="3" s="1"/>
  <c r="M22" i="3" s="1"/>
  <c r="H2" i="3"/>
  <c r="I2" i="3" s="1"/>
  <c r="J2" i="3" s="1"/>
  <c r="K2" i="3" s="1"/>
  <c r="M2" i="3" s="1"/>
  <c r="H26" i="3"/>
  <c r="I26" i="3" s="1"/>
  <c r="J26" i="3" s="1"/>
  <c r="K26" i="3" s="1"/>
  <c r="M26" i="3" s="1"/>
  <c r="H44" i="3"/>
  <c r="I44" i="3" s="1"/>
  <c r="J44" i="3" s="1"/>
  <c r="K44" i="3" s="1"/>
  <c r="M44" i="3" s="1"/>
  <c r="H13" i="3"/>
  <c r="I13" i="3" s="1"/>
  <c r="J13" i="3" s="1"/>
  <c r="K13" i="3" s="1"/>
  <c r="M13" i="3" s="1"/>
  <c r="H31" i="3"/>
  <c r="I31" i="3" s="1"/>
  <c r="J31" i="3" s="1"/>
  <c r="K31" i="3" s="1"/>
  <c r="O94" i="4"/>
  <c r="N100" i="4"/>
  <c r="O112" i="4"/>
  <c r="N80" i="4"/>
  <c r="O90" i="4"/>
  <c r="N107" i="4"/>
  <c r="O120" i="4"/>
  <c r="N72" i="4"/>
  <c r="N120" i="4"/>
  <c r="N116" i="4"/>
  <c r="N103" i="4"/>
  <c r="N89" i="4"/>
  <c r="N90" i="4"/>
  <c r="N111" i="4"/>
  <c r="O116" i="4"/>
  <c r="N113" i="4"/>
  <c r="O102" i="4"/>
  <c r="O98" i="4"/>
  <c r="O100" i="4"/>
  <c r="N102" i="4"/>
  <c r="N98" i="4"/>
  <c r="N82" i="4"/>
  <c r="N78" i="4"/>
  <c r="N79" i="4"/>
  <c r="O72" i="4"/>
  <c r="N94" i="4"/>
  <c r="N85" i="4"/>
  <c r="N101" i="4"/>
  <c r="O114" i="4"/>
  <c r="N121" i="4"/>
  <c r="O74" i="4"/>
  <c r="O80" i="4"/>
  <c r="O78" i="4"/>
  <c r="N95" i="4"/>
  <c r="N75" i="4"/>
  <c r="O95" i="4"/>
  <c r="O97" i="4"/>
  <c r="N97" i="4"/>
  <c r="O106" i="4"/>
  <c r="O117" i="4"/>
  <c r="O92" i="4"/>
  <c r="O118" i="4"/>
  <c r="N114" i="4"/>
  <c r="N106" i="4"/>
  <c r="O75" i="4"/>
  <c r="N117" i="4"/>
  <c r="N74" i="4"/>
  <c r="O91" i="4"/>
  <c r="O79" i="4"/>
  <c r="O76" i="4"/>
  <c r="O77" i="4"/>
  <c r="N76" i="4"/>
  <c r="O103" i="4"/>
  <c r="N73" i="4"/>
  <c r="O89" i="4"/>
  <c r="O107" i="4"/>
  <c r="N87" i="4"/>
  <c r="N115" i="4"/>
  <c r="N108" i="4"/>
  <c r="O99" i="4"/>
  <c r="O104" i="4"/>
  <c r="O105" i="4"/>
  <c r="O83" i="4"/>
  <c r="O119" i="4"/>
  <c r="O111" i="4"/>
  <c r="N92" i="4"/>
  <c r="N81" i="4"/>
  <c r="N118" i="4"/>
  <c r="O115" i="4"/>
  <c r="N99" i="4"/>
  <c r="N104" i="4"/>
  <c r="O88" i="4"/>
  <c r="N105" i="4"/>
  <c r="N83" i="4"/>
  <c r="N119" i="4"/>
  <c r="O85" i="4"/>
  <c r="O73" i="4"/>
  <c r="N91" i="4"/>
  <c r="N88" i="4"/>
  <c r="N93" i="4"/>
  <c r="O87" i="4"/>
  <c r="O93" i="4"/>
  <c r="O121" i="4"/>
  <c r="O108" i="4"/>
  <c r="N77" i="4"/>
  <c r="S130" i="4"/>
  <c r="W130" i="4"/>
  <c r="J102" i="4"/>
  <c r="J82" i="4"/>
  <c r="J106" i="4"/>
  <c r="J80" i="4"/>
  <c r="J109" i="4"/>
  <c r="J98" i="4"/>
  <c r="H87" i="4"/>
  <c r="I87" i="4" s="1"/>
  <c r="H91" i="4"/>
  <c r="I91" i="4" s="1"/>
  <c r="H78" i="4"/>
  <c r="I78" i="4" s="1"/>
  <c r="H88" i="4"/>
  <c r="I88" i="4" s="1"/>
  <c r="H79" i="4"/>
  <c r="I79" i="4" s="1"/>
  <c r="H100" i="4"/>
  <c r="I100" i="4" s="1"/>
  <c r="H84" i="4"/>
  <c r="I84" i="4" s="1"/>
  <c r="J84" i="4"/>
  <c r="H115" i="4"/>
  <c r="I115" i="4" s="1"/>
  <c r="J115" i="4"/>
  <c r="H85" i="4"/>
  <c r="I85" i="4" s="1"/>
  <c r="J85" i="4"/>
  <c r="H117" i="4"/>
  <c r="I117" i="4" s="1"/>
  <c r="J117" i="4"/>
  <c r="H113" i="4"/>
  <c r="I113" i="4" s="1"/>
  <c r="J113" i="4"/>
  <c r="H72" i="4"/>
  <c r="I72" i="4" s="1"/>
  <c r="J72" i="4"/>
  <c r="H112" i="4"/>
  <c r="I112" i="4" s="1"/>
  <c r="J112" i="4"/>
  <c r="H116" i="4"/>
  <c r="I116" i="4" s="1"/>
  <c r="J116" i="4"/>
  <c r="J92" i="4"/>
  <c r="H92" i="4"/>
  <c r="I92" i="4" s="1"/>
  <c r="J90" i="4"/>
  <c r="H90" i="4"/>
  <c r="I90" i="4" s="1"/>
  <c r="J99" i="4"/>
  <c r="H99" i="4"/>
  <c r="I99" i="4" s="1"/>
  <c r="J104" i="4"/>
  <c r="H104" i="4"/>
  <c r="I104" i="4" s="1"/>
  <c r="H108" i="4"/>
  <c r="I108" i="4" s="1"/>
  <c r="J108" i="4"/>
  <c r="J74" i="4"/>
  <c r="H74" i="4"/>
  <c r="I74" i="4" s="1"/>
  <c r="H76" i="4"/>
  <c r="I76" i="4" s="1"/>
  <c r="J76" i="4"/>
  <c r="J93" i="4"/>
  <c r="H93" i="4"/>
  <c r="I93" i="4" s="1"/>
  <c r="H110" i="4"/>
  <c r="I110" i="4" s="1"/>
  <c r="J110" i="4"/>
  <c r="H77" i="4"/>
  <c r="I77" i="4" s="1"/>
  <c r="J77" i="4"/>
  <c r="J103" i="4"/>
  <c r="H103" i="4"/>
  <c r="I103" i="4" s="1"/>
  <c r="J118" i="4"/>
  <c r="H118" i="4"/>
  <c r="I118" i="4" s="1"/>
  <c r="H94" i="4"/>
  <c r="I94" i="4" s="1"/>
  <c r="J94" i="4"/>
  <c r="H75" i="4"/>
  <c r="I75" i="4" s="1"/>
  <c r="J75" i="4"/>
  <c r="H73" i="4"/>
  <c r="I73" i="4" s="1"/>
  <c r="J73" i="4"/>
  <c r="H97" i="4"/>
  <c r="I97" i="4" s="1"/>
  <c r="J97" i="4"/>
  <c r="H86" i="4"/>
  <c r="I86" i="4" s="1"/>
  <c r="J86" i="4"/>
  <c r="H120" i="4"/>
  <c r="I120" i="4" s="1"/>
  <c r="J120" i="4"/>
  <c r="J89" i="4"/>
  <c r="H89" i="4"/>
  <c r="I89" i="4" s="1"/>
  <c r="J81" i="4"/>
  <c r="H81" i="4"/>
  <c r="I81" i="4" s="1"/>
  <c r="H107" i="4"/>
  <c r="I107" i="4" s="1"/>
  <c r="J107" i="4"/>
  <c r="J121" i="4"/>
  <c r="H121" i="4"/>
  <c r="I121" i="4" s="1"/>
  <c r="J114" i="4"/>
  <c r="H114" i="4"/>
  <c r="I114" i="4" s="1"/>
  <c r="J101" i="4"/>
  <c r="H101" i="4"/>
  <c r="I101" i="4" s="1"/>
  <c r="J105" i="4"/>
  <c r="H105" i="4"/>
  <c r="I105" i="4" s="1"/>
  <c r="J83" i="4"/>
  <c r="H83" i="4"/>
  <c r="I83" i="4" s="1"/>
  <c r="J96" i="4"/>
  <c r="H96" i="4"/>
  <c r="I96" i="4" s="1"/>
  <c r="J119" i="4"/>
  <c r="H119" i="4"/>
  <c r="I119" i="4" s="1"/>
  <c r="J95" i="4"/>
  <c r="H95" i="4"/>
  <c r="I95" i="4" s="1"/>
  <c r="J111" i="4"/>
  <c r="H111" i="4"/>
  <c r="I111" i="4" s="1"/>
  <c r="J91" i="4"/>
  <c r="J78" i="4"/>
  <c r="J88" i="4"/>
  <c r="J87" i="4"/>
  <c r="J79" i="4"/>
  <c r="J100" i="4"/>
  <c r="H102" i="4"/>
  <c r="I102" i="4" s="1"/>
  <c r="H82" i="4"/>
  <c r="I82" i="4" s="1"/>
  <c r="H106" i="4"/>
  <c r="I106" i="4" s="1"/>
  <c r="H80" i="4"/>
  <c r="I80" i="4" s="1"/>
  <c r="H109" i="4"/>
  <c r="I109" i="4" s="1"/>
  <c r="H98" i="4"/>
  <c r="I98" i="4" s="1"/>
  <c r="O109" i="4" l="1"/>
  <c r="O86" i="4"/>
  <c r="N84" i="4"/>
  <c r="O110" i="4"/>
  <c r="O96" i="4"/>
</calcChain>
</file>

<file path=xl/sharedStrings.xml><?xml version="1.0" encoding="utf-8"?>
<sst xmlns="http://schemas.openxmlformats.org/spreadsheetml/2006/main" count="1348" uniqueCount="998">
  <si>
    <t>Codigo CEBAS</t>
  </si>
  <si>
    <t>Codigo DeWood</t>
  </si>
  <si>
    <t>ION2768-1</t>
  </si>
  <si>
    <t>360?</t>
  </si>
  <si>
    <t>ION2775-</t>
  </si>
  <si>
    <t>….........</t>
  </si>
  <si>
    <t>Faltan 2</t>
  </si>
  <si>
    <t>…..............</t>
  </si>
  <si>
    <t>Faltan 4¿?</t>
  </si>
  <si>
    <t>Sample</t>
  </si>
  <si>
    <t>T (w/o cap)</t>
  </si>
  <si>
    <t>DW</t>
  </si>
  <si>
    <t>A</t>
  </si>
  <si>
    <t>B</t>
  </si>
  <si>
    <t>C</t>
  </si>
  <si>
    <t>D</t>
  </si>
  <si>
    <t>E</t>
  </si>
  <si>
    <t>F</t>
  </si>
  <si>
    <t>G</t>
  </si>
  <si>
    <t>H</t>
  </si>
  <si>
    <t>Blank</t>
  </si>
  <si>
    <t>????</t>
  </si>
  <si>
    <t>????1</t>
  </si>
  <si>
    <t>Final plate 1</t>
  </si>
  <si>
    <t>Final plate 2</t>
  </si>
  <si>
    <t>Results</t>
  </si>
  <si>
    <t>Actual Temperature:</t>
  </si>
  <si>
    <t>Blank 205</t>
  </si>
  <si>
    <t>+</t>
  </si>
  <si>
    <t>The light path is calculated measuring A977 and A900 of pure water.</t>
  </si>
  <si>
    <t>L= A977 - A900 / 0.18</t>
  </si>
  <si>
    <t>Volume= 300uL</t>
  </si>
  <si>
    <t>L (cm)</t>
  </si>
  <si>
    <t>C= Abs/ (L * EF)</t>
  </si>
  <si>
    <t>Plate 1</t>
  </si>
  <si>
    <t xml:space="preserve">Plate 2 </t>
  </si>
  <si>
    <t>Avg Abs</t>
  </si>
  <si>
    <t>Las que faltan</t>
  </si>
  <si>
    <t>peso muestra (mg DW)</t>
  </si>
  <si>
    <t>MW Lignin</t>
  </si>
  <si>
    <t>volumen muestra (L)</t>
  </si>
  <si>
    <t>EF (L/g cm</t>
  </si>
  <si>
    <t>C (g/L)</t>
  </si>
  <si>
    <t>mg Lignina soluble</t>
  </si>
  <si>
    <t>mg Lignin / mg sample</t>
  </si>
  <si>
    <t>mg Lignin/g DW</t>
  </si>
  <si>
    <t>% Soluble Lignin</t>
  </si>
  <si>
    <t>LABEL</t>
  </si>
  <si>
    <t>Code</t>
  </si>
  <si>
    <t>25-P1S1C1AA</t>
  </si>
  <si>
    <t>25-P1S1C2AA</t>
  </si>
  <si>
    <t>25-P1S1C4AA</t>
  </si>
  <si>
    <t>25-P1S1C1FS</t>
  </si>
  <si>
    <t>25-P1S1C2FS</t>
  </si>
  <si>
    <t>25-P1S1C4FS</t>
  </si>
  <si>
    <t>25-P1S2C1AA</t>
  </si>
  <si>
    <t>25-P1S2C2AA</t>
  </si>
  <si>
    <t>25-P1S2C4AA</t>
  </si>
  <si>
    <t>25-P1S2C1FS</t>
  </si>
  <si>
    <t>25-P1S2C2FS</t>
  </si>
  <si>
    <t>25-P1S2C4FS</t>
  </si>
  <si>
    <t>25-P1S3C1AA</t>
  </si>
  <si>
    <t>25-P1S3C2AA</t>
  </si>
  <si>
    <t>25-P1S3C4AA</t>
  </si>
  <si>
    <t>25-P1S3C1FS</t>
  </si>
  <si>
    <t>25-P1S3C2FS</t>
  </si>
  <si>
    <t>25-P1S3C4FS</t>
  </si>
  <si>
    <t>25-P1S4C1AA</t>
  </si>
  <si>
    <t>25-P1S4C2AA</t>
  </si>
  <si>
    <t>25-P1S4C4AA</t>
  </si>
  <si>
    <t>25-P1S4C1FS</t>
  </si>
  <si>
    <t>25-P1S4C2FS</t>
  </si>
  <si>
    <t>25-P1S4C4FS</t>
  </si>
  <si>
    <t>25-P1S5C1AA</t>
  </si>
  <si>
    <t>25-P1S5C2AA</t>
  </si>
  <si>
    <t>25-P1S5C4AA</t>
  </si>
  <si>
    <t>25-P1S5C1FS</t>
  </si>
  <si>
    <t>25-P1S5C2FS</t>
  </si>
  <si>
    <t>25-P1S5C4FS</t>
  </si>
  <si>
    <t>25-P3S1C1AA</t>
  </si>
  <si>
    <t>25-P3S1C2AA</t>
  </si>
  <si>
    <t>25-P3S1C4AA</t>
  </si>
  <si>
    <t>25-P3S1C1FS</t>
  </si>
  <si>
    <t>25-P3S1C2FS</t>
  </si>
  <si>
    <t>25-P3S1C4FS</t>
  </si>
  <si>
    <t>25-P3S2C1AA</t>
  </si>
  <si>
    <t>25-P3S2C2AA</t>
  </si>
  <si>
    <t>25-P3S2C4AA</t>
  </si>
  <si>
    <t>25-P3S2C1FS</t>
  </si>
  <si>
    <t>25-P3S2C2FS</t>
  </si>
  <si>
    <t>25-P3S2C4FS</t>
  </si>
  <si>
    <t>25-P3S3C1AA</t>
  </si>
  <si>
    <t>25-P3S3C2AA</t>
  </si>
  <si>
    <t>25-P3S3C4AA</t>
  </si>
  <si>
    <t>25-P3S3C1FS</t>
  </si>
  <si>
    <t>25-P3S3C2FS</t>
  </si>
  <si>
    <t>25-P3S3C4FS</t>
  </si>
  <si>
    <t>25-P3S4C1AA</t>
  </si>
  <si>
    <t>25-P3S4C2AA</t>
  </si>
  <si>
    <t>25-P3S4C4AA</t>
  </si>
  <si>
    <t>25-P3S4C1FS</t>
  </si>
  <si>
    <t>25-P3S4C2FS</t>
  </si>
  <si>
    <t>25-P3S4C4FS</t>
  </si>
  <si>
    <t>25-P3S5C1AA</t>
  </si>
  <si>
    <t>25-P3S5C2AA</t>
  </si>
  <si>
    <t>25-P3S5C4AA</t>
  </si>
  <si>
    <t>25-P3S5C1FS</t>
  </si>
  <si>
    <t>25-P3S5C2FS</t>
  </si>
  <si>
    <t>25-P3S5C4FS</t>
  </si>
  <si>
    <t>25-P6S1C1AA</t>
  </si>
  <si>
    <t>25-P6S1C2AA</t>
  </si>
  <si>
    <t>25-P6S1C4AA</t>
  </si>
  <si>
    <t>25-P6S1C1FS</t>
  </si>
  <si>
    <t>25-P6S1C2FS</t>
  </si>
  <si>
    <t>25-P6S1C4FS</t>
  </si>
  <si>
    <t>25-P6S2C1AA</t>
  </si>
  <si>
    <t>25-P6S2C2AA</t>
  </si>
  <si>
    <t>25-P6S2C4AA</t>
  </si>
  <si>
    <t>25-P6S2C1FS</t>
  </si>
  <si>
    <t>25-P6S2C2FS</t>
  </si>
  <si>
    <t>25-P6S2C4FS</t>
  </si>
  <si>
    <t>25-P6S3C1AA</t>
  </si>
  <si>
    <t>25-P6S3C2AA</t>
  </si>
  <si>
    <t>25-P6S3C4AA</t>
  </si>
  <si>
    <t>25-P6S3C1FS</t>
  </si>
  <si>
    <t>25-P6S3C2FS</t>
  </si>
  <si>
    <t>25-P6S3C4FS</t>
  </si>
  <si>
    <t>25-P6S4C1AA</t>
  </si>
  <si>
    <t>25-P6S4C2AA</t>
  </si>
  <si>
    <t>25-P6S4C4AA</t>
  </si>
  <si>
    <t>25-P6S4C1FS</t>
  </si>
  <si>
    <t>25-P6S4C2FS</t>
  </si>
  <si>
    <t>25-P6S4C4FS</t>
  </si>
  <si>
    <t>25-P6S5C1AA</t>
  </si>
  <si>
    <t>25-P6S5C2AA</t>
  </si>
  <si>
    <t>25-P6S5C4AA</t>
  </si>
  <si>
    <t>25-P6S5C1FS</t>
  </si>
  <si>
    <t>25-P6S5C2FS</t>
  </si>
  <si>
    <t>25-P6S5C4FS</t>
  </si>
  <si>
    <t>10-P1S1C1AA</t>
  </si>
  <si>
    <t>10-P1S1C2AA</t>
  </si>
  <si>
    <t>10-P1S1C4AA</t>
  </si>
  <si>
    <t>10-P1S1C1FS</t>
  </si>
  <si>
    <t>10-P1S1C2FS</t>
  </si>
  <si>
    <t>10-P1S1C4FS</t>
  </si>
  <si>
    <t>10-P1S2C1AA</t>
  </si>
  <si>
    <t>10-P1S2C2AA</t>
  </si>
  <si>
    <t>10-P1S2C4AA</t>
  </si>
  <si>
    <t>10-P1S2C1FS</t>
  </si>
  <si>
    <t>10-P1S2C2FS</t>
  </si>
  <si>
    <t>10-P1S2C4FS</t>
  </si>
  <si>
    <t>10-P1S3C1AA</t>
  </si>
  <si>
    <t>10-P1S3C2AA</t>
  </si>
  <si>
    <t>10-P1S3C4AA</t>
  </si>
  <si>
    <t>10-P1S3C1FS</t>
  </si>
  <si>
    <t>10-P1S3C2FS</t>
  </si>
  <si>
    <t>10-P1S3C4FS</t>
  </si>
  <si>
    <t>10-P1S4C1AA</t>
  </si>
  <si>
    <t>10-P1S4C2AA</t>
  </si>
  <si>
    <t>10-P1S4C4AA</t>
  </si>
  <si>
    <t>10-P1S4C1FS</t>
  </si>
  <si>
    <t>10-P1S4C2FS</t>
  </si>
  <si>
    <t>10-P1S4C4FS</t>
  </si>
  <si>
    <t>10-P1S5C1AA</t>
  </si>
  <si>
    <t>10-P1S5C2AA</t>
  </si>
  <si>
    <t>10-P1S5C4AA</t>
  </si>
  <si>
    <t>10-P1S5C1FS</t>
  </si>
  <si>
    <t>10-P1S5C2FS</t>
  </si>
  <si>
    <t>10-P1S5C4FS</t>
  </si>
  <si>
    <t>10-P3S1C1AA</t>
  </si>
  <si>
    <t>10-P3S1C2AA</t>
  </si>
  <si>
    <t>10-P3S1C4AA</t>
  </si>
  <si>
    <t>10-P3S1C1FS</t>
  </si>
  <si>
    <t>10-P3S1C2FS</t>
  </si>
  <si>
    <t>10-P3S1C4FS</t>
  </si>
  <si>
    <t>10-P3S2C1AA</t>
  </si>
  <si>
    <t>10-P3S2C2AA</t>
  </si>
  <si>
    <t>10-P3S2C4AA</t>
  </si>
  <si>
    <t>10-P3S2C1FS</t>
  </si>
  <si>
    <t>10-P3S2C2FS</t>
  </si>
  <si>
    <t>10-P3S2C4FS</t>
  </si>
  <si>
    <t>10-P3S3C1AA</t>
  </si>
  <si>
    <t>10-P3S3C2AA</t>
  </si>
  <si>
    <t>10-P3S3C4AA</t>
  </si>
  <si>
    <t>10-P3S3C1FS</t>
  </si>
  <si>
    <t>10-P3S3C2FS</t>
  </si>
  <si>
    <t>10-P3S3C4FS</t>
  </si>
  <si>
    <t>10-P3S4C1AA</t>
  </si>
  <si>
    <t>10-P3S4C2AA</t>
  </si>
  <si>
    <t>10-P3S4C4AA</t>
  </si>
  <si>
    <t>10-P3S4C1FS</t>
  </si>
  <si>
    <t>10-P3S4C2FS</t>
  </si>
  <si>
    <t>10-P3S4C4FS</t>
  </si>
  <si>
    <t>10-P3S5C1AA</t>
  </si>
  <si>
    <t>10-P3S5C2AA</t>
  </si>
  <si>
    <t>10-P3S5C4AA</t>
  </si>
  <si>
    <t>10-P3S5C1FS</t>
  </si>
  <si>
    <t>10-P3S5C2FS</t>
  </si>
  <si>
    <t>10-P3S5C4FS</t>
  </si>
  <si>
    <t>10-P6S1C1AA</t>
  </si>
  <si>
    <t>10-P6S1C2AA</t>
  </si>
  <si>
    <t>10-P6S1C4AA</t>
  </si>
  <si>
    <t>10-P6S1C1FS</t>
  </si>
  <si>
    <t>10-P6S1C2FS</t>
  </si>
  <si>
    <t>10-P6S1C4FS</t>
  </si>
  <si>
    <t>10-P6S2C1AA</t>
  </si>
  <si>
    <t>10-P6S2C2AA</t>
  </si>
  <si>
    <t>10-P6S2C4AA</t>
  </si>
  <si>
    <t>10-P6S2C1FS</t>
  </si>
  <si>
    <t>10-P6S2C2FS</t>
  </si>
  <si>
    <t>10-P6S2C4FS</t>
  </si>
  <si>
    <t>10-P6S3C1AA</t>
  </si>
  <si>
    <t>10-P6S3C2AA</t>
  </si>
  <si>
    <t>10-P6S3C4AA</t>
  </si>
  <si>
    <t>10-P6S3C1FS</t>
  </si>
  <si>
    <t>10-P6S3C2FS</t>
  </si>
  <si>
    <t>10-P6S3C4FS</t>
  </si>
  <si>
    <t>10-P6S4C1AA</t>
  </si>
  <si>
    <t>10-P6S4C2AA</t>
  </si>
  <si>
    <t>10-P6S4C4AA</t>
  </si>
  <si>
    <t>10-P6S4C1FS</t>
  </si>
  <si>
    <t>10-P6S4C2FS</t>
  </si>
  <si>
    <t>10-P6S4C4FS</t>
  </si>
  <si>
    <t>10-P6S5C1AA</t>
  </si>
  <si>
    <t>10-P6S5C2AA</t>
  </si>
  <si>
    <t>10-P6S5C4AA</t>
  </si>
  <si>
    <t>10-P6S5C1FS</t>
  </si>
  <si>
    <t>10-P6S5C2FS</t>
  </si>
  <si>
    <t>10-P6S5C4FS</t>
  </si>
  <si>
    <t>10-P6S1C1AA -b</t>
  </si>
  <si>
    <t>10-P6S1C2AA -b</t>
  </si>
  <si>
    <t>10-P6S1C4AA -b</t>
  </si>
  <si>
    <t>10-P6S1C1FS -b</t>
  </si>
  <si>
    <t>10-P6S1C2FS -b</t>
  </si>
  <si>
    <t>10-P6S1C4FS -b</t>
  </si>
  <si>
    <t>10-P6S2C1AA -b</t>
  </si>
  <si>
    <t>10-P6S2C2AA -b</t>
  </si>
  <si>
    <t>10-P6S2C4AA -b</t>
  </si>
  <si>
    <t>10-P6S2C1FS -b</t>
  </si>
  <si>
    <t>10-P6S2C2FS -b</t>
  </si>
  <si>
    <t>10-P6S2C4FS -b</t>
  </si>
  <si>
    <t>10-P6S3C1AA -b</t>
  </si>
  <si>
    <t>10-P6S3C2AA -b</t>
  </si>
  <si>
    <t>10-P6S3C4AA -b</t>
  </si>
  <si>
    <t>10-P6S3C1FS -b</t>
  </si>
  <si>
    <t>10-P6S3C2FS -b</t>
  </si>
  <si>
    <t>10-P6S3C4FS -b</t>
  </si>
  <si>
    <t>10-P6S4C1AA -b</t>
  </si>
  <si>
    <t>10-P6S4C2AA -b</t>
  </si>
  <si>
    <t>10-P6S4C4AA -b</t>
  </si>
  <si>
    <t>10-P6S4C1FS -b</t>
  </si>
  <si>
    <t>10-P6S4C2FS -b</t>
  </si>
  <si>
    <t>10-P6S4C4FS -b</t>
  </si>
  <si>
    <t>10-P6S5C1AA -b</t>
  </si>
  <si>
    <t>10-P6S5C2AA -b</t>
  </si>
  <si>
    <t>10-P6S5C4AA -b</t>
  </si>
  <si>
    <t>10-P6S5C1FS -b</t>
  </si>
  <si>
    <t>10-P6S5C2FS -b</t>
  </si>
  <si>
    <t>10-P6S5C4FS -b</t>
  </si>
  <si>
    <t>1-P1S1C1AA-S</t>
  </si>
  <si>
    <t>1-P1S1C2AA-S</t>
  </si>
  <si>
    <t>1-P1S1C4AA-S</t>
  </si>
  <si>
    <t>1-P1S1C1FS-S</t>
  </si>
  <si>
    <t>1-P1S1C2FS-S</t>
  </si>
  <si>
    <t>1-P1S1C4FS-S</t>
  </si>
  <si>
    <t>1-P1S2C1AA-S</t>
  </si>
  <si>
    <t>1-P1S2C2AA-S</t>
  </si>
  <si>
    <t>1-P1S2C4AA-S</t>
  </si>
  <si>
    <t>1-P1S2C1FS-S</t>
  </si>
  <si>
    <t>1-P1S2C2FS-S</t>
  </si>
  <si>
    <t>1-P1S2C4FS-S</t>
  </si>
  <si>
    <t>1-P1S3C1AA-S</t>
  </si>
  <si>
    <t>1-P1S3C2AA-S</t>
  </si>
  <si>
    <t>1-P1S3C4AA-S</t>
  </si>
  <si>
    <t>1-P1S3C1FS-S</t>
  </si>
  <si>
    <t>1-P1S3C2FS-S</t>
  </si>
  <si>
    <t>1-P1S3C4FS-S</t>
  </si>
  <si>
    <t>1-P1S4C1AA-S</t>
  </si>
  <si>
    <t>1-P1S4C2AA-S</t>
  </si>
  <si>
    <t>1-P1S4C4AA-S</t>
  </si>
  <si>
    <t>1-P1S4C1FS-S</t>
  </si>
  <si>
    <t>1-P1S4C2FS-S</t>
  </si>
  <si>
    <t>1-P1S4C4FS-S</t>
  </si>
  <si>
    <t>1-P1S5C1AA-S</t>
  </si>
  <si>
    <t>1-P1S5C2AA-S</t>
  </si>
  <si>
    <t>1-P1S5C4AA-S</t>
  </si>
  <si>
    <t>1-P1S5C1FS-S</t>
  </si>
  <si>
    <t>1-P1S5C2FS-S</t>
  </si>
  <si>
    <t>1-P1S5C4FS-S</t>
  </si>
  <si>
    <t>1-P3S1C1AA-S</t>
  </si>
  <si>
    <t>1-P3S1C2AA-S</t>
  </si>
  <si>
    <t>1-P3S1C4AA-S</t>
  </si>
  <si>
    <t>1-P3S1C1FS-S</t>
  </si>
  <si>
    <t>1-P3S1C2FS-S</t>
  </si>
  <si>
    <t>1-P3S1C4FS-S</t>
  </si>
  <si>
    <t>1-P3S2C1AA-S</t>
  </si>
  <si>
    <t>1-P3S2C2AA-S</t>
  </si>
  <si>
    <t>1-P3S2C4AA-S</t>
  </si>
  <si>
    <t>1-P3S2C1FS-S</t>
  </si>
  <si>
    <t>1-P3S2C2FS-S</t>
  </si>
  <si>
    <t>1-P3S2C4FS-S</t>
  </si>
  <si>
    <t>1-P3S3C1AA-S</t>
  </si>
  <si>
    <t>1-P3S3C2AA-S</t>
  </si>
  <si>
    <t>1-P3S3C4AA-S</t>
  </si>
  <si>
    <t>1-P3S3C1FS-S</t>
  </si>
  <si>
    <t>1-P3S3C2FS-S</t>
  </si>
  <si>
    <t>1-P3S3C4FS-S</t>
  </si>
  <si>
    <t>1-P3S4C1AA-S</t>
  </si>
  <si>
    <t>1-P3S4C2AA-S</t>
  </si>
  <si>
    <t>1-P3S4C4AA-S</t>
  </si>
  <si>
    <t>1-P3S4C1FS-S</t>
  </si>
  <si>
    <t>1-P3S4C2FS-S</t>
  </si>
  <si>
    <t>1-P3S4C4FS-S</t>
  </si>
  <si>
    <t>1-P3S5C1AA-S</t>
  </si>
  <si>
    <t>1-P3S5C2AA-S</t>
  </si>
  <si>
    <t>1-P3S5C4AA-S</t>
  </si>
  <si>
    <t>1-P3S5C1FS-S</t>
  </si>
  <si>
    <t>1-P3S5C2FS-S</t>
  </si>
  <si>
    <t>1-P3S5C4FS-S</t>
  </si>
  <si>
    <t>1-P6S1C1AA-S</t>
  </si>
  <si>
    <t>1-P6S1C2AA-S</t>
  </si>
  <si>
    <t>1-P6S1C4AA-S</t>
  </si>
  <si>
    <t>1-P6S1C1FS-S</t>
  </si>
  <si>
    <t>1-P6S1C2FS-S</t>
  </si>
  <si>
    <t>1-P6S1C4FS-S</t>
  </si>
  <si>
    <t>1-P6S2C1AA-S</t>
  </si>
  <si>
    <t>1-P6S2C2AA-S</t>
  </si>
  <si>
    <t>1-P6S2C4AA-S</t>
  </si>
  <si>
    <t>1-P6S2C1FS-S</t>
  </si>
  <si>
    <t>1-P6S2C2FS-S</t>
  </si>
  <si>
    <t>1-P6S2C4FS-S</t>
  </si>
  <si>
    <t>1-P6S3C1AA-S</t>
  </si>
  <si>
    <t>1-P6S3C2AA-S</t>
  </si>
  <si>
    <t>1-P6S3C4AA-S</t>
  </si>
  <si>
    <t>1-P6S3C1FS-S</t>
  </si>
  <si>
    <t>1-P6S3C2FS-S</t>
  </si>
  <si>
    <t>1-P6S3C4FS-S</t>
  </si>
  <si>
    <t>1-P6S4C1AA-S</t>
  </si>
  <si>
    <t>1-P6S4C2AA-S</t>
  </si>
  <si>
    <t>1-P6S4C4AA-S</t>
  </si>
  <si>
    <t>1-P6S4C1FS-S</t>
  </si>
  <si>
    <t>1-P6S4C2FS-S</t>
  </si>
  <si>
    <t>1-P6S4C4FS-S</t>
  </si>
  <si>
    <t>1-P6S5C1AA-S</t>
  </si>
  <si>
    <t>1-P6S5C2AA-S</t>
  </si>
  <si>
    <t>1-P6S5C4AA-S</t>
  </si>
  <si>
    <t>1-P6S5C1FS-S</t>
  </si>
  <si>
    <t>1-P6S5C2FS-S</t>
  </si>
  <si>
    <t>1-P6S5C4FS-S</t>
  </si>
  <si>
    <t>1-P1S1C1AA-F</t>
  </si>
  <si>
    <t>1-P1S1C2AA-F</t>
  </si>
  <si>
    <t>1-P1S1C4AA-F</t>
  </si>
  <si>
    <t>1-P1S1C1FS-F</t>
  </si>
  <si>
    <t>1-P1S1C2FS-F</t>
  </si>
  <si>
    <t>1-P1S1C4FS-F</t>
  </si>
  <si>
    <t>1-P1S2C1AA-F</t>
  </si>
  <si>
    <t>1-P1S2C2AA-F</t>
  </si>
  <si>
    <t>1-P1S2C4AA-F</t>
  </si>
  <si>
    <t>1-P1S2C1FS-F</t>
  </si>
  <si>
    <t>1-P1S2C2FS-F</t>
  </si>
  <si>
    <t>1-P1S2C4FS-F</t>
  </si>
  <si>
    <t>1-P1S3C1AA-F</t>
  </si>
  <si>
    <t>1-P1S3C2AA-F</t>
  </si>
  <si>
    <t>1-P1S3C4AA-F</t>
  </si>
  <si>
    <t>1-P1S3C1FS-F</t>
  </si>
  <si>
    <t>1-P1S3C2FS-F</t>
  </si>
  <si>
    <t>1-P1S3C4FS-F</t>
  </si>
  <si>
    <t>1-P1S4C1AA-F</t>
  </si>
  <si>
    <t>1-P1S4C2AA-F</t>
  </si>
  <si>
    <t>1-P1S4C4AA-F</t>
  </si>
  <si>
    <t>1-P1S4C1FS-F</t>
  </si>
  <si>
    <t>1-P1S4C2FS-F</t>
  </si>
  <si>
    <t>1-P1S4C4FS-F</t>
  </si>
  <si>
    <t>1-P1S5C1AA-F</t>
  </si>
  <si>
    <t>1-P1S5C2AA-F</t>
  </si>
  <si>
    <t>1-P1S5C4AA-F</t>
  </si>
  <si>
    <t>1-P1S5C1FS-F</t>
  </si>
  <si>
    <t>1-P1S5C2FS-F</t>
  </si>
  <si>
    <t>1-P1S5C4FS-F</t>
  </si>
  <si>
    <t>1-P3S1C1AA-F</t>
  </si>
  <si>
    <t>1-P3S1C2AA-F</t>
  </si>
  <si>
    <t>1-P3S1C4AA-F</t>
  </si>
  <si>
    <t>1-P3S1C1FS-F</t>
  </si>
  <si>
    <t>1-P3S1C2FS-F</t>
  </si>
  <si>
    <t>1-P3S1C4FS-F</t>
  </si>
  <si>
    <t>1-P3S2C1AA-F</t>
  </si>
  <si>
    <t>1-P3S2C2AA-F</t>
  </si>
  <si>
    <t>1-P3S2C4AA-F</t>
  </si>
  <si>
    <t>1-P3S2C1FS-F</t>
  </si>
  <si>
    <t>1-P3S2C2FS-F</t>
  </si>
  <si>
    <t>1-P3S2C4FS-F</t>
  </si>
  <si>
    <t>1-P3S3C1AA-F</t>
  </si>
  <si>
    <t>1-P3S3C2AA-F</t>
  </si>
  <si>
    <t>1-P3S3C4AA-F</t>
  </si>
  <si>
    <t>1-P3S3C1FS-F</t>
  </si>
  <si>
    <t>1-P3S3C2FS-F</t>
  </si>
  <si>
    <t>1-P3S3C4FS-F</t>
  </si>
  <si>
    <t>1-P3S4C1AA-F</t>
  </si>
  <si>
    <t>1-P3S4C2AA-F</t>
  </si>
  <si>
    <t>1-P3S4C4AA-F</t>
  </si>
  <si>
    <t>1-P3S4C1FS-F</t>
  </si>
  <si>
    <t>1-P3S4C2FS-F</t>
  </si>
  <si>
    <t>1-P3S4C4FS-F</t>
  </si>
  <si>
    <t>1-P3S5C1AA-F</t>
  </si>
  <si>
    <t>1-P3S5C2AA-F</t>
  </si>
  <si>
    <t>1-P3S5C4AA-F</t>
  </si>
  <si>
    <t>1-P3S5C1FS-F</t>
  </si>
  <si>
    <t>1-P3S5C2FS-F</t>
  </si>
  <si>
    <t>1-P3S5C4FS-F</t>
  </si>
  <si>
    <t>1-P6S1C1AA-F</t>
  </si>
  <si>
    <t>1-P6S1C2AA-F</t>
  </si>
  <si>
    <t>1-P6S1C4AA-F</t>
  </si>
  <si>
    <t>1-P6S1C1FS-F</t>
  </si>
  <si>
    <t>1-P6S1C2FS-F</t>
  </si>
  <si>
    <t>1-P6S1C4FS-F</t>
  </si>
  <si>
    <t>1-P6S2C1AA-F</t>
  </si>
  <si>
    <t>1-P6S2C2AA-F</t>
  </si>
  <si>
    <t>1-P6S2C4AA-F</t>
  </si>
  <si>
    <t>1-P6S2C1FS-F</t>
  </si>
  <si>
    <t>1-P6S2C2FS-F</t>
  </si>
  <si>
    <t>1-P6S2C4FS-F</t>
  </si>
  <si>
    <t>1-P6S3C1AA-F</t>
  </si>
  <si>
    <t>1-P6S3C2AA-F</t>
  </si>
  <si>
    <t>1-P6S3C4AA-F</t>
  </si>
  <si>
    <t>1-P6S3C1FS-F</t>
  </si>
  <si>
    <t>1-P6S3C2FS-F</t>
  </si>
  <si>
    <t>1-P6S3C4FS-F</t>
  </si>
  <si>
    <t>1-P6S4C1AA-F</t>
  </si>
  <si>
    <t>1-P6S4C2AA-F</t>
  </si>
  <si>
    <t>1-P6S4C4AA-F</t>
  </si>
  <si>
    <t>1-P6S4C1FS-F</t>
  </si>
  <si>
    <t>1-P6S4C2FS-F</t>
  </si>
  <si>
    <t>1-P6S4C4FS-F</t>
  </si>
  <si>
    <t>1-P6S5C1AA-F</t>
  </si>
  <si>
    <t>1-P6S5C2AA-F</t>
  </si>
  <si>
    <t>1-P6S5C4AA-F</t>
  </si>
  <si>
    <t>1-P6S5C1FS-F</t>
  </si>
  <si>
    <t>1-P6S5C2FS-F</t>
  </si>
  <si>
    <t>1-P6S5C4FS-F</t>
  </si>
  <si>
    <t>1-P1S1C1AA-W</t>
  </si>
  <si>
    <t>1-P1S1C2AA-W</t>
  </si>
  <si>
    <t>1-P1S1C4AA-W</t>
  </si>
  <si>
    <t>1-P1S1C1FS-W</t>
  </si>
  <si>
    <t>1-P1S1C2FS-W</t>
  </si>
  <si>
    <t>1-P1S1C4FS-W</t>
  </si>
  <si>
    <t>1-P1S2C1AA-W</t>
  </si>
  <si>
    <t>1-P1S2C2AA-W</t>
  </si>
  <si>
    <t>1-P1S2C4AA-W</t>
  </si>
  <si>
    <t>1-P1S2C1FS-W</t>
  </si>
  <si>
    <t>1-P1S2C2FS-W</t>
  </si>
  <si>
    <t>1-P1S2C4FS-W</t>
  </si>
  <si>
    <t>1-P1S3C1AA-W</t>
  </si>
  <si>
    <t>1-P1S3C2AA-W</t>
  </si>
  <si>
    <t>1-P1S3C4AA-W</t>
  </si>
  <si>
    <t>1-P1S3C1FS-W</t>
  </si>
  <si>
    <t>1-P1S3C2FS-W</t>
  </si>
  <si>
    <t>1-P1S3C4FS-W</t>
  </si>
  <si>
    <t>1-P1S4C1AA-W</t>
  </si>
  <si>
    <t>1-P1S4C2AA-W</t>
  </si>
  <si>
    <t>1-P1S4C4AA-W</t>
  </si>
  <si>
    <t>1-P1S4C1FS-W</t>
  </si>
  <si>
    <t>1-P1S4C2FS-W</t>
  </si>
  <si>
    <t>1-P1S4C4FS-W</t>
  </si>
  <si>
    <t>1-P1S5C1AA-W</t>
  </si>
  <si>
    <t>1-P1S5C2AA-W</t>
  </si>
  <si>
    <t>1-P1S5C4AA-W</t>
  </si>
  <si>
    <t>1-P1S5C1FS-W</t>
  </si>
  <si>
    <t>1-P1S5C2FS-W</t>
  </si>
  <si>
    <t>1-P1S5C4FS-W</t>
  </si>
  <si>
    <t>1-P3S1C1AA-W</t>
  </si>
  <si>
    <t>1-P3S1C2AA-W</t>
  </si>
  <si>
    <t>1-P3S1C4AA-W</t>
  </si>
  <si>
    <t>1-P3S1C1FS-W</t>
  </si>
  <si>
    <t>1-P3S1C2FS-W</t>
  </si>
  <si>
    <t>1-P3S1C4FS-W</t>
  </si>
  <si>
    <t>1-P3S2C1AA-W</t>
  </si>
  <si>
    <t>1-P3S2C2AA-W</t>
  </si>
  <si>
    <t>1-P3S2C4AA-W</t>
  </si>
  <si>
    <t>1-P3S2C1FS-W</t>
  </si>
  <si>
    <t>1-P3S2C2FS-W</t>
  </si>
  <si>
    <t>1-P3S2C4FS-W</t>
  </si>
  <si>
    <t>1-P3S3C1AA-W</t>
  </si>
  <si>
    <t>1-P3S3C2AA-W</t>
  </si>
  <si>
    <t>1-P3S3C4AA-W</t>
  </si>
  <si>
    <t>1-P3S3C1FS-W</t>
  </si>
  <si>
    <t>1-P3S3C2FS-W</t>
  </si>
  <si>
    <t>1-P3S3C4FS-W</t>
  </si>
  <si>
    <t>1-P3S4C1AA-W</t>
  </si>
  <si>
    <t>1-P3S4C2AA-W</t>
  </si>
  <si>
    <t>1-P3S4C4AA-W</t>
  </si>
  <si>
    <t>1-P3S4C1FS-W</t>
  </si>
  <si>
    <t>1-P3S4C2FS-W</t>
  </si>
  <si>
    <t>1-P3S4C4FS-W</t>
  </si>
  <si>
    <t>1-P3S5C1AA-W</t>
  </si>
  <si>
    <t>1-P3S5C2AA-W</t>
  </si>
  <si>
    <t>1-P3S5C4AA-W</t>
  </si>
  <si>
    <t>1-P3S5C1FS-W</t>
  </si>
  <si>
    <t>1-P3S5C2FS-W</t>
  </si>
  <si>
    <t>1-P3S5C4FS-W</t>
  </si>
  <si>
    <t>1-P6S1C1AA-W</t>
  </si>
  <si>
    <t>1-P6S1C2AA-W</t>
  </si>
  <si>
    <t>1-P6S1C4AA-W</t>
  </si>
  <si>
    <t>1-P6S1C1FS-W</t>
  </si>
  <si>
    <t>1-P6S1C2FS-W</t>
  </si>
  <si>
    <t>1-P6S1C4FS-W</t>
  </si>
  <si>
    <t>1-P6S2C1AA-W</t>
  </si>
  <si>
    <t>1-P6S2C2AA-W</t>
  </si>
  <si>
    <t>1-P6S2C4AA-W</t>
  </si>
  <si>
    <t>1-P6S2C1FS-W</t>
  </si>
  <si>
    <t>1-P6S2C2FS-W</t>
  </si>
  <si>
    <t>1-P6S2C4FS-W</t>
  </si>
  <si>
    <t>1-P6S3C1AA-W</t>
  </si>
  <si>
    <t>1-P6S3C2AA-W</t>
  </si>
  <si>
    <t>1-P6S3C4AA-W</t>
  </si>
  <si>
    <t>1-P6S3C1FS-W</t>
  </si>
  <si>
    <t>1-P6S3C2FS-W</t>
  </si>
  <si>
    <t>1-P6S3C4FS-W</t>
  </si>
  <si>
    <t>1-P6S4C1AA-W</t>
  </si>
  <si>
    <t>1-P6S4C2AA-W</t>
  </si>
  <si>
    <t>1-P6S4C4AA-W</t>
  </si>
  <si>
    <t>1-P6S4C1FS-W</t>
  </si>
  <si>
    <t>1-P6S4C2FS-W</t>
  </si>
  <si>
    <t>1-P6S4C4FS-W</t>
  </si>
  <si>
    <t>1-P6S5C1AA-W</t>
  </si>
  <si>
    <t>1-P6S5C2AA-W</t>
  </si>
  <si>
    <t>1-P6S5C4AA-W</t>
  </si>
  <si>
    <t>1-P6S5C1FS-W</t>
  </si>
  <si>
    <t>1-P6S5C2FS-W</t>
  </si>
  <si>
    <t>1-P6S5C4FS-W</t>
  </si>
  <si>
    <t>1-P1S1C1AA-Sp</t>
  </si>
  <si>
    <t>1-P1S1C2AA-Sp</t>
  </si>
  <si>
    <t>1-P1S1C4AA-Sp</t>
  </si>
  <si>
    <t>1-P1S1C1FS-Sp</t>
  </si>
  <si>
    <t>1-P1S1C2FS-Sp</t>
  </si>
  <si>
    <t>1-P1S1C4FS-Sp</t>
  </si>
  <si>
    <t>1-P1S2C1AA-Sp</t>
  </si>
  <si>
    <t>1-P1S2C2AA-Sp</t>
  </si>
  <si>
    <t>1-P1S2C4AA-Sp</t>
  </si>
  <si>
    <t>1-P1S2C1FS-Sp</t>
  </si>
  <si>
    <t>1-P1S2C2FS-Sp</t>
  </si>
  <si>
    <t>1-P1S2C4FS-Sp</t>
  </si>
  <si>
    <t>1-P1S3C1AA-Sp</t>
  </si>
  <si>
    <t>1-P1S3C2AA-Sp</t>
  </si>
  <si>
    <t>1-P1S3C4AA-Sp</t>
  </si>
  <si>
    <t>1-P1S3C1FS-Sp</t>
  </si>
  <si>
    <t>1-P1S3C2FS-Sp</t>
  </si>
  <si>
    <t>1-P1S3C4FS-Sp</t>
  </si>
  <si>
    <t>1-P1S4C1AA-Sp</t>
  </si>
  <si>
    <t>1-P1S4C2AA-Sp</t>
  </si>
  <si>
    <t>1-P1S4C4AA-Sp</t>
  </si>
  <si>
    <t>1-P1S4C1FS-Sp</t>
  </si>
  <si>
    <t>1-P1S4C2FS-Sp</t>
  </si>
  <si>
    <t>1-P1S4C4FS-Sp</t>
  </si>
  <si>
    <t>1-P1S5C1AA-Sp</t>
  </si>
  <si>
    <t>1-P1S5C2AA-Sp</t>
  </si>
  <si>
    <t>1-P1S5C4AA-Sp</t>
  </si>
  <si>
    <t>1-P1S5C1FS-Sp</t>
  </si>
  <si>
    <t>1-P1S5C2FS-Sp</t>
  </si>
  <si>
    <t>1-P1S5C4FS-Sp</t>
  </si>
  <si>
    <t>1-P3S1C1AA-Sp</t>
  </si>
  <si>
    <t>1-P3S1C2AA-Sp</t>
  </si>
  <si>
    <t>1-P3S1C4AA-Sp</t>
  </si>
  <si>
    <t>1-P3S1C1FS-Sp</t>
  </si>
  <si>
    <t>1-P3S1C2FS-Sp</t>
  </si>
  <si>
    <t>1-P3S1C4FS-Sp</t>
  </si>
  <si>
    <t>1-P3S2C1AA-Sp</t>
  </si>
  <si>
    <t>1-P3S2C2AA-Sp</t>
  </si>
  <si>
    <t>1-P3S2C4AA-Sp</t>
  </si>
  <si>
    <t>1-P3S2C1FS-Sp</t>
  </si>
  <si>
    <t>1-P3S2C2FS-Sp</t>
  </si>
  <si>
    <t>1-P3S2C4FS-Sp</t>
  </si>
  <si>
    <t>1-P3S3C1AA-Sp</t>
  </si>
  <si>
    <t>1-P3S3C2AA-Sp</t>
  </si>
  <si>
    <t>1-P3S3C4AA-Sp</t>
  </si>
  <si>
    <t>1-P3S3C1FS-Sp</t>
  </si>
  <si>
    <t>1-P3S3C2FS-Sp</t>
  </si>
  <si>
    <t>1-P3S3C4FS-Sp</t>
  </si>
  <si>
    <t>1-P3S4C1AA-Sp</t>
  </si>
  <si>
    <t>1-P3S4C2AA-Sp</t>
  </si>
  <si>
    <t>1-P3S4C4AA-Sp</t>
  </si>
  <si>
    <t>1-P3S4C1FS-Sp</t>
  </si>
  <si>
    <t>1-P3S4C2FS-Sp</t>
  </si>
  <si>
    <t>1-P3S4C4FS-Sp</t>
  </si>
  <si>
    <t>1-P3S5C1AA-Sp</t>
  </si>
  <si>
    <t>1-P3S5C2AA-Sp</t>
  </si>
  <si>
    <t>1-P3S5C4AA-Sp</t>
  </si>
  <si>
    <t>1-P3S5C1FS-Sp</t>
  </si>
  <si>
    <t>1-P3S5C2FS-Sp</t>
  </si>
  <si>
    <t>1-P3S5C4FS-Sp</t>
  </si>
  <si>
    <t>1-P6S1C1AA-Sp</t>
  </si>
  <si>
    <t>1-P6S1C2AA-Sp</t>
  </si>
  <si>
    <t>1-P6S1C4AA-Sp</t>
  </si>
  <si>
    <t>1-P6S1C1FS-Sp</t>
  </si>
  <si>
    <t>1-P6S1C2FS-Sp</t>
  </si>
  <si>
    <t>1-P6S1C4FS-Sp</t>
  </si>
  <si>
    <t>1-P6S2C1AA-Sp</t>
  </si>
  <si>
    <t>1-P6S2C2AA-Sp</t>
  </si>
  <si>
    <t>1-P6S2C4AA-Sp</t>
  </si>
  <si>
    <t>1-P6S2C1FS-Sp</t>
  </si>
  <si>
    <t>1-P6S2C2FS-Sp</t>
  </si>
  <si>
    <t>1-P6S2C4FS-Sp</t>
  </si>
  <si>
    <t>1-P6S3C1AA-Sp</t>
  </si>
  <si>
    <t>1-P6S3C2AA-Sp</t>
  </si>
  <si>
    <t>1-P6S3C4AA-Sp</t>
  </si>
  <si>
    <t>1-P6S3C1FS-Sp</t>
  </si>
  <si>
    <t>1-P6S3C2FS-Sp</t>
  </si>
  <si>
    <t>1-P6S3C4FS-Sp</t>
  </si>
  <si>
    <t>1-P6S4C1AA-Sp</t>
  </si>
  <si>
    <t>1-P6S4C2AA-Sp</t>
  </si>
  <si>
    <t>1-P6S4C4AA-Sp</t>
  </si>
  <si>
    <t>1-P6S4C1FS-Sp</t>
  </si>
  <si>
    <t>1-P6S4C2FS-Sp</t>
  </si>
  <si>
    <t>1-P6S4C4FS-Sp</t>
  </si>
  <si>
    <t>1-P6S5C1AA-Sp</t>
  </si>
  <si>
    <t>1-P6S5C2AA-Sp</t>
  </si>
  <si>
    <t>1-P6S5C4AA-Sp</t>
  </si>
  <si>
    <t>1-P6S5C1FS-Sp</t>
  </si>
  <si>
    <t>1-P6S5C2FS-Sp</t>
  </si>
  <si>
    <t>1-P6S5C4FS-Sp</t>
  </si>
  <si>
    <t>10-P7S1C1AA</t>
  </si>
  <si>
    <t>10-P7S1C2AA</t>
  </si>
  <si>
    <t>10-P7S1C4AA</t>
  </si>
  <si>
    <t>10-P7S1C1FS</t>
  </si>
  <si>
    <t>10-P7S1C2FS</t>
  </si>
  <si>
    <t>10-P7S1C4FS</t>
  </si>
  <si>
    <t>10-P7S2C1AA</t>
  </si>
  <si>
    <t>10-P7S2C2AA</t>
  </si>
  <si>
    <t>10-P7S2C4AA</t>
  </si>
  <si>
    <t>10-P7S2C1FS</t>
  </si>
  <si>
    <t>10-P7S2C2FS</t>
  </si>
  <si>
    <t>10-P7S2C4FS</t>
  </si>
  <si>
    <t>10-P7S3C1AA</t>
  </si>
  <si>
    <t>10-P7S3C2AA</t>
  </si>
  <si>
    <t>10-P7S3C4AA</t>
  </si>
  <si>
    <t>10-P7S3C1FS</t>
  </si>
  <si>
    <t>10-P7S3C2FS</t>
  </si>
  <si>
    <t>10-P7S3C4FS</t>
  </si>
  <si>
    <t>10-P7S4C1AA</t>
  </si>
  <si>
    <t>10-P7S4C2AA</t>
  </si>
  <si>
    <t>10-P7S4C4AA</t>
  </si>
  <si>
    <t>10-P7S4C1FS</t>
  </si>
  <si>
    <t>10-P7S4C2FS</t>
  </si>
  <si>
    <t>10-P7S4C4FS</t>
  </si>
  <si>
    <t>10-P7S5C1AA</t>
  </si>
  <si>
    <t>10-P7S5C2AA</t>
  </si>
  <si>
    <t>10-P7S5C4AA</t>
  </si>
  <si>
    <t>10-P7S5C1FS</t>
  </si>
  <si>
    <t>10-P7S5C2FS</t>
  </si>
  <si>
    <t>10-P7S5C4FS</t>
  </si>
  <si>
    <t>10-P4S1C1AA</t>
  </si>
  <si>
    <t>10-P4S1C2AA</t>
  </si>
  <si>
    <t>10-P4S1C4AA</t>
  </si>
  <si>
    <t>10-P4S1C1FS</t>
  </si>
  <si>
    <t>10-P4S1C2FS</t>
  </si>
  <si>
    <t>10-P4S1C4FS</t>
  </si>
  <si>
    <t>10-P4S2C1AA</t>
  </si>
  <si>
    <t>10-P4S2C2AA</t>
  </si>
  <si>
    <t>10-P4S2C4AA</t>
  </si>
  <si>
    <t>10-P4S2C1FS</t>
  </si>
  <si>
    <t>10-P4S2C2FS</t>
  </si>
  <si>
    <t>10-P4S2C4FS</t>
  </si>
  <si>
    <t>10-P4S3C1AA</t>
  </si>
  <si>
    <t>10-P4S3C2AA</t>
  </si>
  <si>
    <t>10-P4S3C4AA</t>
  </si>
  <si>
    <t>10-P4S3C1FS</t>
  </si>
  <si>
    <t>10-P4S3C2FS</t>
  </si>
  <si>
    <t>10-P4S3C4FS</t>
  </si>
  <si>
    <t>10-P4S4C1AA</t>
  </si>
  <si>
    <t>10-P4S4C2AA</t>
  </si>
  <si>
    <t>10-P4S4C4AA</t>
  </si>
  <si>
    <t>10-P4S4C1FS</t>
  </si>
  <si>
    <t>10-P4S4C2FS</t>
  </si>
  <si>
    <t>10-P4S4C4FS</t>
  </si>
  <si>
    <t>10-P4S5C1AA</t>
  </si>
  <si>
    <t>10-P4S5C2AA</t>
  </si>
  <si>
    <t>10-P4S5C4AA</t>
  </si>
  <si>
    <t>10-P4S5C1FS</t>
  </si>
  <si>
    <t>10-P4S5C2FS</t>
  </si>
  <si>
    <t>10-P4S5C4FS</t>
  </si>
  <si>
    <t>10-P5S1C1AA</t>
  </si>
  <si>
    <t>10-P5S1C2AA</t>
  </si>
  <si>
    <t>10-P5S1C4AA</t>
  </si>
  <si>
    <t>10-P5S1C1FS</t>
  </si>
  <si>
    <t>10-P5S1C2FS</t>
  </si>
  <si>
    <t>10-P5S1C4FS</t>
  </si>
  <si>
    <t>10-P5S2C1AA</t>
  </si>
  <si>
    <t>10-P5S2C2AA</t>
  </si>
  <si>
    <t>10-P5S2C4AA</t>
  </si>
  <si>
    <t>10-P5S2C1FS</t>
  </si>
  <si>
    <t>10-P5S2C2FS</t>
  </si>
  <si>
    <t>10-P5S2C4FS</t>
  </si>
  <si>
    <t>10-P5S3C1AA</t>
  </si>
  <si>
    <t>10-P5S3C2AA</t>
  </si>
  <si>
    <t>10-P5S3C4AA</t>
  </si>
  <si>
    <t>10-P5S3C1FS</t>
  </si>
  <si>
    <t>10-P5S3C2FS</t>
  </si>
  <si>
    <t>10-P5S3C4FS</t>
  </si>
  <si>
    <t>10-P5S4C1AA</t>
  </si>
  <si>
    <t>10-P5S4C2AA</t>
  </si>
  <si>
    <t>10-P5S4C4AA</t>
  </si>
  <si>
    <t>10-P5S4C1FS</t>
  </si>
  <si>
    <t>10-P5S4C2FS</t>
  </si>
  <si>
    <t>10-P5S4C4FS</t>
  </si>
  <si>
    <t>10-P5S5C1AA</t>
  </si>
  <si>
    <t>10-P5S5C2AA</t>
  </si>
  <si>
    <t>10-P5S5C4AA</t>
  </si>
  <si>
    <t>10-P5S5C1FS</t>
  </si>
  <si>
    <t>10-P5S5C2FS</t>
  </si>
  <si>
    <t>10-P5S5C4FS</t>
  </si>
  <si>
    <t>10-P2S1C1AA</t>
  </si>
  <si>
    <t>10-P2S1C2AA</t>
  </si>
  <si>
    <t>10-P2S1C4AA</t>
  </si>
  <si>
    <t>10-P2S1C1FS</t>
  </si>
  <si>
    <t>10-P2S1C2FS</t>
  </si>
  <si>
    <t>10-P2S1C4FS</t>
  </si>
  <si>
    <t>10-P2S2C1AA</t>
  </si>
  <si>
    <t>10-P2S2C2AA</t>
  </si>
  <si>
    <t>10-P2S2C4AA</t>
  </si>
  <si>
    <t>10-P2S2C1FS</t>
  </si>
  <si>
    <t>10-P2S2C2FS</t>
  </si>
  <si>
    <t>10-P2S2C4FS</t>
  </si>
  <si>
    <t>10-P2S3C1AA</t>
  </si>
  <si>
    <t>10-P2S3C2AA</t>
  </si>
  <si>
    <t>10-P2S3C4AA</t>
  </si>
  <si>
    <t>10-P2S3C1FS</t>
  </si>
  <si>
    <t>10-P2S3C2FS</t>
  </si>
  <si>
    <t>10-P2S3C4FS</t>
  </si>
  <si>
    <t>10-P2S4C1AA</t>
  </si>
  <si>
    <t>10-P2S4C2AA</t>
  </si>
  <si>
    <t>10-P2S4C4AA</t>
  </si>
  <si>
    <t>10-P2S4C1FS</t>
  </si>
  <si>
    <t>10-P2S4C2FS</t>
  </si>
  <si>
    <t>10-P2S4C4FS</t>
  </si>
  <si>
    <t>10-P2S5C1AA</t>
  </si>
  <si>
    <t>10-P2S5C2AA</t>
  </si>
  <si>
    <t>10-P2S5C4AA</t>
  </si>
  <si>
    <t>10-P2S5C1FS</t>
  </si>
  <si>
    <t>10-P2S5C2FS</t>
  </si>
  <si>
    <t>10-P2S5C4FS</t>
  </si>
  <si>
    <t>10-P8S1C1AA</t>
  </si>
  <si>
    <t>10-P8S1C2AA</t>
  </si>
  <si>
    <t>10-P8S1C4AA</t>
  </si>
  <si>
    <t>10-P8S1C1FS</t>
  </si>
  <si>
    <t>10-P8S1C2FS</t>
  </si>
  <si>
    <t>10-P8S1C4FS</t>
  </si>
  <si>
    <t>10-P8S2C1AA</t>
  </si>
  <si>
    <t>10-P8S2C2AA</t>
  </si>
  <si>
    <t>10-P8S2C4AA</t>
  </si>
  <si>
    <t>10-P8S2C1FS</t>
  </si>
  <si>
    <t>10-P8S2C2FS</t>
  </si>
  <si>
    <t>10-P8S2C4FS</t>
  </si>
  <si>
    <t>10-P8S3C1AA</t>
  </si>
  <si>
    <t>10-P8S3C2AA</t>
  </si>
  <si>
    <t>10-P8S3C4AA</t>
  </si>
  <si>
    <t>10-P8S3C1FS</t>
  </si>
  <si>
    <t>10-P8S3C2FS</t>
  </si>
  <si>
    <t>10-P8S3C4FS</t>
  </si>
  <si>
    <t>10-P8S4C1AA</t>
  </si>
  <si>
    <t>10-P8S4C2AA</t>
  </si>
  <si>
    <t>10-P8S4C4AA</t>
  </si>
  <si>
    <t>10-P8S4C1FS</t>
  </si>
  <si>
    <t>10-P8S4C2FS</t>
  </si>
  <si>
    <t>10-P8S4C4FS</t>
  </si>
  <si>
    <t>10-P8S5C1AA</t>
  </si>
  <si>
    <t>10-P8S5C2AA</t>
  </si>
  <si>
    <t>10-P8S5C4AA</t>
  </si>
  <si>
    <t>10-P8S5C1FS</t>
  </si>
  <si>
    <t>10-P8S5C2FS</t>
  </si>
  <si>
    <t>10-P8S5C4FS</t>
  </si>
  <si>
    <t>10-P9S1C1AA</t>
  </si>
  <si>
    <t>10-P9S1C2AA</t>
  </si>
  <si>
    <t>10-P9S1C4AA</t>
  </si>
  <si>
    <t>10-P9S1C1FS</t>
  </si>
  <si>
    <t>10-P9S1C2FS</t>
  </si>
  <si>
    <t>10-P9S1C4FS</t>
  </si>
  <si>
    <t>10-P9S2C1AA</t>
  </si>
  <si>
    <t>10-P9S2C2AA</t>
  </si>
  <si>
    <t>10-P9S2C4AA</t>
  </si>
  <si>
    <t>10-P9S2C1FS</t>
  </si>
  <si>
    <t>10-P9S2C2FS</t>
  </si>
  <si>
    <t>10-P9S2C4FS</t>
  </si>
  <si>
    <t>10-P9S3C1AA</t>
  </si>
  <si>
    <t>10-P9S3C2AA</t>
  </si>
  <si>
    <t>10-P9S3C4AA</t>
  </si>
  <si>
    <t>10-P9S3C1FS</t>
  </si>
  <si>
    <t>10-P9S3C2FS</t>
  </si>
  <si>
    <t>10-P9S3C4FS</t>
  </si>
  <si>
    <t>10-P9S4C1AA</t>
  </si>
  <si>
    <t>10-P9S4C2AA</t>
  </si>
  <si>
    <t>10-P9S4C4AA</t>
  </si>
  <si>
    <t>10-P9S4C1FS</t>
  </si>
  <si>
    <t>10-P9S4C2FS</t>
  </si>
  <si>
    <t>10-P9S4C4FS</t>
  </si>
  <si>
    <t>10-P9S5C1AA</t>
  </si>
  <si>
    <t>10-P9S5C2AA</t>
  </si>
  <si>
    <t>10-P9S5C4AA</t>
  </si>
  <si>
    <t>10-P9S5C1FS</t>
  </si>
  <si>
    <t>10-P9S5C2FS</t>
  </si>
  <si>
    <t>10-P9S5C4FS</t>
  </si>
  <si>
    <t>10-P10S1C1AA</t>
  </si>
  <si>
    <t>10-P10S1C2AA</t>
  </si>
  <si>
    <t>10-P10S1C4AA</t>
  </si>
  <si>
    <t>10-P10S1C1FS</t>
  </si>
  <si>
    <t>10-P10S1C2FS</t>
  </si>
  <si>
    <t>10-P10S1C4FS</t>
  </si>
  <si>
    <t>10-P10S2C1AA</t>
  </si>
  <si>
    <t>10-P10S2C2AA</t>
  </si>
  <si>
    <t>10-P10S2C4AA</t>
  </si>
  <si>
    <t>10-P10S2C1FS</t>
  </si>
  <si>
    <t>10-P10S2C2FS</t>
  </si>
  <si>
    <t>10-P10S2C4FS</t>
  </si>
  <si>
    <t>10-P10S3C1AA</t>
  </si>
  <si>
    <t>10-P10S3C2AA</t>
  </si>
  <si>
    <t>10-P10S3C4AA</t>
  </si>
  <si>
    <t>10-P10S3C1FS</t>
  </si>
  <si>
    <t>10-P10S3C2FS</t>
  </si>
  <si>
    <t>10-P10S3C4FS</t>
  </si>
  <si>
    <t>10-P10S4C1AA</t>
  </si>
  <si>
    <t>10-P10S4C2AA</t>
  </si>
  <si>
    <t>10-P10S4C4AA</t>
  </si>
  <si>
    <t>10-P10S4C1FS</t>
  </si>
  <si>
    <t>10-P10S4C2FS</t>
  </si>
  <si>
    <t>10-P10S4C4FS</t>
  </si>
  <si>
    <t>10-P10S5C1AA</t>
  </si>
  <si>
    <t>10-P10S5C2AA</t>
  </si>
  <si>
    <t>10-P10S5C4AA</t>
  </si>
  <si>
    <t>10-P10S5C1FS</t>
  </si>
  <si>
    <t>10-P10S5C2FS</t>
  </si>
  <si>
    <t>10-P10S5C4FS</t>
  </si>
  <si>
    <t>11AA1</t>
  </si>
  <si>
    <t>11AA2</t>
  </si>
  <si>
    <t>11AA4</t>
  </si>
  <si>
    <t>11FS1</t>
  </si>
  <si>
    <t>11FS2</t>
  </si>
  <si>
    <t>11FS4</t>
  </si>
  <si>
    <t>12AA1</t>
  </si>
  <si>
    <t>12AA2</t>
  </si>
  <si>
    <t>12AA4</t>
  </si>
  <si>
    <t>12FS1</t>
  </si>
  <si>
    <t>12FS2</t>
  </si>
  <si>
    <t>12FS4</t>
  </si>
  <si>
    <t>15AA1</t>
  </si>
  <si>
    <t>15AA2</t>
  </si>
  <si>
    <t>15AA4</t>
  </si>
  <si>
    <t>15FS1</t>
  </si>
  <si>
    <t>15FS2</t>
  </si>
  <si>
    <t>15FS4</t>
  </si>
  <si>
    <t>31AA1</t>
  </si>
  <si>
    <t>31AA2</t>
  </si>
  <si>
    <t>31AA4</t>
  </si>
  <si>
    <t>31FS1</t>
  </si>
  <si>
    <t>31FS2</t>
  </si>
  <si>
    <t>31FS4</t>
  </si>
  <si>
    <t>34AA1</t>
  </si>
  <si>
    <t>34AA2</t>
  </si>
  <si>
    <t>34AA4</t>
  </si>
  <si>
    <t>34FS1</t>
  </si>
  <si>
    <t>34FS2</t>
  </si>
  <si>
    <t>34FS4</t>
  </si>
  <si>
    <t>35AA1</t>
  </si>
  <si>
    <t>35AA2</t>
  </si>
  <si>
    <t>35AA4</t>
  </si>
  <si>
    <t>35FS1</t>
  </si>
  <si>
    <t>35FS2</t>
  </si>
  <si>
    <t>35FS4</t>
  </si>
  <si>
    <t>63AA1</t>
  </si>
  <si>
    <t>63AA2</t>
  </si>
  <si>
    <t>63AA4</t>
  </si>
  <si>
    <t>63FS1</t>
  </si>
  <si>
    <t>63FS2</t>
  </si>
  <si>
    <t>63FS4</t>
  </si>
  <si>
    <t>64AA1</t>
  </si>
  <si>
    <t>64AA2</t>
  </si>
  <si>
    <t>64AA4</t>
  </si>
  <si>
    <t>64FS1</t>
  </si>
  <si>
    <t>64FS2</t>
  </si>
  <si>
    <t>64FS4</t>
  </si>
  <si>
    <t>13AA1</t>
  </si>
  <si>
    <t>13AA2</t>
  </si>
  <si>
    <t>13AA4</t>
  </si>
  <si>
    <t>13FS1</t>
  </si>
  <si>
    <t>13FS2</t>
  </si>
  <si>
    <t>13FS4</t>
  </si>
  <si>
    <t>14AA1</t>
  </si>
  <si>
    <t>14AA2</t>
  </si>
  <si>
    <t>14AA4</t>
  </si>
  <si>
    <t>14FS1</t>
  </si>
  <si>
    <t>14FS2</t>
  </si>
  <si>
    <t>14FS4</t>
  </si>
  <si>
    <t>32AA1</t>
  </si>
  <si>
    <t>32AA2</t>
  </si>
  <si>
    <t>32AA4</t>
  </si>
  <si>
    <t>32FS1</t>
  </si>
  <si>
    <t>32FS2</t>
  </si>
  <si>
    <t>32FS4</t>
  </si>
  <si>
    <t>33AA1</t>
  </si>
  <si>
    <t>33AA2</t>
  </si>
  <si>
    <t>33AA4</t>
  </si>
  <si>
    <t>33FS1</t>
  </si>
  <si>
    <t>33FS2</t>
  </si>
  <si>
    <t>33FS4</t>
  </si>
  <si>
    <t>61AA1</t>
  </si>
  <si>
    <t>61AA2</t>
  </si>
  <si>
    <t>61AA4</t>
  </si>
  <si>
    <t>61FS1</t>
  </si>
  <si>
    <t>61FS2</t>
  </si>
  <si>
    <t>61FS4</t>
  </si>
  <si>
    <t>62AA1</t>
  </si>
  <si>
    <t>62AA2</t>
  </si>
  <si>
    <t>62AA4</t>
  </si>
  <si>
    <t>62FS1</t>
  </si>
  <si>
    <t>62FS2</t>
  </si>
  <si>
    <t>62FS4</t>
  </si>
  <si>
    <t>65AA1</t>
  </si>
  <si>
    <t>65AA2</t>
  </si>
  <si>
    <t>65AA4</t>
  </si>
  <si>
    <t>65FS1</t>
  </si>
  <si>
    <t>65FS2</t>
  </si>
  <si>
    <t>65FS4</t>
  </si>
  <si>
    <t>Species</t>
  </si>
  <si>
    <t>1cm</t>
  </si>
  <si>
    <t>Class</t>
  </si>
  <si>
    <t>10 and 25 cm</t>
  </si>
  <si>
    <t>Diameter</t>
  </si>
  <si>
    <t>Columna1</t>
  </si>
  <si>
    <t>AA1</t>
  </si>
  <si>
    <t>AA2</t>
  </si>
  <si>
    <t>AA4</t>
  </si>
  <si>
    <t>FS1</t>
  </si>
  <si>
    <t>FS2</t>
  </si>
  <si>
    <t>FS4</t>
  </si>
  <si>
    <t>1 cm Mean</t>
  </si>
  <si>
    <t>1 cm dsv</t>
  </si>
  <si>
    <t>10 cm Mean</t>
  </si>
  <si>
    <t>10 cm dsv</t>
  </si>
  <si>
    <t>25 cm</t>
  </si>
  <si>
    <t>25 cm dsv</t>
  </si>
  <si>
    <t>Número muestra</t>
  </si>
  <si>
    <t>Peso (g)</t>
  </si>
  <si>
    <t>Dried sample W</t>
  </si>
  <si>
    <t>Non-soluble lignin</t>
  </si>
  <si>
    <t>Klasen Lignin (mg)</t>
  </si>
  <si>
    <t>% Non-soluble lignin</t>
  </si>
  <si>
    <t>Non-soluble lignin (mg)</t>
  </si>
  <si>
    <t>2768-1</t>
  </si>
  <si>
    <t>FALTA 1063!</t>
  </si>
  <si>
    <t>Peso g</t>
  </si>
  <si>
    <t>Después</t>
  </si>
  <si>
    <t>B1</t>
  </si>
  <si>
    <t>B2</t>
  </si>
  <si>
    <t>B3</t>
  </si>
  <si>
    <t>B4</t>
  </si>
  <si>
    <t>B5</t>
  </si>
  <si>
    <t>Diferencia</t>
  </si>
  <si>
    <t>Dried Sample Corrected with tube</t>
  </si>
  <si>
    <t>Muestra (2ª pesaje)</t>
  </si>
  <si>
    <t>Non soluble Lignin/100mg sample</t>
  </si>
  <si>
    <t xml:space="preserve">Soluble Lignin /100 mg </t>
  </si>
  <si>
    <t>mg Soluble lignin/100mg DW</t>
  </si>
  <si>
    <t>Total Klassen lignin</t>
  </si>
  <si>
    <t>SampleCheck</t>
  </si>
  <si>
    <t>Etiquetas de fila</t>
  </si>
  <si>
    <t>Total general</t>
  </si>
  <si>
    <t>AA</t>
  </si>
  <si>
    <t>FS</t>
  </si>
  <si>
    <t>1</t>
  </si>
  <si>
    <t>2</t>
  </si>
  <si>
    <t>4</t>
  </si>
  <si>
    <t>Promedio de Total Klassen lignin</t>
  </si>
  <si>
    <t>Desvest de Total Klassen lignin</t>
  </si>
  <si>
    <t>Diam</t>
  </si>
  <si>
    <t xml:space="preserve">SEARCH </t>
  </si>
  <si>
    <t>1(1)</t>
  </si>
  <si>
    <t>2(3)</t>
  </si>
  <si>
    <t>4(1)</t>
  </si>
  <si>
    <t>4(0)</t>
  </si>
  <si>
    <t>1(4)</t>
  </si>
  <si>
    <t>2(2)</t>
  </si>
  <si>
    <t>4(2)</t>
  </si>
  <si>
    <t>2(5)</t>
  </si>
  <si>
    <t>1(3)</t>
  </si>
  <si>
    <t>2(1)</t>
  </si>
  <si>
    <t>4(5)</t>
  </si>
  <si>
    <t>Abies</t>
  </si>
  <si>
    <t>Fagus</t>
  </si>
  <si>
    <t>VRIJA Code</t>
  </si>
  <si>
    <t>DeWood Code</t>
  </si>
  <si>
    <t>Birch Leaf</t>
  </si>
  <si>
    <t>pH</t>
  </si>
  <si>
    <t>Birch</t>
  </si>
  <si>
    <t>25</t>
  </si>
  <si>
    <t>10</t>
  </si>
  <si>
    <t>(en blanco)</t>
  </si>
  <si>
    <t>Promedio de pH</t>
  </si>
  <si>
    <t>Desvest de pH</t>
  </si>
  <si>
    <t>Avg</t>
  </si>
  <si>
    <t>Desv</t>
  </si>
  <si>
    <t>STD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</si>
</sst>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b/>
      <sz val="8"/>
      <color rgb="FFBDC1C6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0" tint="-0.249977111117893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2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4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1"/>
    <xf numFmtId="0" fontId="3" fillId="2" borderId="1" xfId="1" applyFill="1" applyBorder="1" applyAlignment="1">
      <alignment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5" fillId="7" borderId="3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1" borderId="2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11" borderId="3" xfId="1" applyFont="1" applyFill="1" applyBorder="1" applyAlignment="1">
      <alignment horizontal="center" vertical="center" wrapText="1"/>
    </xf>
    <xf numFmtId="0" fontId="5" fillId="12" borderId="2" xfId="1" applyFont="1" applyFill="1" applyBorder="1" applyAlignment="1">
      <alignment horizontal="center" vertical="center" wrapText="1"/>
    </xf>
    <xf numFmtId="0" fontId="5" fillId="12" borderId="3" xfId="1" applyFont="1" applyFill="1" applyBorder="1" applyAlignment="1">
      <alignment horizontal="center" vertical="center" wrapText="1"/>
    </xf>
    <xf numFmtId="0" fontId="5" fillId="13" borderId="2" xfId="1" applyFont="1" applyFill="1" applyBorder="1" applyAlignment="1">
      <alignment horizontal="center" vertical="center" wrapText="1"/>
    </xf>
    <xf numFmtId="0" fontId="5" fillId="13" borderId="3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8" fillId="0" borderId="0" xfId="0" applyFont="1"/>
    <xf numFmtId="0" fontId="1" fillId="0" borderId="12" xfId="0" applyFont="1" applyBorder="1"/>
    <xf numFmtId="0" fontId="1" fillId="0" borderId="13" xfId="0" applyFont="1" applyBorder="1"/>
    <xf numFmtId="0" fontId="0" fillId="0" borderId="14" xfId="0" applyBorder="1"/>
    <xf numFmtId="0" fontId="1" fillId="0" borderId="15" xfId="0" applyFont="1" applyBorder="1"/>
    <xf numFmtId="0" fontId="9" fillId="0" borderId="14" xfId="0" applyFont="1" applyBorder="1"/>
    <xf numFmtId="0" fontId="10" fillId="0" borderId="15" xfId="0" applyFont="1" applyBorder="1"/>
    <xf numFmtId="0" fontId="2" fillId="16" borderId="14" xfId="0" applyFont="1" applyFill="1" applyBorder="1"/>
    <xf numFmtId="0" fontId="11" fillId="16" borderId="15" xfId="0" applyFont="1" applyFill="1" applyBorder="1"/>
    <xf numFmtId="0" fontId="11" fillId="16" borderId="14" xfId="0" applyFont="1" applyFill="1" applyBorder="1"/>
    <xf numFmtId="0" fontId="2" fillId="0" borderId="14" xfId="0" applyFont="1" applyBorder="1"/>
    <xf numFmtId="0" fontId="11" fillId="0" borderId="15" xfId="0" applyFont="1" applyBorder="1"/>
    <xf numFmtId="0" fontId="11" fillId="0" borderId="14" xfId="0" applyFont="1" applyBorder="1"/>
    <xf numFmtId="0" fontId="11" fillId="0" borderId="14" xfId="0" quotePrefix="1" applyFont="1" applyBorder="1"/>
    <xf numFmtId="0" fontId="0" fillId="0" borderId="15" xfId="0" applyBorder="1"/>
    <xf numFmtId="0" fontId="2" fillId="0" borderId="15" xfId="0" applyFont="1" applyBorder="1"/>
    <xf numFmtId="0" fontId="2" fillId="0" borderId="0" xfId="0" applyFont="1"/>
    <xf numFmtId="0" fontId="11" fillId="0" borderId="0" xfId="0" applyFont="1"/>
    <xf numFmtId="0" fontId="12" fillId="17" borderId="16" xfId="0" applyFont="1" applyFill="1" applyBorder="1"/>
    <xf numFmtId="0" fontId="12" fillId="17" borderId="0" xfId="0" applyFont="1" applyFill="1" applyBorder="1"/>
    <xf numFmtId="0" fontId="12" fillId="17" borderId="17" xfId="0" applyFont="1" applyFill="1" applyBorder="1"/>
    <xf numFmtId="0" fontId="13" fillId="0" borderId="18" xfId="0" applyFont="1" applyBorder="1" applyAlignment="1">
      <alignment wrapText="1"/>
    </xf>
    <xf numFmtId="0" fontId="13" fillId="0" borderId="18" xfId="0" applyFont="1" applyBorder="1" applyAlignment="1">
      <alignment horizontal="right" wrapText="1"/>
    </xf>
    <xf numFmtId="0" fontId="0" fillId="18" borderId="0" xfId="0" applyFill="1"/>
    <xf numFmtId="164" fontId="1" fillId="0" borderId="0" xfId="0" applyNumberFormat="1" applyFont="1"/>
    <xf numFmtId="0" fontId="14" fillId="0" borderId="0" xfId="0" applyFont="1"/>
    <xf numFmtId="164" fontId="14" fillId="0" borderId="0" xfId="0" applyNumberFormat="1" applyFont="1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0" fillId="0" borderId="0" xfId="0" applyFont="1"/>
    <xf numFmtId="0" fontId="2" fillId="20" borderId="0" xfId="0" applyFont="1" applyFill="1"/>
    <xf numFmtId="0" fontId="0" fillId="20" borderId="0" xfId="0" applyFill="1"/>
    <xf numFmtId="0" fontId="1" fillId="19" borderId="0" xfId="0" applyFont="1" applyFill="1"/>
    <xf numFmtId="0" fontId="0" fillId="0" borderId="7" xfId="0" applyBorder="1"/>
    <xf numFmtId="0" fontId="1" fillId="0" borderId="9" xfId="0" applyFont="1" applyBorder="1"/>
    <xf numFmtId="0" fontId="0" fillId="0" borderId="9" xfId="0" applyBorder="1"/>
    <xf numFmtId="0" fontId="0" fillId="0" borderId="0" xfId="0" applyFill="1" applyBorder="1"/>
    <xf numFmtId="0" fontId="1" fillId="0" borderId="0" xfId="0" applyFont="1" applyBorder="1"/>
    <xf numFmtId="0" fontId="0" fillId="0" borderId="0" xfId="0" applyAlignment="1">
      <alignment horizontal="left" indent="2"/>
    </xf>
    <xf numFmtId="0" fontId="0" fillId="0" borderId="7" xfId="0" applyNumberFormat="1" applyBorder="1"/>
    <xf numFmtId="0" fontId="0" fillId="0" borderId="0" xfId="0" applyNumberFormat="1" applyBorder="1"/>
    <xf numFmtId="0" fontId="0" fillId="0" borderId="8" xfId="0" applyNumberFormat="1" applyBorder="1"/>
    <xf numFmtId="0" fontId="0" fillId="0" borderId="4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Normal" xfId="0" builtinId="0"/>
    <cellStyle name="Normal 2" xfId="1" xr:uid="{113EEA34-F8DE-4A1B-AB37-D373EBE32A39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</a:t>
            </a:r>
            <a:r>
              <a:rPr lang="es-ES" baseline="0"/>
              <a:t> cm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8693527670743285"/>
          <c:y val="0.2157649796393252"/>
          <c:w val="0.77832629077393689"/>
          <c:h val="0.52592607861190122"/>
        </c:manualLayout>
      </c:layout>
      <c:barChart>
        <c:barDir val="col"/>
        <c:grouping val="clustered"/>
        <c:varyColors val="0"/>
        <c:ser>
          <c:idx val="0"/>
          <c:order val="0"/>
          <c:tx>
            <c:v>Abies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Hoja3!$F$6:$H$6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Hoja3!$F$7:$H$7</c:f>
              <c:numCache>
                <c:formatCode>General</c:formatCode>
                <c:ptCount val="3"/>
                <c:pt idx="0">
                  <c:v>5.1760000000000002</c:v>
                </c:pt>
                <c:pt idx="1">
                  <c:v>5.4919999999999991</c:v>
                </c:pt>
                <c:pt idx="2">
                  <c:v>4.8420000000000005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7-42E3-8B3D-A9EE4AF82075}"/>
            </c:ext>
          </c:extLst>
        </c:ser>
        <c:ser>
          <c:idx val="1"/>
          <c:order val="1"/>
          <c:tx>
            <c:v>Fagus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Hoja3!$F$6:$H$6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Hoja3!$F$13:$H$13</c:f>
              <c:numCache>
                <c:formatCode>General</c:formatCode>
                <c:ptCount val="3"/>
                <c:pt idx="0">
                  <c:v>5.2939999999999996</c:v>
                </c:pt>
                <c:pt idx="1">
                  <c:v>5.7619999999999996</c:v>
                </c:pt>
                <c:pt idx="2">
                  <c:v>5.2700000000000005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7-42E3-8B3D-A9EE4AF82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503120"/>
        <c:axId val="1151341376"/>
      </c:barChart>
      <c:catAx>
        <c:axId val="175750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1341376"/>
        <c:crosses val="autoZero"/>
        <c:auto val="1"/>
        <c:lblAlgn val="ctr"/>
        <c:lblOffset val="100"/>
        <c:noMultiLvlLbl val="0"/>
      </c:catAx>
      <c:valAx>
        <c:axId val="1151341376"/>
        <c:scaling>
          <c:orientation val="minMax"/>
          <c:max val="6.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7503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53737520398606"/>
          <c:y val="2.3966506804450474E-2"/>
          <c:w val="0.1450615215651235"/>
          <c:h val="0.19633645270780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10</a:t>
            </a:r>
            <a:r>
              <a:rPr lang="es-ES" baseline="0"/>
              <a:t> cm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Hoja3!$F$6:$H$6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Hoja3!$I$7:$K$7</c:f>
              <c:numCache>
                <c:formatCode>General</c:formatCode>
                <c:ptCount val="3"/>
                <c:pt idx="0">
                  <c:v>5.6579999999999995</c:v>
                </c:pt>
                <c:pt idx="1">
                  <c:v>5.9602000000000004</c:v>
                </c:pt>
                <c:pt idx="2">
                  <c:v>4.3620000000000001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3-4116-9129-A22A2CCF728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Hoja3!$F$6:$H$6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Hoja3!$I$13:$K$13</c:f>
              <c:numCache>
                <c:formatCode>General</c:formatCode>
                <c:ptCount val="3"/>
                <c:pt idx="0">
                  <c:v>5.6859999999999999</c:v>
                </c:pt>
                <c:pt idx="1">
                  <c:v>4.9740000000000002</c:v>
                </c:pt>
                <c:pt idx="2">
                  <c:v>4.7179999999999991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3-4116-9129-A22A2CCF7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503120"/>
        <c:axId val="1151341376"/>
      </c:barChart>
      <c:catAx>
        <c:axId val="175750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1341376"/>
        <c:crosses val="autoZero"/>
        <c:auto val="1"/>
        <c:lblAlgn val="ctr"/>
        <c:lblOffset val="100"/>
        <c:noMultiLvlLbl val="0"/>
      </c:catAx>
      <c:valAx>
        <c:axId val="115134137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750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10</a:t>
            </a:r>
            <a:r>
              <a:rPr lang="es-ES" baseline="0"/>
              <a:t> cm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Hoja3!$F$6:$H$6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Hoja3!$L$7:$N$7</c:f>
              <c:numCache>
                <c:formatCode>General</c:formatCode>
                <c:ptCount val="3"/>
                <c:pt idx="0">
                  <c:v>5.585</c:v>
                </c:pt>
                <c:pt idx="1">
                  <c:v>5.3259999999999996</c:v>
                </c:pt>
                <c:pt idx="2">
                  <c:v>3.8120000000000003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E-4573-9E7A-F7704BDA8EA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Hoja3!$F$6:$H$6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Hoja3!$L$13:$N$13</c:f>
              <c:numCache>
                <c:formatCode>General</c:formatCode>
                <c:ptCount val="3"/>
                <c:pt idx="0">
                  <c:v>5.7283333333333326</c:v>
                </c:pt>
                <c:pt idx="1">
                  <c:v>5.7</c:v>
                </c:pt>
                <c:pt idx="2">
                  <c:v>4.8220000000000001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E-4573-9E7A-F7704BDA8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503120"/>
        <c:axId val="1151341376"/>
      </c:barChart>
      <c:catAx>
        <c:axId val="175750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1341376"/>
        <c:crosses val="autoZero"/>
        <c:auto val="1"/>
        <c:lblAlgn val="ctr"/>
        <c:lblOffset val="100"/>
        <c:noMultiLvlLbl val="0"/>
      </c:catAx>
      <c:valAx>
        <c:axId val="1151341376"/>
        <c:scaling>
          <c:orientation val="minMax"/>
          <c:max val="6.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57503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Soluble lignin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9355132691746868E-2"/>
          <c:y val="0.23261210410787081"/>
          <c:w val="0.89581670129775459"/>
          <c:h val="0.62189860322022306"/>
        </c:manualLayout>
      </c:layout>
      <c:barChart>
        <c:barDir val="col"/>
        <c:grouping val="clustered"/>
        <c:varyColors val="0"/>
        <c:ser>
          <c:idx val="0"/>
          <c:order val="0"/>
          <c:tx>
            <c:v>1 cm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'Lignin measurement Plates'!$U$126:$U$131</c:f>
                <c:numCache>
                  <c:formatCode>General</c:formatCode>
                  <c:ptCount val="6"/>
                  <c:pt idx="0">
                    <c:v>0.19737788751591573</c:v>
                  </c:pt>
                  <c:pt idx="1">
                    <c:v>4.9553979959093643E-2</c:v>
                  </c:pt>
                  <c:pt idx="2">
                    <c:v>0.14452804953769549</c:v>
                  </c:pt>
                  <c:pt idx="3">
                    <c:v>0</c:v>
                  </c:pt>
                  <c:pt idx="4">
                    <c:v>0.27129550035904793</c:v>
                  </c:pt>
                  <c:pt idx="5">
                    <c:v>0.35053363588260483</c:v>
                  </c:pt>
                </c:numCache>
              </c:numRef>
            </c:plus>
            <c:minus>
              <c:numRef>
                <c:f>'Lignin measurement Plates'!$U$126:$U$131</c:f>
                <c:numCache>
                  <c:formatCode>General</c:formatCode>
                  <c:ptCount val="6"/>
                  <c:pt idx="0">
                    <c:v>0.19737788751591573</c:v>
                  </c:pt>
                  <c:pt idx="1">
                    <c:v>4.9553979959093643E-2</c:v>
                  </c:pt>
                  <c:pt idx="2">
                    <c:v>0.14452804953769549</c:v>
                  </c:pt>
                  <c:pt idx="3">
                    <c:v>0</c:v>
                  </c:pt>
                  <c:pt idx="4">
                    <c:v>0.27129550035904793</c:v>
                  </c:pt>
                  <c:pt idx="5">
                    <c:v>0.35053363588260483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'Lignin measurement Plates'!$P$126:$P$131</c:f>
              <c:strCache>
                <c:ptCount val="6"/>
                <c:pt idx="0">
                  <c:v>AA1</c:v>
                </c:pt>
                <c:pt idx="1">
                  <c:v>AA2</c:v>
                </c:pt>
                <c:pt idx="2">
                  <c:v>AA4</c:v>
                </c:pt>
                <c:pt idx="3">
                  <c:v>FS1</c:v>
                </c:pt>
                <c:pt idx="4">
                  <c:v>FS2</c:v>
                </c:pt>
                <c:pt idx="5">
                  <c:v>FS4</c:v>
                </c:pt>
              </c:strCache>
            </c:strRef>
          </c:cat>
          <c:val>
            <c:numRef>
              <c:f>'Lignin measurement Plates'!$Q$126:$Q$131</c:f>
              <c:numCache>
                <c:formatCode>General</c:formatCode>
                <c:ptCount val="6"/>
                <c:pt idx="0">
                  <c:v>2.4427441339866891</c:v>
                </c:pt>
                <c:pt idx="1">
                  <c:v>1.5979807291324559</c:v>
                </c:pt>
                <c:pt idx="2">
                  <c:v>3.008298614617833</c:v>
                </c:pt>
                <c:pt idx="3">
                  <c:v>8.7416391596939693</c:v>
                </c:pt>
                <c:pt idx="4">
                  <c:v>9.2570042718853696</c:v>
                </c:pt>
                <c:pt idx="5">
                  <c:v>9.161428155867311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6-4EDE-902C-5FA0AB5722C3}"/>
            </c:ext>
          </c:extLst>
        </c:ser>
        <c:ser>
          <c:idx val="1"/>
          <c:order val="1"/>
          <c:tx>
            <c:v>10 cm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'Lignin measurement Plates'!$V$126:$V$131</c:f>
                <c:numCache>
                  <c:formatCode>General</c:formatCode>
                  <c:ptCount val="6"/>
                  <c:pt idx="0">
                    <c:v>0.42707111234543499</c:v>
                  </c:pt>
                  <c:pt idx="1">
                    <c:v>5.4835618958168408E-2</c:v>
                  </c:pt>
                  <c:pt idx="2">
                    <c:v>0</c:v>
                  </c:pt>
                  <c:pt idx="3">
                    <c:v>0.15827706334146621</c:v>
                  </c:pt>
                  <c:pt idx="5">
                    <c:v>0.43417141477098287</c:v>
                  </c:pt>
                </c:numCache>
              </c:numRef>
            </c:plus>
            <c:minus>
              <c:numRef>
                <c:f>'Lignin measurement Plates'!$V$126:$V$131</c:f>
                <c:numCache>
                  <c:formatCode>General</c:formatCode>
                  <c:ptCount val="6"/>
                  <c:pt idx="0">
                    <c:v>0.42707111234543499</c:v>
                  </c:pt>
                  <c:pt idx="1">
                    <c:v>5.4835618958168408E-2</c:v>
                  </c:pt>
                  <c:pt idx="2">
                    <c:v>0</c:v>
                  </c:pt>
                  <c:pt idx="3">
                    <c:v>0.15827706334146621</c:v>
                  </c:pt>
                  <c:pt idx="5">
                    <c:v>0.43417141477098287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'Lignin measurement Plates'!$R$126:$R$131</c:f>
              <c:numCache>
                <c:formatCode>General</c:formatCode>
                <c:ptCount val="6"/>
                <c:pt idx="0">
                  <c:v>2.1358148112781858</c:v>
                </c:pt>
                <c:pt idx="1">
                  <c:v>1.7146357912742043</c:v>
                </c:pt>
                <c:pt idx="2">
                  <c:v>3.3303182852524262</c:v>
                </c:pt>
                <c:pt idx="3">
                  <c:v>8.8885899923056595</c:v>
                </c:pt>
                <c:pt idx="5">
                  <c:v>9.9131722956067421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2-4DBD-A623-7B88A7B34A93}"/>
            </c:ext>
          </c:extLst>
        </c:ser>
        <c:ser>
          <c:idx val="2"/>
          <c:order val="2"/>
          <c:tx>
            <c:v>25 cm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'Lignin measurement Plates'!$W$126:$W$131</c:f>
                <c:numCache>
                  <c:formatCode>General</c:formatCode>
                  <c:ptCount val="6"/>
                  <c:pt idx="0">
                    <c:v>0.18868031261517282</c:v>
                  </c:pt>
                  <c:pt idx="1">
                    <c:v>0.13776313162887793</c:v>
                  </c:pt>
                  <c:pt idx="2">
                    <c:v>0.77556466051005546</c:v>
                  </c:pt>
                  <c:pt idx="3">
                    <c:v>1.0054037276512382</c:v>
                  </c:pt>
                  <c:pt idx="4">
                    <c:v>0.26672310734164717</c:v>
                  </c:pt>
                </c:numCache>
              </c:numRef>
            </c:plus>
            <c:minus>
              <c:numRef>
                <c:f>'Lignin measurement Plates'!$W$126:$W$131</c:f>
                <c:numCache>
                  <c:formatCode>General</c:formatCode>
                  <c:ptCount val="6"/>
                  <c:pt idx="0">
                    <c:v>0.18868031261517282</c:v>
                  </c:pt>
                  <c:pt idx="1">
                    <c:v>0.13776313162887793</c:v>
                  </c:pt>
                  <c:pt idx="2">
                    <c:v>0.77556466051005546</c:v>
                  </c:pt>
                  <c:pt idx="3">
                    <c:v>1.0054037276512382</c:v>
                  </c:pt>
                  <c:pt idx="4">
                    <c:v>0.26672310734164717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'Lignin measurement Plates'!$S$126:$S$131</c:f>
              <c:numCache>
                <c:formatCode>General</c:formatCode>
                <c:ptCount val="6"/>
                <c:pt idx="0">
                  <c:v>1.8130104063773314</c:v>
                </c:pt>
                <c:pt idx="1">
                  <c:v>1.7898572259838081</c:v>
                </c:pt>
                <c:pt idx="2">
                  <c:v>4.5659380366054494</c:v>
                </c:pt>
                <c:pt idx="3">
                  <c:v>9.1012076191555327</c:v>
                </c:pt>
                <c:pt idx="4">
                  <c:v>9.4724385081648972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2-4DBD-A623-7B88A7B34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8724976"/>
        <c:axId val="1058721648"/>
      </c:barChart>
      <c:catAx>
        <c:axId val="10587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8721648"/>
        <c:crosses val="autoZero"/>
        <c:auto val="1"/>
        <c:lblAlgn val="ctr"/>
        <c:lblOffset val="100"/>
        <c:noMultiLvlLbl val="0"/>
      </c:catAx>
      <c:valAx>
        <c:axId val="105872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87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092511522959135"/>
          <c:y val="3.9404927149808582E-2"/>
          <c:w val="9.3160472875243469E-2"/>
          <c:h val="0.17302075198426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16</xdr:row>
      <xdr:rowOff>3810</xdr:rowOff>
    </xdr:from>
    <xdr:to>
      <xdr:col>8</xdr:col>
      <xdr:colOff>68580</xdr:colOff>
      <xdr:row>27</xdr:row>
      <xdr:rowOff>175260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59EA95-F61D-4CC2-A464-E19FFC2BE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</xdr:colOff>
      <xdr:row>16</xdr:row>
      <xdr:rowOff>15240</xdr:rowOff>
    </xdr:from>
    <xdr:to>
      <xdr:col>11</xdr:col>
      <xdr:colOff>502920</xdr:colOff>
      <xdr:row>28</xdr:row>
      <xdr:rowOff>3810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47C457-EA7E-4FBB-91EE-408BC1501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510540</xdr:colOff>
      <xdr:row>16</xdr:row>
      <xdr:rowOff>15240</xdr:rowOff>
    </xdr:from>
    <xdr:to>
      <xdr:col>15</xdr:col>
      <xdr:colOff>563880</xdr:colOff>
      <xdr:row>28</xdr:row>
      <xdr:rowOff>3810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1ACE8D-2ED2-4365-A6B0-3C3FDA42D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753818</xdr:colOff>
      <xdr:row>132</xdr:row>
      <xdr:rowOff>172459</xdr:rowOff>
    </xdr:from>
    <xdr:to>
      <xdr:col>21</xdr:col>
      <xdr:colOff>605118</xdr:colOff>
      <xdr:row>152</xdr:row>
      <xdr:rowOff>78441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F92D62-8D11-48C8-9BC9-A2026573A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" refreshedDate="44664.564991087966" createdVersion="7" refreshedVersion="7" minRefreshableVersion="3" recordCount="50" xr:uid="{FCABBF76-D1CF-47BA-B699-4FB76B3F1EA5}">
  <cacheSource type="worksheet">
    <worksheetSource ref="A1:Q51" sheet="LIGNIN BILBAO"/>
  </cacheSource>
  <cacheFields count="17">
    <cacheField name="Sample" numFmtId="0">
      <sharedItems containsSemiMixedTypes="0" containsString="0" containsNumber="1" containsInteger="1" minValue="3" maxValue="1089"/>
    </cacheField>
    <cacheField name="T (w/o cap)" numFmtId="0">
      <sharedItems containsSemiMixedTypes="0" containsString="0" containsNumber="1" minValue="11.401999999999999" maxValue="11.5657"/>
    </cacheField>
    <cacheField name="DW" numFmtId="0">
      <sharedItems containsSemiMixedTypes="0" containsString="0" containsNumber="1" minValue="103.1" maxValue="207.4"/>
    </cacheField>
    <cacheField name="SampleCheck" numFmtId="0">
      <sharedItems containsSemiMixedTypes="0" containsString="0" containsNumber="1" containsInteger="1" minValue="3" maxValue="1089"/>
    </cacheField>
    <cacheField name="Dried sample W" numFmtId="0">
      <sharedItems containsSemiMixedTypes="0" containsString="0" containsNumber="1" minValue="11.4505" maxValue="11.7691"/>
    </cacheField>
    <cacheField name="Non-soluble lignin (mg)" numFmtId="164">
      <sharedItems containsSemiMixedTypes="0" containsString="0" containsNumber="1" minValue="38.499999999999091" maxValue="249.59999999999917"/>
    </cacheField>
    <cacheField name="2" numFmtId="164">
      <sharedItems containsSemiMixedTypes="0" containsString="0" containsNumber="1" minValue="-123.49999999999946" maxValue="80.900000000000972"/>
    </cacheField>
    <cacheField name="Dried Sample Corrected with tube" numFmtId="0">
      <sharedItems containsSemiMixedTypes="0" containsString="0" containsNumber="1" minValue="11.444420000000001" maxValue="11.763020000000001"/>
    </cacheField>
    <cacheField name="Non-soluble lignin (mg)2" numFmtId="164">
      <sharedItems containsSemiMixedTypes="0" containsString="0" containsNumber="1" minValue="32.420000000000115" maxValue="243.52000000000018"/>
    </cacheField>
    <cacheField name="3" numFmtId="164">
      <sharedItems containsSemiMixedTypes="0" containsString="0" containsNumber="1" minValue="-117.4200000000005" maxValue="86.979999999999947"/>
    </cacheField>
    <cacheField name="Non soluble Lignin/100mg sample" numFmtId="164">
      <sharedItems containsSemiMixedTypes="0" containsString="0" containsNumber="1" minValue="-113.88942774005868" maxValue="71.385701676963706"/>
    </cacheField>
    <cacheField name="Soluble Lignin /100 mg " numFmtId="164">
      <sharedItems containsSemiMixedTypes="0" containsString="0" containsNumber="1" minValue="1.3297656515588502E-2" maxValue="0.10653029208125653"/>
    </cacheField>
    <cacheField name="Total Klassen lignin" numFmtId="164">
      <sharedItems containsString="0" containsBlank="1" containsNumber="1" minValue="0.47984145201763789" maxValue="71.475628938498261"/>
    </cacheField>
    <cacheField name="Code" numFmtId="164">
      <sharedItems/>
    </cacheField>
    <cacheField name="Species" numFmtId="164">
      <sharedItems count="2">
        <s v="FS"/>
        <s v="AA"/>
      </sharedItems>
    </cacheField>
    <cacheField name="Diameter" numFmtId="0">
      <sharedItems containsMixedTypes="1" containsNumber="1" containsInteger="1" minValue="1" maxValue="1"/>
    </cacheField>
    <cacheField name="Class" numFmtId="164">
      <sharedItems count="3">
        <s v="4"/>
        <s v="1"/>
        <s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" refreshedDate="44664.611276620373" createdVersion="7" refreshedVersion="7" minRefreshableVersion="3" recordCount="91" xr:uid="{E147FA67-8780-455F-915F-1A922CCEBF9E}">
  <cacheSource type="worksheet">
    <worksheetSource ref="A20:G111" sheet="pH measurement"/>
  </cacheSource>
  <cacheFields count="7">
    <cacheField name="VRIJA Code" numFmtId="0">
      <sharedItems containsSemiMixedTypes="0" containsString="0" containsNumber="1" containsInteger="1" minValue="1" maxValue="91"/>
    </cacheField>
    <cacheField name="DeWood Code" numFmtId="0">
      <sharedItems containsMixedTypes="1" containsNumber="1" containsInteger="1" minValue="2" maxValue="1088"/>
    </cacheField>
    <cacheField name="Code" numFmtId="0">
      <sharedItems containsBlank="1"/>
    </cacheField>
    <cacheField name="Species" numFmtId="0">
      <sharedItems count="3">
        <s v="Birch"/>
        <s v="AA"/>
        <s v="FS"/>
      </sharedItems>
    </cacheField>
    <cacheField name="Diameter" numFmtId="0">
      <sharedItems containsBlank="1" containsMixedTypes="1" containsNumber="1" containsInteger="1" minValue="1" maxValue="1" count="4">
        <m/>
        <n v="1"/>
        <s v="25"/>
        <s v="10"/>
      </sharedItems>
    </cacheField>
    <cacheField name="Class" numFmtId="0">
      <sharedItems containsBlank="1" count="4">
        <m/>
        <s v="1"/>
        <s v="4"/>
        <s v="2"/>
      </sharedItems>
    </cacheField>
    <cacheField name="pH" numFmtId="0">
      <sharedItems containsSemiMixedTypes="0" containsString="0" containsNumber="1" minValue="3.56" maxValue="6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20"/>
    <n v="11.4819"/>
    <n v="116.7"/>
    <n v="120"/>
    <n v="11.540900000000001"/>
    <n v="59.000000000001052"/>
    <n v="57.699999999998951"/>
    <n v="11.534820000000002"/>
    <n v="52.920000000002076"/>
    <n v="63.779999999997926"/>
    <n v="54.652956298198738"/>
    <n v="0.10204855878285178"/>
    <n v="54.755004856981593"/>
    <s v="10-P1S4C4FS"/>
    <x v="0"/>
    <s v="10"/>
    <x v="0"/>
  </r>
  <r>
    <n v="157"/>
    <n v="11.5596"/>
    <n v="124.7"/>
    <n v="157"/>
    <n v="11.6249"/>
    <n v="65.30000000000058"/>
    <n v="59.399999999999423"/>
    <n v="11.618820000000001"/>
    <n v="59.220000000001605"/>
    <n v="65.479999999998398"/>
    <n v="52.51002405773729"/>
    <n v="0.10653029208125653"/>
    <n v="52.61655434981855"/>
    <s v="10-P3S2C4FS"/>
    <x v="0"/>
    <s v="10"/>
    <x v="0"/>
  </r>
  <r>
    <n v="409"/>
    <n v="11.4826"/>
    <n v="118.7"/>
    <n v="409"/>
    <n v="11.563499999999999"/>
    <n v="80.89999999999975"/>
    <n v="37.800000000000253"/>
    <n v="11.55742"/>
    <n v="74.820000000000775"/>
    <n v="43.879999999999228"/>
    <n v="36.967144060656466"/>
    <n v="9.3394120827442667E-2"/>
    <n v="37.060538181483906"/>
    <s v="10-P6S5C1FS -b"/>
    <x v="0"/>
    <s v="10"/>
    <x v="1"/>
  </r>
  <r>
    <n v="84"/>
    <n v="11.4655"/>
    <n v="131.69999999999999"/>
    <n v="84"/>
    <n v="11.526999999999999"/>
    <n v="61.499999999998778"/>
    <n v="70.200000000001211"/>
    <n v="11.52092"/>
    <n v="55.419999999999803"/>
    <n v="76.280000000000186"/>
    <n v="57.919514047076838"/>
    <n v="8.8816318004093939E-2"/>
    <n v="58.00833036508093"/>
    <s v="10-P1S3C4FS"/>
    <x v="0"/>
    <s v="10"/>
    <x v="0"/>
  </r>
  <r>
    <n v="118"/>
    <n v="11.439500000000001"/>
    <n v="113.3"/>
    <n v="118"/>
    <n v="11.478"/>
    <n v="38.499999999999091"/>
    <n v="74.800000000000907"/>
    <n v="11.471920000000001"/>
    <n v="32.420000000000115"/>
    <n v="80.879999999999882"/>
    <n v="71.385701676963706"/>
    <n v="8.9927261534550648E-2"/>
    <n v="71.475628938498261"/>
    <s v="10-P1S4C1FS"/>
    <x v="0"/>
    <s v="10"/>
    <x v="1"/>
  </r>
  <r>
    <n v="373"/>
    <n v="11.5601"/>
    <n v="138.69999999999999"/>
    <n v="373"/>
    <n v="11.6334"/>
    <n v="73.299999999999699"/>
    <n v="65.40000000000029"/>
    <n v="11.627320000000001"/>
    <n v="67.220000000000724"/>
    <n v="71.479999999999265"/>
    <n v="51.535688536408998"/>
    <n v="8.4831424471833006E-2"/>
    <n v="51.620519960880827"/>
    <s v="10-P6S3C1FS -b"/>
    <x v="0"/>
    <s v="10"/>
    <x v="1"/>
  </r>
  <r>
    <n v="355"/>
    <n v="11.4847"/>
    <n v="207.4"/>
    <n v="355"/>
    <n v="11.614800000000001"/>
    <n v="130.10000000000053"/>
    <n v="77.299999999999471"/>
    <n v="11.608720000000002"/>
    <n v="124.02000000000157"/>
    <n v="83.379999999998432"/>
    <n v="40.2025072324004"/>
    <n v="8.739079285840004E-2"/>
    <n v="40.2898980252588"/>
    <s v="10-P6S2C1FS -b"/>
    <x v="0"/>
    <s v="10"/>
    <x v="1"/>
  </r>
  <r>
    <n v="368"/>
    <n v="11.4946"/>
    <n v="109.6"/>
    <n v="368"/>
    <n v="11.556100000000001"/>
    <n v="61.500000000000554"/>
    <n v="48.09999999999944"/>
    <n v="11.550020000000002"/>
    <n v="55.420000000001579"/>
    <n v="54.179999999998415"/>
    <n v="49.434306569341622"/>
    <n v="1.6370865152424394E-2"/>
    <n v="49.450677434494047"/>
    <s v="10-P6S3C2AA"/>
    <x v="1"/>
    <s v="10"/>
    <x v="2"/>
  </r>
  <r>
    <n v="142"/>
    <n v="11.449299999999999"/>
    <n v="104.2"/>
    <n v="142"/>
    <n v="11.5116"/>
    <n v="62.300000000000466"/>
    <n v="41.899999999999537"/>
    <n v="11.505520000000001"/>
    <n v="56.220000000001491"/>
    <n v="47.979999999998512"/>
    <n v="46.04606525911565"/>
    <n v="3.330318285252426E-2"/>
    <n v="46.079368441968171"/>
    <s v="10-P3S1C4AA"/>
    <x v="1"/>
    <s v="10"/>
    <x v="0"/>
  </r>
  <r>
    <n v="385"/>
    <n v="11.427199999999999"/>
    <n v="112"/>
    <n v="385"/>
    <n v="11.4893"/>
    <n v="62.100000000000932"/>
    <n v="49.899999999999068"/>
    <n v="11.483220000000001"/>
    <n v="56.020000000001957"/>
    <n v="55.979999999998043"/>
    <n v="49.982142857141113"/>
    <n v="1.5227860085463521E-2"/>
    <n v="49.997370717226573"/>
    <s v="10-P6S4C1AA -b"/>
    <x v="1"/>
    <s v="10"/>
    <x v="1"/>
  </r>
  <r>
    <n v="331"/>
    <n v="11.5023"/>
    <n v="118.2"/>
    <n v="331"/>
    <n v="11.566599999999999"/>
    <n v="64.299999999999358"/>
    <n v="53.900000000000645"/>
    <n v="11.56052"/>
    <n v="58.220000000000383"/>
    <n v="59.97999999999962"/>
    <n v="50.744500846023364"/>
    <n v="1.3511648396010005E-2"/>
    <n v="50.758012494419376"/>
    <s v="10-P6S1C1AA -b"/>
    <x v="1"/>
    <s v="10"/>
    <x v="1"/>
  </r>
  <r>
    <n v="127"/>
    <n v="11.460699999999999"/>
    <n v="110.4"/>
    <n v="127"/>
    <n v="11.5242"/>
    <n v="63.500000000001222"/>
    <n v="46.899999999998784"/>
    <n v="11.518120000000001"/>
    <n v="57.420000000002247"/>
    <n v="52.979999999997759"/>
    <n v="47.989130434780577"/>
    <n v="1.5939692700667394E-2"/>
    <n v="48.005070127481247"/>
    <s v="10-P1S5C1AA"/>
    <x v="1"/>
    <s v="10"/>
    <x v="1"/>
  </r>
  <r>
    <n v="146"/>
    <n v="11.4411"/>
    <n v="115.5"/>
    <n v="146"/>
    <n v="11.556800000000001"/>
    <n v="115.70000000000036"/>
    <n v="-0.20000000000035811"/>
    <n v="11.550720000000002"/>
    <n v="109.62000000000138"/>
    <n v="5.879999999998617"/>
    <n v="5.0909090909078936"/>
    <n v="2.1424097426246808E-2"/>
    <n v="5.1123331883341407"/>
    <s v="25-P3S2C1AA"/>
    <x v="1"/>
    <s v="25"/>
    <x v="1"/>
  </r>
  <r>
    <n v="7"/>
    <n v="11.483000000000001"/>
    <n v="109.5"/>
    <n v="7"/>
    <n v="11.5268"/>
    <n v="43.799999999999173"/>
    <n v="65.700000000000827"/>
    <n v="11.520720000000001"/>
    <n v="37.720000000000198"/>
    <n v="71.779999999999802"/>
    <n v="65.552511415524933"/>
    <n v="1.4540160647497254E-2"/>
    <n v="65.567051576172432"/>
    <s v="10-P1S1C1AA"/>
    <x v="1"/>
    <s v="10"/>
    <x v="1"/>
  </r>
  <r>
    <n v="176"/>
    <n v="11.4049"/>
    <n v="137.6"/>
    <n v="176"/>
    <n v="11.5654"/>
    <n v="160.50000000000074"/>
    <n v="-22.900000000000745"/>
    <n v="11.559320000000001"/>
    <n v="154.42000000000178"/>
    <n v="-16.820000000001784"/>
    <n v="-12.223837209303623"/>
    <n v="4.2772702847931214E-2"/>
    <m/>
    <s v="10-P3S4C1AA"/>
    <x v="1"/>
    <s v="10"/>
    <x v="1"/>
  </r>
  <r>
    <n v="708"/>
    <n v="11.4801"/>
    <n v="124"/>
    <n v="708"/>
    <n v="11.578200000000001"/>
    <n v="98.10000000000052"/>
    <n v="25.89999999999948"/>
    <n v="11.572120000000002"/>
    <n v="92.020000000001545"/>
    <n v="31.979999999998455"/>
    <n v="25.790322580643917"/>
    <n v="2.6156823999121757E-2"/>
    <n v="25.81647940464304"/>
    <s v="10-P2S4C1AA"/>
    <x v="1"/>
    <s v="10"/>
    <x v="1"/>
  </r>
  <r>
    <n v="189"/>
    <n v="11.480499999999999"/>
    <n v="166.4"/>
    <n v="189"/>
    <n v="11.618499999999999"/>
    <n v="137.99999999999989"/>
    <n v="28.400000000000119"/>
    <n v="11.61242"/>
    <n v="131.92000000000093"/>
    <n v="34.47999999999908"/>
    <n v="20.721153846153292"/>
    <n v="1.7921850673059694E-2"/>
    <n v="20.739075696826351"/>
    <s v="10-P3S5C2AA"/>
    <x v="1"/>
    <s v="10"/>
    <x v="2"/>
  </r>
  <r>
    <n v="1047"/>
    <n v="11.404999999999999"/>
    <n v="122.5"/>
    <n v="1047"/>
    <n v="11.5905"/>
    <n v="185.50000000000111"/>
    <n v="-63.000000000001108"/>
    <n v="11.584420000000001"/>
    <n v="179.42000000000212"/>
    <n v="-56.920000000002119"/>
    <n v="-46.465306122450713"/>
    <n v="9.5164694572079239E-2"/>
    <m/>
    <s v="64FS2"/>
    <x v="0"/>
    <n v="1"/>
    <x v="2"/>
  </r>
  <r>
    <n v="1070"/>
    <n v="11.503"/>
    <n v="150.5"/>
    <n v="1070"/>
    <n v="11.654500000000001"/>
    <n v="151.5000000000004"/>
    <n v="-1.0000000000003979"/>
    <n v="11.648420000000002"/>
    <n v="145.42000000000144"/>
    <n v="5.079999999998563"/>
    <n v="3.3754152823910721"/>
    <n v="8.7416391596939688E-2"/>
    <n v="3.4628316739880116"/>
    <s v="33FS1"/>
    <x v="0"/>
    <n v="1"/>
    <x v="1"/>
  </r>
  <r>
    <n v="1048"/>
    <n v="11.5105"/>
    <n v="136.19999999999999"/>
    <n v="1048"/>
    <n v="11.565799999999999"/>
    <n v="55.299999999999017"/>
    <n v="80.900000000000972"/>
    <n v="11.55972"/>
    <n v="49.220000000000041"/>
    <n v="86.979999999999947"/>
    <n v="63.861967694566779"/>
    <n v="9.3952508966936812E-2"/>
    <n v="63.955920203533715"/>
    <s v="64FS4"/>
    <x v="0"/>
    <n v="1"/>
    <x v="0"/>
  </r>
  <r>
    <n v="1089"/>
    <n v="11.4655"/>
    <n v="141.5"/>
    <n v="1089"/>
    <n v="11.592599999999999"/>
    <n v="127.09999999999866"/>
    <n v="14.400000000001342"/>
    <n v="11.58652"/>
    <n v="121.01999999999968"/>
    <n v="20.480000000000317"/>
    <n v="14.47349823321577"/>
    <n v="8.5974471974171948E-2"/>
    <n v="14.559472705189942"/>
    <s v="65FS2"/>
    <x v="0"/>
    <n v="1"/>
    <x v="2"/>
  </r>
  <r>
    <n v="1023"/>
    <n v="11.5091"/>
    <n v="144.4"/>
    <n v="1023"/>
    <n v="11.628299999999999"/>
    <n v="119.19999999999931"/>
    <n v="25.200000000000699"/>
    <n v="11.62222"/>
    <n v="113.12000000000033"/>
    <n v="31.279999999999674"/>
    <n v="21.662049861495618"/>
    <n v="9.6570961610309883E-2"/>
    <n v="21.758620823105929"/>
    <s v="31FS2"/>
    <x v="0"/>
    <n v="1"/>
    <x v="2"/>
  </r>
  <r>
    <n v="1072"/>
    <n v="11.4125"/>
    <n v="115.7"/>
    <n v="1072"/>
    <n v="11.5024"/>
    <n v="89.900000000000091"/>
    <n v="25.799999999999912"/>
    <n v="11.496320000000001"/>
    <n v="83.820000000001116"/>
    <n v="31.879999999998887"/>
    <n v="27.554019014692209"/>
    <n v="8.3290257450579594E-2"/>
    <n v="27.637309272142787"/>
    <s v="33FS4"/>
    <x v="0"/>
    <n v="1"/>
    <x v="0"/>
  </r>
  <r>
    <n v="1018"/>
    <n v="11.4642"/>
    <n v="105.1"/>
    <n v="1018"/>
    <n v="11.511799999999999"/>
    <n v="47.599999999999199"/>
    <n v="57.500000000000796"/>
    <n v="11.50572"/>
    <n v="41.520000000000223"/>
    <n v="63.579999999999771"/>
    <n v="60.494766888677233"/>
    <n v="9.7600078258502893E-2"/>
    <n v="60.592366966935735"/>
    <s v="15FS4"/>
    <x v="0"/>
    <n v="1"/>
    <x v="0"/>
  </r>
  <r>
    <n v="1032"/>
    <n v="11.4968"/>
    <n v="151.30000000000001"/>
    <n v="1032"/>
    <n v="11.6089"/>
    <n v="112.09999999999987"/>
    <n v="39.200000000000145"/>
    <n v="11.602820000000001"/>
    <n v="106.02000000000089"/>
    <n v="45.27999999999912"/>
    <n v="29.927296761400608"/>
    <n v="1.6680606396601707E-2"/>
    <n v="29.94397736779721"/>
    <s v="35AA2"/>
    <x v="1"/>
    <n v="1"/>
    <x v="2"/>
  </r>
  <r>
    <n v="1007"/>
    <n v="11.404500000000001"/>
    <n v="107.3"/>
    <n v="1007"/>
    <n v="11.560700000000001"/>
    <n v="156.2000000000001"/>
    <n v="-48.900000000000105"/>
    <n v="11.554620000000002"/>
    <n v="150.12000000000114"/>
    <n v="-42.820000000001144"/>
    <n v="-39.906803355080285"/>
    <n v="3.1008792334738709E-2"/>
    <m/>
    <s v="12AA1"/>
    <x v="1"/>
    <n v="1"/>
    <x v="1"/>
  </r>
  <r>
    <n v="1055"/>
    <n v="11.483499999999999"/>
    <n v="116.4"/>
    <n v="1055"/>
    <n v="11.5633"/>
    <n v="79.800000000000537"/>
    <n v="36.599999999999469"/>
    <n v="11.557220000000001"/>
    <n v="73.720000000001562"/>
    <n v="42.679999999998444"/>
    <n v="36.666666666665328"/>
    <n v="2.2698262336634342E-2"/>
    <n v="36.689364929001961"/>
    <s v="14AA1"/>
    <x v="1"/>
    <n v="1"/>
    <x v="1"/>
  </r>
  <r>
    <n v="1039"/>
    <n v="11.403499999999999"/>
    <n v="122.1"/>
    <n v="1039"/>
    <n v="11.488799999999999"/>
    <n v="85.300000000000153"/>
    <n v="36.799999999999841"/>
    <n v="11.48272"/>
    <n v="79.220000000001178"/>
    <n v="42.879999999998816"/>
    <n v="35.118755118754152"/>
    <n v="3.2942404570561475E-2"/>
    <n v="35.151697523324714"/>
    <s v="63AA4"/>
    <x v="1"/>
    <n v="1"/>
    <x v="0"/>
  </r>
  <r>
    <n v="1019"/>
    <n v="11.5084"/>
    <n v="133"/>
    <n v="1019"/>
    <n v="11.757999999999999"/>
    <n v="249.59999999999917"/>
    <n v="-116.59999999999917"/>
    <n v="11.75192"/>
    <n v="243.52000000000018"/>
    <n v="-110.52000000000018"/>
    <n v="-83.097744360902396"/>
    <n v="2.3460262693272674E-2"/>
    <m/>
    <s v="31AA1"/>
    <x v="1"/>
    <n v="1"/>
    <x v="1"/>
  </r>
  <r>
    <n v="1063"/>
    <n v="11.4651"/>
    <n v="109.6"/>
    <n v="1063"/>
    <n v="11.6638"/>
    <n v="198.70000000000056"/>
    <n v="-89.100000000000563"/>
    <n v="11.657720000000001"/>
    <n v="192.62000000000157"/>
    <n v="-83.020000000001573"/>
    <n v="-75.748175182483195"/>
    <n v="3.197715693234545E-2"/>
    <m/>
    <s v="32AA4"/>
    <x v="1"/>
    <n v="1"/>
    <x v="0"/>
  </r>
  <r>
    <n v="1086"/>
    <n v="11.4947"/>
    <n v="118.4"/>
    <n v="1086"/>
    <n v="11.6021"/>
    <n v="107.40000000000016"/>
    <n v="10.999999999999844"/>
    <n v="11.596020000000001"/>
    <n v="101.32000000000119"/>
    <n v="17.079999999998819"/>
    <n v="14.425675675674675"/>
    <n v="1.5279008186047412E-2"/>
    <n v="14.440954683860722"/>
    <s v="65AA2"/>
    <x v="1"/>
    <n v="1"/>
    <x v="2"/>
  </r>
  <r>
    <n v="1025"/>
    <n v="11.491400000000001"/>
    <n v="105.1"/>
    <n v="1025"/>
    <n v="11.6068"/>
    <n v="115.39999999999928"/>
    <n v="-10.299999999999287"/>
    <n v="11.600720000000001"/>
    <n v="109.32000000000031"/>
    <n v="-4.2200000000003115"/>
    <n v="-4.0152235965749874"/>
    <n v="2.0542447994821848E-2"/>
    <m/>
    <s v="34AA1"/>
    <x v="1"/>
    <n v="1"/>
    <x v="1"/>
  </r>
  <r>
    <n v="1027"/>
    <n v="11.416"/>
    <n v="116.3"/>
    <n v="1027"/>
    <n v="11.5128"/>
    <n v="96.8"/>
    <n v="19.5"/>
    <n v="11.506720000000001"/>
    <n v="90.720000000001022"/>
    <n v="25.579999999998975"/>
    <n v="21.994840928631966"/>
    <n v="2.5430349995356559E-2"/>
    <n v="22.020271278627323"/>
    <s v="34AA4"/>
    <x v="1"/>
    <n v="1"/>
    <x v="0"/>
  </r>
  <r>
    <n v="1003"/>
    <n v="11.4923"/>
    <n v="106.7"/>
    <n v="1003"/>
    <n v="11.6046"/>
    <n v="112.2999999999994"/>
    <n v="-5.5999999999993975"/>
    <n v="11.598520000000001"/>
    <n v="106.22000000000043"/>
    <n v="0.47999999999957765"/>
    <n v="0.44985941893118803"/>
    <n v="2.9982033086449842E-2"/>
    <n v="0.47984145201763789"/>
    <s v="11AA4"/>
    <x v="1"/>
    <n v="1"/>
    <x v="0"/>
  </r>
  <r>
    <n v="40"/>
    <n v="11.4656"/>
    <n v="103.1"/>
    <n v="40"/>
    <n v="11.6922"/>
    <n v="226.59999999999945"/>
    <n v="-123.49999999999946"/>
    <n v="11.686120000000001"/>
    <n v="220.52000000000049"/>
    <n v="-117.4200000000005"/>
    <n v="-113.88942774005868"/>
    <n v="0.10523063206460376"/>
    <m/>
    <s v="25-P1S2C1FS"/>
    <x v="0"/>
    <s v="25"/>
    <x v="1"/>
  </r>
  <r>
    <n v="149"/>
    <n v="11.5657"/>
    <n v="103.6"/>
    <n v="149"/>
    <n v="11.7691"/>
    <n v="203.40000000000026"/>
    <n v="-99.800000000000267"/>
    <n v="11.763020000000001"/>
    <n v="197.32000000000127"/>
    <n v="-93.720000000001278"/>
    <n v="-90.463320463321708"/>
    <n v="7.6793520318506878E-2"/>
    <m/>
    <s v="25-P3S2C1FS"/>
    <x v="0"/>
    <s v="25"/>
    <x v="1"/>
  </r>
  <r>
    <n v="150"/>
    <n v="11.509399999999999"/>
    <n v="105.9"/>
    <n v="150"/>
    <n v="11.6914"/>
    <n v="182.0000000000004"/>
    <n v="-76.100000000000392"/>
    <n v="11.685320000000001"/>
    <n v="175.92000000000141"/>
    <n v="-70.020000000001403"/>
    <n v="-66.118980169973"/>
    <n v="9.5838760489189059E-2"/>
    <m/>
    <s v="25-P3S2C2FS"/>
    <x v="0"/>
    <s v="25"/>
    <x v="2"/>
  </r>
  <r>
    <n v="382"/>
    <n v="11.414199999999999"/>
    <n v="117.4"/>
    <n v="382"/>
    <n v="11.605399999999999"/>
    <n v="191.20000000000027"/>
    <n v="-73.800000000000267"/>
    <n v="11.599320000000001"/>
    <n v="185.12000000000128"/>
    <n v="-67.720000000001278"/>
    <n v="-57.683134582624596"/>
    <n v="8.5946965431992525E-2"/>
    <m/>
    <s v="25-P6S4C2FS"/>
    <x v="0"/>
    <s v="25"/>
    <x v="2"/>
  </r>
  <r>
    <n v="125"/>
    <n v="11.482799999999999"/>
    <n v="105.5"/>
    <n v="125"/>
    <n v="11.620799999999999"/>
    <n v="137.99999999999989"/>
    <n v="-32.499999999999886"/>
    <n v="11.61472"/>
    <n v="131.92000000000093"/>
    <n v="-26.420000000000925"/>
    <n v="-25.042654028436896"/>
    <n v="0.10031373168207822"/>
    <m/>
    <s v="25-P1S5C2FS"/>
    <x v="0"/>
    <s v="25"/>
    <x v="2"/>
  </r>
  <r>
    <n v="162"/>
    <n v="11.561199999999999"/>
    <n v="113.1"/>
    <n v="162"/>
    <n v="11.744300000000001"/>
    <n v="183.10000000000139"/>
    <n v="-70.000000000001393"/>
    <n v="11.738220000000002"/>
    <n v="177.0200000000024"/>
    <n v="-63.920000000002403"/>
    <n v="-56.516357206014511"/>
    <n v="9.6798082723336107E-2"/>
    <m/>
    <s v="25-P3S3C2FS"/>
    <x v="0"/>
    <s v="25"/>
    <x v="2"/>
  </r>
  <r>
    <n v="171"/>
    <n v="11.4802"/>
    <n v="106"/>
    <n v="171"/>
    <n v="11.6533"/>
    <n v="173.0999999999998"/>
    <n v="-67.099999999999795"/>
    <n v="11.647220000000001"/>
    <n v="167.02000000000083"/>
    <n v="-61.020000000000834"/>
    <n v="-57.566037735849839"/>
    <n v="1.5950307368392591E-2"/>
    <m/>
    <s v="25-P3S4C2AA"/>
    <x v="1"/>
    <s v="25"/>
    <x v="2"/>
  </r>
  <r>
    <n v="362"/>
    <n v="11.4815"/>
    <n v="109.2"/>
    <n v="362"/>
    <n v="11.5488"/>
    <n v="67.299999999999471"/>
    <n v="41.900000000000531"/>
    <n v="11.542720000000001"/>
    <n v="61.220000000000496"/>
    <n v="47.979999999999507"/>
    <n v="43.937728937728487"/>
    <n v="5.7959307395094598E-2"/>
    <n v="43.995688245123581"/>
    <s v="25-P6S3C4AA"/>
    <x v="1"/>
    <s v="25"/>
    <x v="0"/>
  </r>
  <r>
    <n v="170"/>
    <n v="11.402200000000001"/>
    <n v="119.1"/>
    <n v="170"/>
    <n v="11.4505"/>
    <n v="48.299999999999343"/>
    <n v="70.800000000000651"/>
    <n v="11.444420000000001"/>
    <n v="42.220000000000368"/>
    <n v="76.879999999999626"/>
    <n v="64.550797649034109"/>
    <n v="2.2183692157718201E-2"/>
    <n v="64.572981341191834"/>
    <s v="25-P3S4C1AA"/>
    <x v="1"/>
    <s v="25"/>
    <x v="1"/>
  </r>
  <r>
    <n v="3"/>
    <n v="11.401999999999999"/>
    <n v="124.2"/>
    <n v="3"/>
    <n v="11.454700000000001"/>
    <n v="52.700000000001523"/>
    <n v="71.499999999998479"/>
    <n v="11.448620000000002"/>
    <n v="46.620000000002548"/>
    <n v="77.579999999997455"/>
    <n v="62.463768115939978"/>
    <n v="2.6789399496919993E-2"/>
    <n v="62.490557515436898"/>
    <s v="25-P1S1C4AA"/>
    <x v="1"/>
    <s v="25"/>
    <x v="0"/>
  </r>
  <r>
    <n v="361"/>
    <n v="11.4885"/>
    <n v="106.3"/>
    <n v="361"/>
    <n v="11.5768"/>
    <n v="88.300000000000267"/>
    <n v="17.99999999999973"/>
    <n v="11.570720000000001"/>
    <n v="82.220000000001292"/>
    <n v="24.079999999998705"/>
    <n v="22.652869238004428"/>
    <n v="1.9846837151283572E-2"/>
    <n v="22.672716075155712"/>
    <s v="25-P6S3C2AA"/>
    <x v="1"/>
    <s v="25"/>
    <x v="2"/>
  </r>
  <r>
    <n v="326"/>
    <n v="11.403600000000001"/>
    <n v="119.4"/>
    <n v="326"/>
    <n v="11.460599999999999"/>
    <n v="56.999999999998607"/>
    <n v="62.400000000001398"/>
    <n v="11.45452"/>
    <n v="50.919999999999632"/>
    <n v="68.480000000000373"/>
    <n v="57.353433835846204"/>
    <n v="3.8104667465334315E-2"/>
    <n v="57.391538503311537"/>
    <s v="25-P6S1C4AA"/>
    <x v="1"/>
    <s v="25"/>
    <x v="0"/>
  </r>
  <r>
    <n v="75"/>
    <n v="11.512499999999999"/>
    <n v="107.2"/>
    <n v="75"/>
    <n v="11.6243"/>
    <n v="111.80000000000057"/>
    <n v="-4.6000000000005627"/>
    <n v="11.618220000000001"/>
    <n v="105.72000000000159"/>
    <n v="1.4799999999984124"/>
    <n v="1.380597014923892"/>
    <n v="3.2233245379764262E-2"/>
    <n v="1.4128302603036562"/>
    <s v="25-P1S3C4AA"/>
    <x v="1"/>
    <s v="25"/>
    <x v="0"/>
  </r>
  <r>
    <n v="396"/>
    <n v="11.460900000000001"/>
    <n v="159.1"/>
    <n v="396"/>
    <n v="11.5792"/>
    <n v="118.29999999999963"/>
    <n v="40.800000000000367"/>
    <n v="11.573120000000001"/>
    <n v="112.22000000000065"/>
    <n v="46.879999999999342"/>
    <n v="29.465744814581612"/>
    <n v="1.5614970155539741E-2"/>
    <n v="29.481359784737151"/>
    <s v="25-P6S5C1AA"/>
    <x v="1"/>
    <s v="25"/>
    <x v="1"/>
  </r>
  <r>
    <n v="324"/>
    <n v="11.5077"/>
    <n v="156.80000000000001"/>
    <n v="324"/>
    <n v="11.608000000000001"/>
    <n v="100.30000000000072"/>
    <n v="56.499999999999289"/>
    <n v="11.601920000000002"/>
    <n v="94.220000000001747"/>
    <n v="62.579999999998265"/>
    <n v="39.910714285713176"/>
    <n v="1.3297656515588502E-2"/>
    <n v="39.924011942228766"/>
    <s v="25-P6S1C1AA"/>
    <x v="1"/>
    <s v="25"/>
    <x v="1"/>
  </r>
  <r>
    <n v="344"/>
    <n v="11.498200000000001"/>
    <n v="121.8"/>
    <n v="344"/>
    <n v="11.622299999999999"/>
    <n v="124.09999999999854"/>
    <n v="-2.2999999999985477"/>
    <n v="11.61622"/>
    <n v="118.01999999999957"/>
    <n v="3.7800000000004275"/>
    <n v="3.1034482758624202"/>
    <n v="7.3210282093159301E-2"/>
    <n v="3.1766585579555797"/>
    <s v="25-P6S2C4AA"/>
    <x v="1"/>
    <s v="2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1"/>
    <s v="Birch Leaf"/>
    <m/>
    <x v="0"/>
    <x v="0"/>
    <x v="0"/>
    <n v="4.95"/>
  </r>
  <r>
    <n v="2"/>
    <n v="1073"/>
    <s v="61AA1"/>
    <x v="1"/>
    <x v="1"/>
    <x v="1"/>
    <n v="4.5599999999999996"/>
  </r>
  <r>
    <n v="3"/>
    <n v="172"/>
    <s v="25-P3S4C4AA"/>
    <x v="1"/>
    <x v="2"/>
    <x v="2"/>
    <n v="3.8"/>
  </r>
  <r>
    <n v="4"/>
    <n v="343"/>
    <s v="25-P6S2C2AA"/>
    <x v="1"/>
    <x v="2"/>
    <x v="3"/>
    <n v="4.88"/>
  </r>
  <r>
    <n v="5"/>
    <n v="77"/>
    <s v="25-P1S3C2FS"/>
    <x v="2"/>
    <x v="2"/>
    <x v="3"/>
    <n v="5.63"/>
  </r>
  <r>
    <n v="6"/>
    <n v="398"/>
    <s v="25-P6S5C4AA"/>
    <x v="1"/>
    <x v="2"/>
    <x v="2"/>
    <n v="3.7"/>
  </r>
  <r>
    <n v="7"/>
    <n v="1014"/>
    <s v="15AA2"/>
    <x v="1"/>
    <x v="1"/>
    <x v="3"/>
    <n v="5.39"/>
  </r>
  <r>
    <n v="8"/>
    <n v="379"/>
    <s v="25-P6S4C2AA"/>
    <x v="1"/>
    <x v="2"/>
    <x v="3"/>
    <n v="5.62"/>
  </r>
  <r>
    <n v="9"/>
    <n v="381"/>
    <s v="25-P6S4C1FS"/>
    <x v="2"/>
    <x v="2"/>
    <x v="1"/>
    <n v="5.55"/>
  </r>
  <r>
    <n v="10"/>
    <n v="1071"/>
    <s v="33FS2"/>
    <x v="2"/>
    <x v="1"/>
    <x v="3"/>
    <n v="5.86"/>
  </r>
  <r>
    <n v="11"/>
    <n v="1033"/>
    <s v="35AA4"/>
    <x v="1"/>
    <x v="1"/>
    <x v="2"/>
    <n v="4.9000000000000004"/>
  </r>
  <r>
    <n v="12"/>
    <n v="342"/>
    <s v="25-P6S2C1AA"/>
    <x v="1"/>
    <x v="2"/>
    <x v="1"/>
    <n v="5.85"/>
  </r>
  <r>
    <n v="13"/>
    <n v="1004"/>
    <s v="11FS1"/>
    <x v="2"/>
    <x v="1"/>
    <x v="1"/>
    <n v="5.15"/>
  </r>
  <r>
    <n v="14"/>
    <n v="1052"/>
    <s v="13FS1"/>
    <x v="2"/>
    <x v="1"/>
    <x v="1"/>
    <n v="5.36"/>
  </r>
  <r>
    <n v="15"/>
    <n v="139"/>
    <s v="25-P3S1C4FS"/>
    <x v="2"/>
    <x v="2"/>
    <x v="2"/>
    <n v="5.0599999999999996"/>
  </r>
  <r>
    <n v="16"/>
    <n v="148"/>
    <s v="25-P3S2C4AA"/>
    <x v="1"/>
    <x v="2"/>
    <x v="2"/>
    <n v="3.56"/>
  </r>
  <r>
    <n v="17"/>
    <n v="1085"/>
    <s v="65AA1"/>
    <x v="1"/>
    <x v="1"/>
    <x v="1"/>
    <n v="5.35"/>
  </r>
  <r>
    <n v="18"/>
    <n v="1038"/>
    <s v="63AA2"/>
    <x v="1"/>
    <x v="1"/>
    <x v="3"/>
    <n v="5.22"/>
  </r>
  <r>
    <n v="19"/>
    <n v="138"/>
    <s v="25-P3S1C2FS"/>
    <x v="2"/>
    <x v="2"/>
    <x v="3"/>
    <n v="6.55"/>
  </r>
  <r>
    <n v="20"/>
    <n v="1010"/>
    <s v="12FS1"/>
    <x v="2"/>
    <x v="1"/>
    <x v="1"/>
    <n v="5.2"/>
  </r>
  <r>
    <n v="21"/>
    <n v="78"/>
    <s v="25-P1S3C4FS"/>
    <x v="2"/>
    <x v="2"/>
    <x v="2"/>
    <n v="4.51"/>
  </r>
  <r>
    <n v="22"/>
    <n v="6"/>
    <s v="25-P1S1C4FS"/>
    <x v="2"/>
    <x v="2"/>
    <x v="2"/>
    <n v="4.34"/>
  </r>
  <r>
    <n v="23"/>
    <n v="175"/>
    <s v="25-P3S4C4FS"/>
    <x v="2"/>
    <x v="2"/>
    <x v="2"/>
    <n v="4.63"/>
  </r>
  <r>
    <n v="24"/>
    <n v="193"/>
    <s v="10-P3S5C4FS"/>
    <x v="2"/>
    <x v="3"/>
    <x v="2"/>
    <n v="4.95"/>
  </r>
  <r>
    <n v="25"/>
    <n v="384"/>
    <s v="10-P6S4C1AA"/>
    <x v="1"/>
    <x v="3"/>
    <x v="1"/>
    <n v="5.96"/>
  </r>
  <r>
    <n v="26"/>
    <n v="1077"/>
    <s v="61FS2"/>
    <x v="2"/>
    <x v="1"/>
    <x v="3"/>
    <n v="5.74"/>
  </r>
  <r>
    <n v="27"/>
    <n v="1001"/>
    <s v="11AA1"/>
    <x v="1"/>
    <x v="1"/>
    <x v="1"/>
    <n v="5.38"/>
  </r>
  <r>
    <n v="28"/>
    <n v="1011"/>
    <s v="12FS2"/>
    <x v="2"/>
    <x v="1"/>
    <x v="3"/>
    <n v="5.91"/>
  </r>
  <r>
    <n v="29"/>
    <n v="1051"/>
    <s v="13AA4"/>
    <x v="1"/>
    <x v="1"/>
    <x v="2"/>
    <n v="5.09"/>
  </r>
  <r>
    <n v="30"/>
    <n v="378"/>
    <s v="25-P6S4C1AA"/>
    <x v="1"/>
    <x v="2"/>
    <x v="1"/>
    <n v="5.16"/>
  </r>
  <r>
    <n v="31"/>
    <n v="328"/>
    <s v="25-P6S1C2FS"/>
    <x v="2"/>
    <x v="2"/>
    <x v="3"/>
    <n v="5.17"/>
  </r>
  <r>
    <n v="32"/>
    <n v="1088"/>
    <s v="65FS1"/>
    <x v="2"/>
    <x v="1"/>
    <x v="1"/>
    <n v="5.4"/>
  </r>
  <r>
    <n v="33"/>
    <n v="375"/>
    <s v="10-P6S3C2FS -b"/>
    <x v="2"/>
    <x v="3"/>
    <x v="3"/>
    <n v="4.43"/>
  </r>
  <r>
    <n v="34"/>
    <n v="1009"/>
    <s v="12AA4"/>
    <x v="1"/>
    <x v="1"/>
    <x v="2"/>
    <n v="4.8600000000000003"/>
  </r>
  <r>
    <n v="35"/>
    <n v="1046"/>
    <s v="64FS1"/>
    <x v="2"/>
    <x v="1"/>
    <x v="1"/>
    <n v="5.36"/>
  </r>
  <r>
    <n v="36"/>
    <n v="1084"/>
    <s v="62FS4"/>
    <x v="2"/>
    <x v="1"/>
    <x v="2"/>
    <n v="5.58"/>
  </r>
  <r>
    <n v="37"/>
    <n v="1036"/>
    <s v="35FS4"/>
    <x v="2"/>
    <x v="1"/>
    <x v="2"/>
    <n v="5.32"/>
  </r>
  <r>
    <n v="38"/>
    <n v="360"/>
    <s v="25-P6S3C1AA"/>
    <x v="1"/>
    <x v="2"/>
    <x v="1"/>
    <n v="5.56"/>
  </r>
  <r>
    <n v="39"/>
    <n v="41"/>
    <s v="25-P1S2C2FS"/>
    <x v="2"/>
    <x v="2"/>
    <x v="3"/>
    <n v="5.31"/>
  </r>
  <r>
    <n v="40"/>
    <n v="395"/>
    <s v="10-P6S4C4FS -b"/>
    <x v="2"/>
    <x v="3"/>
    <x v="2"/>
    <n v="5.0999999999999996"/>
  </r>
  <r>
    <n v="41"/>
    <n v="2"/>
    <s v="25-P1S1C2AA"/>
    <x v="1"/>
    <x v="2"/>
    <x v="3"/>
    <n v="5.73"/>
  </r>
  <r>
    <n v="42"/>
    <n v="402"/>
    <s v="10-P6S5C1AA"/>
    <x v="1"/>
    <x v="3"/>
    <x v="1"/>
    <n v="5.81"/>
  </r>
  <r>
    <n v="43"/>
    <n v="166"/>
    <s v="10-P3S3C4AA"/>
    <x v="1"/>
    <x v="3"/>
    <x v="2"/>
    <n v="4.5199999999999996"/>
  </r>
  <r>
    <n v="44"/>
    <n v="363"/>
    <s v="25-P6S3C1FS"/>
    <x v="2"/>
    <x v="2"/>
    <x v="1"/>
    <n v="5.78"/>
  </r>
  <r>
    <n v="45"/>
    <n v="1005"/>
    <s v="11FS2"/>
    <x v="2"/>
    <x v="1"/>
    <x v="3"/>
    <n v="5.67"/>
  </r>
  <r>
    <n v="46"/>
    <n v="114"/>
    <s v="25-P1S4C4FS"/>
    <x v="2"/>
    <x v="2"/>
    <x v="2"/>
    <n v="5.57"/>
  </r>
  <r>
    <n v="47"/>
    <n v="1074"/>
    <s v="61AA2"/>
    <x v="1"/>
    <x v="1"/>
    <x v="3"/>
    <n v="5.4"/>
  </r>
  <r>
    <n v="48"/>
    <n v="4"/>
    <s v="25-P1S1C1FS"/>
    <x v="2"/>
    <x v="2"/>
    <x v="1"/>
    <n v="5.38"/>
  </r>
  <r>
    <n v="49"/>
    <n v="391"/>
    <s v="10-P6S4C1FS -b"/>
    <x v="2"/>
    <x v="3"/>
    <x v="1"/>
    <n v="5.77"/>
  </r>
  <r>
    <n v="50"/>
    <n v="183"/>
    <s v="25-P3S5C2AA"/>
    <x v="1"/>
    <x v="2"/>
    <x v="3"/>
    <n v="4.88"/>
  </r>
  <r>
    <n v="51"/>
    <n v="1002"/>
    <s v="11AA2"/>
    <x v="1"/>
    <x v="1"/>
    <x v="3"/>
    <n v="6"/>
  </r>
  <r>
    <n v="52"/>
    <n v="136"/>
    <s v="25-P3S1C4AA"/>
    <x v="1"/>
    <x v="2"/>
    <x v="2"/>
    <n v="4.16"/>
  </r>
  <r>
    <n v="53"/>
    <n v="345"/>
    <s v="25-P6S2C1FS"/>
    <x v="2"/>
    <x v="2"/>
    <x v="1"/>
    <n v="6.04"/>
  </r>
  <r>
    <n v="54"/>
    <n v="161"/>
    <s v="25-P3S3C1FS"/>
    <x v="2"/>
    <x v="2"/>
    <x v="1"/>
    <n v="5.84"/>
  </r>
  <r>
    <n v="55"/>
    <n v="190"/>
    <s v="10-P3S5C4AA"/>
    <x v="1"/>
    <x v="3"/>
    <x v="2"/>
    <n v="5.57"/>
  </r>
  <r>
    <n v="56"/>
    <n v="1030"/>
    <s v="34FS4"/>
    <x v="2"/>
    <x v="1"/>
    <x v="2"/>
    <n v="5.01"/>
  </r>
  <r>
    <n v="57"/>
    <n v="400"/>
    <s v="25-P6S5C2FS"/>
    <x v="2"/>
    <x v="2"/>
    <x v="3"/>
    <n v="5.84"/>
  </r>
  <r>
    <n v="58"/>
    <n v="128"/>
    <s v="10-P1S5C2AA"/>
    <x v="1"/>
    <x v="3"/>
    <x v="3"/>
    <n v="6.1109999999999998"/>
  </r>
  <r>
    <n v="59"/>
    <n v="123"/>
    <s v="25-P1S5C4AA"/>
    <x v="1"/>
    <x v="2"/>
    <x v="2"/>
    <n v="3.84"/>
  </r>
  <r>
    <n v="60"/>
    <n v="1006"/>
    <s v="11FS4"/>
    <x v="2"/>
    <x v="1"/>
    <x v="2"/>
    <n v="5.1100000000000003"/>
  </r>
  <r>
    <n v="61"/>
    <n v="1083"/>
    <s v="62FS2"/>
    <x v="2"/>
    <x v="1"/>
    <x v="3"/>
    <n v="5.63"/>
  </r>
  <r>
    <n v="62"/>
    <n v="80"/>
    <s v="10-P1S3C2AA"/>
    <x v="1"/>
    <x v="3"/>
    <x v="3"/>
    <n v="6.11"/>
  </r>
  <r>
    <n v="63"/>
    <n v="390"/>
    <s v="10-P6S4C1FS"/>
    <x v="2"/>
    <x v="3"/>
    <x v="1"/>
    <n v="5.71"/>
  </r>
  <r>
    <n v="64"/>
    <n v="132"/>
    <s v="10-P1S5C4FS"/>
    <x v="2"/>
    <x v="3"/>
    <x v="2"/>
    <n v="4.5599999999999996"/>
  </r>
  <r>
    <n v="65"/>
    <n v="1043"/>
    <s v="64AA1"/>
    <x v="1"/>
    <x v="1"/>
    <x v="1"/>
    <n v="5.21"/>
  </r>
  <r>
    <n v="66"/>
    <n v="188"/>
    <s v="10-P3S5C1AA"/>
    <x v="1"/>
    <x v="3"/>
    <x v="1"/>
    <n v="5.34"/>
  </r>
  <r>
    <n v="67"/>
    <n v="1031"/>
    <s v="35AA1"/>
    <x v="1"/>
    <x v="1"/>
    <x v="1"/>
    <n v="5.38"/>
  </r>
  <r>
    <n v="68"/>
    <n v="412"/>
    <s v="10-P6S5C4FS"/>
    <x v="2"/>
    <x v="3"/>
    <x v="2"/>
    <n v="4.76"/>
  </r>
  <r>
    <n v="69"/>
    <n v="325"/>
    <s v="25-P6S1C2AA"/>
    <x v="1"/>
    <x v="2"/>
    <x v="3"/>
    <n v="5.52"/>
  </r>
  <r>
    <n v="70"/>
    <n v="372"/>
    <s v="10-P6S3C1FS"/>
    <x v="2"/>
    <x v="3"/>
    <x v="1"/>
    <n v="5.95"/>
  </r>
  <r>
    <n v="71"/>
    <n v="1075"/>
    <s v="61AA4"/>
    <x v="1"/>
    <x v="1"/>
    <x v="2"/>
    <n v="4.6500000000000004"/>
  </r>
  <r>
    <n v="72"/>
    <n v="1045"/>
    <s v="64AA4"/>
    <x v="1"/>
    <x v="1"/>
    <x v="2"/>
    <n v="4.71"/>
  </r>
  <r>
    <n v="73"/>
    <n v="177"/>
    <s v="10-P3S4C2AA"/>
    <x v="1"/>
    <x v="3"/>
    <x v="3"/>
    <n v="6.02"/>
  </r>
  <r>
    <n v="74"/>
    <n v="121"/>
    <s v="25-P1S5C1AA"/>
    <x v="1"/>
    <x v="2"/>
    <x v="1"/>
    <n v="5.77"/>
  </r>
  <r>
    <n v="75"/>
    <n v="43"/>
    <s v="10-P1S2C1AA"/>
    <x v="1"/>
    <x v="3"/>
    <x v="1"/>
    <n v="5.5"/>
  </r>
  <r>
    <n v="76"/>
    <n v="1078"/>
    <s v="61FS4"/>
    <x v="2"/>
    <x v="1"/>
    <x v="2"/>
    <n v="5.33"/>
  </r>
  <r>
    <n v="77"/>
    <n v="411"/>
    <s v="10-P6S5C2FS -b"/>
    <x v="2"/>
    <x v="3"/>
    <x v="3"/>
    <n v="4.96"/>
  </r>
  <r>
    <n v="78"/>
    <n v="381"/>
    <s v="25-P6S4C1FS"/>
    <x v="2"/>
    <x v="2"/>
    <x v="1"/>
    <n v="5.78"/>
  </r>
  <r>
    <n v="79"/>
    <n v="392"/>
    <s v="10-P6S4C2FS"/>
    <x v="2"/>
    <x v="3"/>
    <x v="3"/>
    <n v="5.01"/>
  </r>
  <r>
    <n v="80"/>
    <n v="338"/>
    <s v="10-P6S1C2FS"/>
    <x v="2"/>
    <x v="3"/>
    <x v="3"/>
    <n v="5.17"/>
  </r>
  <r>
    <n v="81"/>
    <n v="367"/>
    <s v="10-P6S3C1AA -b"/>
    <x v="1"/>
    <x v="3"/>
    <x v="1"/>
    <n v="5.68"/>
  </r>
  <r>
    <n v="82"/>
    <n v="353"/>
    <s v="10-P6S2C4AA -b"/>
    <x v="1"/>
    <x v="3"/>
    <x v="2"/>
    <n v="4.07"/>
  </r>
  <r>
    <n v="83"/>
    <n v="354"/>
    <s v="10-P6S2C1FS"/>
    <x v="2"/>
    <x v="3"/>
    <x v="1"/>
    <n v="5.81"/>
  </r>
  <r>
    <n v="84"/>
    <n v="169"/>
    <s v="10-P3S3C4FS"/>
    <x v="2"/>
    <x v="3"/>
    <x v="2"/>
    <n v="4.22"/>
  </r>
  <r>
    <n v="85"/>
    <n v="192"/>
    <s v="10-P3S5C2FS"/>
    <x v="2"/>
    <x v="3"/>
    <x v="3"/>
    <n v="5.3"/>
  </r>
  <r>
    <n v="86"/>
    <n v="1044"/>
    <s v="64AA2"/>
    <x v="1"/>
    <x v="1"/>
    <x v="3"/>
    <n v="5.45"/>
  </r>
  <r>
    <n v="87"/>
    <n v="389"/>
    <s v="10-P6S4C4AA -b"/>
    <x v="1"/>
    <x v="3"/>
    <x v="2"/>
    <n v="3.67"/>
  </r>
  <r>
    <n v="88"/>
    <n v="143"/>
    <s v="10-P3S1C1FS"/>
    <x v="2"/>
    <x v="3"/>
    <x v="1"/>
    <n v="5.19"/>
  </r>
  <r>
    <n v="89"/>
    <n v="388"/>
    <s v="10-P6S4C4AA"/>
    <x v="1"/>
    <x v="3"/>
    <x v="2"/>
    <n v="3.98"/>
  </r>
  <r>
    <n v="90"/>
    <n v="387"/>
    <s v="10-P6S4C2AA -b"/>
    <x v="1"/>
    <x v="3"/>
    <x v="3"/>
    <n v="5.8"/>
  </r>
  <r>
    <n v="91"/>
    <n v="165"/>
    <s v="10-P3S3C2AA"/>
    <x v="1"/>
    <x v="3"/>
    <x v="3"/>
    <n v="5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CE2F3-4B13-4611-809E-943A0D35F188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C13" firstHeaderRow="0" firstDataRow="1" firstDataCol="1"/>
  <pivotFields count="17"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/>
    <pivotField axis="axisRow" showAll="0">
      <items count="3">
        <item x="1"/>
        <item x="0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</pivotFields>
  <rowFields count="2">
    <field x="16"/>
    <field x="1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Total Klassen lignin" fld="12" subtotal="average" baseField="16" baseItem="0"/>
    <dataField name="Desvest de Total Klassen lignin" fld="12" subtotal="stdDev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DE711-B92A-4445-B8E6-D3E4C71EBB83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C33" firstHeaderRow="0" firstDataRow="1" firstDataCol="1"/>
  <pivotFields count="7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dataField="1" showAll="0"/>
  </pivotFields>
  <rowFields count="3">
    <field x="3"/>
    <field x="4"/>
    <field x="5"/>
  </rowFields>
  <rowItems count="30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 v="3"/>
    </i>
    <i r="2">
      <x v="3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pH" fld="6" subtotal="average" baseField="4" baseItem="0"/>
    <dataField name="Desvest de pH" fld="6" subtotal="stdDev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7B6F37-13AB-4D22-8434-F22B859A8EAF}" name="Tabla3" displayName="Tabla3" ref="L20:R70" totalsRowShown="0">
  <autoFilter ref="L20:R70" xr:uid="{A87B6F37-13AB-4D22-8434-F22B859A8EAF}"/>
  <sortState xmlns:xlrd2="http://schemas.microsoft.com/office/spreadsheetml/2017/richdata2" ref="L21:R70">
    <sortCondition ref="Q20:Q70"/>
  </sortState>
  <tableColumns count="7">
    <tableColumn id="1" xr3:uid="{FC7CE35D-2F59-4837-8CE8-BF1FA6FF0530}" name="VRIJA Code"/>
    <tableColumn id="2" xr3:uid="{0ED20850-0261-43F4-9BB0-60DB8090A49E}" name="DeWood Code"/>
    <tableColumn id="3" xr3:uid="{32202879-2D15-4972-BA57-2D5F033884C9}" name="Code" dataDxfId="7"/>
    <tableColumn id="4" xr3:uid="{42DDC862-087E-4FD1-9F33-F500B324A8A0}" name="Species" dataDxfId="6"/>
    <tableColumn id="5" xr3:uid="{04574614-21A9-4A67-8F9E-CDA13A5A1816}" name="Diameter" dataDxfId="5"/>
    <tableColumn id="6" xr3:uid="{84BBFE0D-A207-4122-805F-6880B49B3716}" name="Class" dataDxfId="4"/>
    <tableColumn id="7" xr3:uid="{C24218E9-4FDE-4C0E-9ED0-8F333531DCDE}" name="pH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7B5C8E-64AC-42AF-A08D-F8F8784BC9F6}" name="Tabla2" displayName="Tabla2" ref="B124:N141" totalsRowShown="0">
  <autoFilter ref="B124:N141" xr:uid="{417B5C8E-64AC-42AF-A08D-F8F8784BC9F6}"/>
  <sortState xmlns:xlrd2="http://schemas.microsoft.com/office/spreadsheetml/2017/richdata2" ref="B125:N141">
    <sortCondition ref="M124:M141"/>
  </sortState>
  <tableColumns count="13">
    <tableColumn id="1" xr3:uid="{C3CE28D5-E305-42A3-88F4-B51F258B2BFD}" name="Sample"/>
    <tableColumn id="2" xr3:uid="{3C1C1888-42C0-43B1-A409-79CCFFF39095}" name="Avg Abs"/>
    <tableColumn id="3" xr3:uid="{D89225E6-8434-4E21-96A0-A60DE4A3988F}" name="C (g/L)"/>
    <tableColumn id="4" xr3:uid="{41BDC3E8-BCF6-46BC-AD5E-49DBB4E0124F}" name="volumen muestra (L)"/>
    <tableColumn id="5" xr3:uid="{23305B6F-E11E-4372-B3AF-3B87DD7041D4}" name="mg Lignina soluble"/>
    <tableColumn id="6" xr3:uid="{78F04A97-A720-4C64-9145-C350E2E4E371}" name="peso muestra (mg DW)"/>
    <tableColumn id="7" xr3:uid="{547CCDF1-0C46-421A-B4A9-BFDD8A04A9CF}" name="mg Lignin / mg sample"/>
    <tableColumn id="8" xr3:uid="{9A819BC9-27E3-4B5F-BDC4-87622E575217}" name="mg Lignin/g DW"/>
    <tableColumn id="9" xr3:uid="{990A1B5C-DBD9-4E7A-B736-8E5600A853B2}" name="% Soluble Lignin"/>
    <tableColumn id="10" xr3:uid="{65C30394-5393-4340-885F-52DAF852CCD0}" name="Columna1"/>
    <tableColumn id="11" xr3:uid="{2A448E5E-867B-443E-9F81-354EC22F56A5}" name="Diameter"/>
    <tableColumn id="12" xr3:uid="{ED2905B0-D36D-459C-B9D5-F0E1A29F7881}" name="Class">
      <calculatedColumnFormula>RIGHT(K125,1)</calculatedColumnFormula>
    </tableColumn>
    <tableColumn id="13" xr3:uid="{85B9F748-F27E-4147-B248-551D1A4AD133}" name="Species">
      <calculatedColumnFormula>LEFT(RIGHT(K125,3),2)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42438-D22A-4AAC-BA83-C94030A83D29}" name="Table1" displayName="Table1" ref="B144:N177" totalsRowShown="0" headerRowDxfId="3" tableBorderDxfId="2">
  <autoFilter ref="B144:N177" xr:uid="{BAB42438-D22A-4AAC-BA83-C94030A83D29}">
    <filterColumn colId="10">
      <filters>
        <filter val="10"/>
      </filters>
    </filterColumn>
  </autoFilter>
  <sortState xmlns:xlrd2="http://schemas.microsoft.com/office/spreadsheetml/2017/richdata2" ref="B145:N161">
    <sortCondition ref="N144:N177"/>
  </sortState>
  <tableColumns count="13">
    <tableColumn id="1" xr3:uid="{04A90107-6E53-47D1-90D3-F9C463E1634A}" name="Sample"/>
    <tableColumn id="2" xr3:uid="{4CB727B3-A332-4E6B-BFDE-EB1465F8E8E6}" name="Avg Abs"/>
    <tableColumn id="3" xr3:uid="{FE8EE45D-D431-4E64-BC31-387524DB916A}" name="C (g/L)"/>
    <tableColumn id="4" xr3:uid="{87438846-4241-41B1-8390-7D1509A10CD8}" name="volumen muestra (L)"/>
    <tableColumn id="5" xr3:uid="{769AC928-BA52-4311-9EF4-4AD4DE3FB669}" name="mg Lignina soluble"/>
    <tableColumn id="6" xr3:uid="{02E3448E-E66C-4D3F-85AB-3C9459105605}" name="peso muestra (mg DW)"/>
    <tableColumn id="7" xr3:uid="{ADACC6F9-620C-437C-A6A9-57D23439D1AE}" name="mg Lignin / mg sample"/>
    <tableColumn id="8" xr3:uid="{8A646B2A-A65F-407D-A27D-69E805A67036}" name="mg Lignin/g DW"/>
    <tableColumn id="9" xr3:uid="{34F88C2F-D590-4D92-924B-C6834D85F8A6}" name="% Soluble Lignin"/>
    <tableColumn id="10" xr3:uid="{08C09385-C131-46D5-A793-2322279B72D3}" name="Columna1"/>
    <tableColumn id="11" xr3:uid="{9414203F-259A-406F-B489-E40DE47FD34F}" name="Diameter">
      <calculatedColumnFormula>LEFT(K145,2)</calculatedColumnFormula>
    </tableColumn>
    <tableColumn id="12" xr3:uid="{AB680CC1-21D9-4BA9-8A12-93E25321551F}" name="Species">
      <calculatedColumnFormula>RIGHT(K145,2)</calculatedColumnFormula>
    </tableColumn>
    <tableColumn id="13" xr3:uid="{F592656B-14B2-4E87-B8ED-510E99270C13}" name="Class">
      <calculatedColumnFormula>LEFT(RIGHT(K145,3),1)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C488-466E-4FDC-BDE9-CA72016C44BD}">
  <dimension ref="A1:E272"/>
  <sheetViews>
    <sheetView topLeftCell="A232" workbookViewId="0">
      <selection activeCell="E260" sqref="E260"/>
    </sheetView>
  </sheetViews>
  <sheetFormatPr baseColWidth="10" defaultColWidth="11.44140625" defaultRowHeight="14.4" x14ac:dyDescent="0.3"/>
  <sheetData>
    <row r="1" spans="1:3" x14ac:dyDescent="0.3">
      <c r="A1" t="s">
        <v>0</v>
      </c>
      <c r="C1" t="s">
        <v>1</v>
      </c>
    </row>
    <row r="2" spans="1:3" x14ac:dyDescent="0.3">
      <c r="A2" t="s">
        <v>2</v>
      </c>
      <c r="B2" t="s">
        <v>944</v>
      </c>
      <c r="C2">
        <v>114</v>
      </c>
    </row>
    <row r="3" spans="1:3" x14ac:dyDescent="0.3">
      <c r="A3">
        <v>13</v>
      </c>
      <c r="B3" t="str">
        <f>_xlfn.CONCAT(RIGHT(LEFT($A$2,7),4),"-",A3)</f>
        <v>2768-13</v>
      </c>
      <c r="C3">
        <v>382</v>
      </c>
    </row>
    <row r="4" spans="1:3" x14ac:dyDescent="0.3">
      <c r="A4">
        <v>3</v>
      </c>
      <c r="B4" t="str">
        <f t="shared" ref="B4:B67" si="0">_xlfn.CONCAT(RIGHT(LEFT($A$2,7),4),"-",A4)</f>
        <v>2768-3</v>
      </c>
      <c r="C4">
        <v>37</v>
      </c>
    </row>
    <row r="5" spans="1:3" x14ac:dyDescent="0.3">
      <c r="A5">
        <v>2</v>
      </c>
      <c r="B5" t="str">
        <f t="shared" si="0"/>
        <v>2768-2</v>
      </c>
      <c r="C5">
        <v>364</v>
      </c>
    </row>
    <row r="6" spans="1:3" x14ac:dyDescent="0.3">
      <c r="A6">
        <v>16</v>
      </c>
      <c r="B6" t="str">
        <f t="shared" si="0"/>
        <v>2768-16</v>
      </c>
      <c r="C6">
        <v>190</v>
      </c>
    </row>
    <row r="7" spans="1:3" x14ac:dyDescent="0.3">
      <c r="A7">
        <v>11</v>
      </c>
      <c r="B7" t="str">
        <f t="shared" si="0"/>
        <v>2768-11</v>
      </c>
      <c r="C7">
        <v>381</v>
      </c>
    </row>
    <row r="8" spans="1:3" x14ac:dyDescent="0.3">
      <c r="A8">
        <v>15</v>
      </c>
      <c r="B8" t="str">
        <f t="shared" si="0"/>
        <v>2768-15</v>
      </c>
      <c r="C8">
        <v>176</v>
      </c>
    </row>
    <row r="9" spans="1:3" x14ac:dyDescent="0.3">
      <c r="A9">
        <v>12</v>
      </c>
      <c r="B9" t="str">
        <f t="shared" si="0"/>
        <v>2768-12</v>
      </c>
      <c r="C9">
        <v>75</v>
      </c>
    </row>
    <row r="10" spans="1:3" x14ac:dyDescent="0.3">
      <c r="A10">
        <v>9</v>
      </c>
      <c r="B10" t="str">
        <f t="shared" si="0"/>
        <v>2768-9</v>
      </c>
      <c r="C10">
        <v>137</v>
      </c>
    </row>
    <row r="11" spans="1:3" x14ac:dyDescent="0.3">
      <c r="A11">
        <v>18</v>
      </c>
      <c r="B11" t="str">
        <f t="shared" si="0"/>
        <v>2768-18</v>
      </c>
      <c r="C11">
        <v>1085</v>
      </c>
    </row>
    <row r="12" spans="1:3" x14ac:dyDescent="0.3">
      <c r="A12">
        <v>4</v>
      </c>
      <c r="B12" t="str">
        <f t="shared" si="0"/>
        <v>2768-4</v>
      </c>
      <c r="C12">
        <v>172</v>
      </c>
    </row>
    <row r="13" spans="1:3" x14ac:dyDescent="0.3">
      <c r="A13">
        <v>10</v>
      </c>
      <c r="B13" t="str">
        <f t="shared" si="0"/>
        <v>2768-10</v>
      </c>
      <c r="C13">
        <v>1090</v>
      </c>
    </row>
    <row r="14" spans="1:3" x14ac:dyDescent="0.3">
      <c r="A14">
        <v>7</v>
      </c>
      <c r="B14" t="str">
        <f t="shared" si="0"/>
        <v>2768-7</v>
      </c>
      <c r="C14">
        <v>1011</v>
      </c>
    </row>
    <row r="15" spans="1:3" x14ac:dyDescent="0.3">
      <c r="A15">
        <v>8</v>
      </c>
      <c r="B15" t="str">
        <f t="shared" si="0"/>
        <v>2768-8</v>
      </c>
      <c r="C15">
        <v>129</v>
      </c>
    </row>
    <row r="16" spans="1:3" x14ac:dyDescent="0.3">
      <c r="A16">
        <v>14</v>
      </c>
      <c r="B16" t="str">
        <f t="shared" si="0"/>
        <v>2768-14</v>
      </c>
      <c r="C16">
        <v>350</v>
      </c>
    </row>
    <row r="17" spans="1:3" x14ac:dyDescent="0.3">
      <c r="A17">
        <v>17</v>
      </c>
      <c r="B17" t="str">
        <f t="shared" si="0"/>
        <v>2768-17</v>
      </c>
      <c r="C17">
        <v>1070</v>
      </c>
    </row>
    <row r="18" spans="1:3" x14ac:dyDescent="0.3">
      <c r="A18">
        <v>5</v>
      </c>
      <c r="B18" t="str">
        <f t="shared" si="0"/>
        <v>2768-5</v>
      </c>
      <c r="C18">
        <v>192</v>
      </c>
    </row>
    <row r="19" spans="1:3" x14ac:dyDescent="0.3">
      <c r="A19">
        <v>32</v>
      </c>
      <c r="B19" t="str">
        <f t="shared" si="0"/>
        <v>2768-32</v>
      </c>
      <c r="C19">
        <v>1005</v>
      </c>
    </row>
    <row r="20" spans="1:3" x14ac:dyDescent="0.3">
      <c r="A20">
        <v>41</v>
      </c>
      <c r="B20" t="str">
        <f t="shared" si="0"/>
        <v>2768-41</v>
      </c>
      <c r="C20">
        <v>166</v>
      </c>
    </row>
    <row r="21" spans="1:3" x14ac:dyDescent="0.3">
      <c r="A21">
        <v>36</v>
      </c>
      <c r="B21" t="str">
        <f t="shared" si="0"/>
        <v>2768-36</v>
      </c>
      <c r="C21">
        <v>1038</v>
      </c>
    </row>
    <row r="22" spans="1:3" x14ac:dyDescent="0.3">
      <c r="A22">
        <v>27</v>
      </c>
      <c r="B22" t="str">
        <f t="shared" si="0"/>
        <v>2768-27</v>
      </c>
      <c r="C22">
        <v>1014</v>
      </c>
    </row>
    <row r="23" spans="1:3" x14ac:dyDescent="0.3">
      <c r="A23">
        <v>37</v>
      </c>
      <c r="B23" t="str">
        <f t="shared" si="0"/>
        <v>2768-37</v>
      </c>
      <c r="C23">
        <v>268</v>
      </c>
    </row>
    <row r="24" spans="1:3" x14ac:dyDescent="0.3">
      <c r="A24">
        <v>43</v>
      </c>
      <c r="B24" t="str">
        <f t="shared" si="0"/>
        <v>2768-43</v>
      </c>
      <c r="C24">
        <v>8</v>
      </c>
    </row>
    <row r="25" spans="1:3" x14ac:dyDescent="0.3">
      <c r="A25">
        <v>44</v>
      </c>
      <c r="B25" t="str">
        <f t="shared" si="0"/>
        <v>2768-44</v>
      </c>
      <c r="C25">
        <v>44</v>
      </c>
    </row>
    <row r="26" spans="1:3" x14ac:dyDescent="0.3">
      <c r="A26">
        <v>35</v>
      </c>
      <c r="B26" t="str">
        <f t="shared" si="0"/>
        <v>2768-35</v>
      </c>
      <c r="C26">
        <v>369</v>
      </c>
    </row>
    <row r="27" spans="1:3" x14ac:dyDescent="0.3">
      <c r="A27">
        <v>42</v>
      </c>
      <c r="B27" t="str">
        <f t="shared" si="0"/>
        <v>2768-42</v>
      </c>
      <c r="C27">
        <v>1044</v>
      </c>
    </row>
    <row r="28" spans="1:3" x14ac:dyDescent="0.3">
      <c r="A28">
        <v>31</v>
      </c>
      <c r="B28" t="str">
        <f t="shared" si="0"/>
        <v>2768-31</v>
      </c>
      <c r="C28">
        <v>380</v>
      </c>
    </row>
    <row r="29" spans="1:3" x14ac:dyDescent="0.3">
      <c r="A29">
        <v>30</v>
      </c>
      <c r="B29" t="str">
        <f t="shared" si="0"/>
        <v>2768-30</v>
      </c>
      <c r="C29">
        <v>1063</v>
      </c>
    </row>
    <row r="30" spans="1:3" x14ac:dyDescent="0.3">
      <c r="A30">
        <v>81</v>
      </c>
      <c r="B30" t="str">
        <f t="shared" si="0"/>
        <v>2768-81</v>
      </c>
      <c r="C30">
        <v>34</v>
      </c>
    </row>
    <row r="31" spans="1:3" x14ac:dyDescent="0.3">
      <c r="A31">
        <v>40</v>
      </c>
      <c r="B31" t="str">
        <f t="shared" si="0"/>
        <v>2768-40</v>
      </c>
      <c r="C31">
        <v>388</v>
      </c>
    </row>
    <row r="32" spans="1:3" x14ac:dyDescent="0.3">
      <c r="A32">
        <v>38</v>
      </c>
      <c r="B32" t="str">
        <f t="shared" si="0"/>
        <v>2768-38</v>
      </c>
      <c r="C32">
        <v>157</v>
      </c>
    </row>
    <row r="33" spans="1:3" x14ac:dyDescent="0.3">
      <c r="A33">
        <v>81</v>
      </c>
      <c r="B33" t="str">
        <f t="shared" si="0"/>
        <v>2768-81</v>
      </c>
      <c r="C33">
        <v>403</v>
      </c>
    </row>
    <row r="34" spans="1:3" x14ac:dyDescent="0.3">
      <c r="A34">
        <v>83</v>
      </c>
      <c r="B34" t="str">
        <f t="shared" si="0"/>
        <v>2768-83</v>
      </c>
      <c r="C34">
        <v>708</v>
      </c>
    </row>
    <row r="35" spans="1:3" x14ac:dyDescent="0.3">
      <c r="A35">
        <v>57</v>
      </c>
      <c r="B35" t="str">
        <f t="shared" si="0"/>
        <v>2768-57</v>
      </c>
      <c r="C35">
        <v>124</v>
      </c>
    </row>
    <row r="36" spans="1:3" x14ac:dyDescent="0.3">
      <c r="A36">
        <v>59</v>
      </c>
      <c r="B36" t="str">
        <f t="shared" si="0"/>
        <v>2768-59</v>
      </c>
      <c r="C36">
        <v>175</v>
      </c>
    </row>
    <row r="37" spans="1:3" x14ac:dyDescent="0.3">
      <c r="A37">
        <v>114</v>
      </c>
      <c r="B37" t="str">
        <f t="shared" si="0"/>
        <v>2768-114</v>
      </c>
      <c r="C37">
        <v>386</v>
      </c>
    </row>
    <row r="38" spans="1:3" x14ac:dyDescent="0.3">
      <c r="A38">
        <v>89</v>
      </c>
      <c r="B38" t="str">
        <f t="shared" si="0"/>
        <v>2768-89</v>
      </c>
      <c r="C38">
        <v>148</v>
      </c>
    </row>
    <row r="39" spans="1:3" x14ac:dyDescent="0.3">
      <c r="A39">
        <v>115</v>
      </c>
      <c r="B39" t="str">
        <f t="shared" si="0"/>
        <v>2768-115</v>
      </c>
      <c r="C39">
        <v>139</v>
      </c>
    </row>
    <row r="40" spans="1:3" x14ac:dyDescent="0.3">
      <c r="A40">
        <v>58</v>
      </c>
      <c r="B40" t="str">
        <f t="shared" si="0"/>
        <v>2768-58</v>
      </c>
      <c r="C40">
        <v>365</v>
      </c>
    </row>
    <row r="41" spans="1:3" x14ac:dyDescent="0.3">
      <c r="A41">
        <v>64</v>
      </c>
      <c r="B41" t="str">
        <f t="shared" si="0"/>
        <v>2768-64</v>
      </c>
      <c r="C41">
        <v>119</v>
      </c>
    </row>
    <row r="42" spans="1:3" x14ac:dyDescent="0.3">
      <c r="A42">
        <v>119</v>
      </c>
      <c r="B42" t="str">
        <f t="shared" si="0"/>
        <v>2768-119</v>
      </c>
      <c r="C42">
        <v>161</v>
      </c>
    </row>
    <row r="43" spans="1:3" x14ac:dyDescent="0.3">
      <c r="A43">
        <v>67</v>
      </c>
      <c r="B43" t="str">
        <f t="shared" si="0"/>
        <v>2768-67</v>
      </c>
      <c r="C43">
        <v>338</v>
      </c>
    </row>
    <row r="44" spans="1:3" x14ac:dyDescent="0.3">
      <c r="A44">
        <v>122</v>
      </c>
      <c r="B44" t="str">
        <f t="shared" si="0"/>
        <v>2768-122</v>
      </c>
      <c r="C44">
        <v>354</v>
      </c>
    </row>
    <row r="45" spans="1:3" x14ac:dyDescent="0.3">
      <c r="A45">
        <v>94</v>
      </c>
      <c r="B45" t="str">
        <f t="shared" si="0"/>
        <v>2768-94</v>
      </c>
      <c r="C45">
        <v>47</v>
      </c>
    </row>
    <row r="46" spans="1:3" x14ac:dyDescent="0.3">
      <c r="A46">
        <v>139</v>
      </c>
      <c r="B46" t="str">
        <f t="shared" si="0"/>
        <v>2768-139</v>
      </c>
      <c r="C46">
        <v>325</v>
      </c>
    </row>
    <row r="47" spans="1:3" x14ac:dyDescent="0.3">
      <c r="A47">
        <v>65</v>
      </c>
      <c r="B47" t="str">
        <f t="shared" si="0"/>
        <v>2768-65</v>
      </c>
      <c r="C47" t="s">
        <v>3</v>
      </c>
    </row>
    <row r="48" spans="1:3" x14ac:dyDescent="0.3">
      <c r="A48">
        <v>124</v>
      </c>
      <c r="B48" t="str">
        <f t="shared" si="0"/>
        <v>2768-124</v>
      </c>
      <c r="C48">
        <v>1075</v>
      </c>
    </row>
    <row r="49" spans="1:3" x14ac:dyDescent="0.3">
      <c r="A49">
        <v>269</v>
      </c>
      <c r="B49" t="str">
        <f t="shared" si="0"/>
        <v>2768-269</v>
      </c>
      <c r="C49">
        <v>82</v>
      </c>
    </row>
    <row r="50" spans="1:3" x14ac:dyDescent="0.3">
      <c r="A50">
        <v>147</v>
      </c>
      <c r="B50" t="str">
        <f t="shared" si="0"/>
        <v>2768-147</v>
      </c>
      <c r="C50">
        <v>1083</v>
      </c>
    </row>
    <row r="51" spans="1:3" x14ac:dyDescent="0.3">
      <c r="A51">
        <v>150</v>
      </c>
      <c r="B51" t="str">
        <f t="shared" si="0"/>
        <v>2768-150</v>
      </c>
      <c r="C51">
        <v>1012</v>
      </c>
    </row>
    <row r="52" spans="1:3" x14ac:dyDescent="0.3">
      <c r="A52">
        <v>270</v>
      </c>
      <c r="B52" t="str">
        <f t="shared" si="0"/>
        <v>2768-270</v>
      </c>
      <c r="C52">
        <v>143</v>
      </c>
    </row>
    <row r="53" spans="1:3" x14ac:dyDescent="0.3">
      <c r="A53">
        <v>71</v>
      </c>
      <c r="B53" t="str">
        <f t="shared" si="0"/>
        <v>2768-71</v>
      </c>
      <c r="C53">
        <v>142</v>
      </c>
    </row>
    <row r="54" spans="1:3" x14ac:dyDescent="0.3">
      <c r="A54">
        <v>145</v>
      </c>
      <c r="B54" t="str">
        <f t="shared" si="0"/>
        <v>2768-145</v>
      </c>
      <c r="C54">
        <v>346</v>
      </c>
    </row>
    <row r="55" spans="1:3" x14ac:dyDescent="0.3">
      <c r="A55">
        <v>123</v>
      </c>
      <c r="B55" t="str">
        <f t="shared" si="0"/>
        <v>2768-123</v>
      </c>
      <c r="C55">
        <v>332</v>
      </c>
    </row>
    <row r="56" spans="1:3" x14ac:dyDescent="0.3">
      <c r="A56">
        <v>96</v>
      </c>
      <c r="B56" t="str">
        <f t="shared" si="0"/>
        <v>2768-96</v>
      </c>
      <c r="C56">
        <v>146</v>
      </c>
    </row>
    <row r="57" spans="1:3" x14ac:dyDescent="0.3">
      <c r="A57">
        <v>148</v>
      </c>
      <c r="B57" t="str">
        <f t="shared" si="0"/>
        <v>2768-148</v>
      </c>
      <c r="C57">
        <v>328</v>
      </c>
    </row>
    <row r="58" spans="1:3" x14ac:dyDescent="0.3">
      <c r="A58">
        <v>151</v>
      </c>
      <c r="B58" t="str">
        <f t="shared" si="0"/>
        <v>2768-151</v>
      </c>
      <c r="C58">
        <v>128</v>
      </c>
    </row>
    <row r="59" spans="1:3" x14ac:dyDescent="0.3">
      <c r="A59">
        <v>137</v>
      </c>
      <c r="B59" t="str">
        <f t="shared" si="0"/>
        <v>2768-137</v>
      </c>
      <c r="C59">
        <v>135</v>
      </c>
    </row>
    <row r="60" spans="1:3" x14ac:dyDescent="0.3">
      <c r="A60">
        <v>85</v>
      </c>
      <c r="B60" t="str">
        <f t="shared" si="0"/>
        <v>2768-85</v>
      </c>
      <c r="C60">
        <v>1022</v>
      </c>
    </row>
    <row r="61" spans="1:3" x14ac:dyDescent="0.3">
      <c r="A61">
        <v>121</v>
      </c>
      <c r="B61" t="str">
        <f t="shared" si="0"/>
        <v>2768-121</v>
      </c>
      <c r="C61">
        <v>147</v>
      </c>
    </row>
    <row r="62" spans="1:3" x14ac:dyDescent="0.3">
      <c r="A62">
        <v>120</v>
      </c>
      <c r="B62" t="str">
        <f t="shared" si="0"/>
        <v>2768-120</v>
      </c>
      <c r="C62">
        <v>330</v>
      </c>
    </row>
    <row r="63" spans="1:3" x14ac:dyDescent="0.3">
      <c r="A63">
        <v>68</v>
      </c>
      <c r="B63" t="str">
        <f t="shared" si="0"/>
        <v>2768-68</v>
      </c>
      <c r="C63">
        <v>347</v>
      </c>
    </row>
    <row r="64" spans="1:3" x14ac:dyDescent="0.3">
      <c r="A64">
        <v>54</v>
      </c>
      <c r="B64" t="str">
        <f t="shared" si="0"/>
        <v>2768-54</v>
      </c>
      <c r="C64">
        <v>160</v>
      </c>
    </row>
    <row r="65" spans="1:3" x14ac:dyDescent="0.3">
      <c r="A65">
        <v>118</v>
      </c>
      <c r="B65" t="str">
        <f t="shared" si="0"/>
        <v>2768-118</v>
      </c>
      <c r="C65">
        <v>163</v>
      </c>
    </row>
    <row r="66" spans="1:3" x14ac:dyDescent="0.3">
      <c r="A66">
        <v>33</v>
      </c>
      <c r="B66" t="str">
        <f t="shared" si="0"/>
        <v>2768-33</v>
      </c>
      <c r="C66">
        <v>110</v>
      </c>
    </row>
    <row r="67" spans="1:3" x14ac:dyDescent="0.3">
      <c r="A67">
        <v>82</v>
      </c>
      <c r="B67" t="str">
        <f t="shared" si="0"/>
        <v>2768-82</v>
      </c>
      <c r="C67">
        <v>358</v>
      </c>
    </row>
    <row r="68" spans="1:3" x14ac:dyDescent="0.3">
      <c r="A68">
        <v>66</v>
      </c>
      <c r="B68" t="str">
        <f t="shared" ref="B68:B131" si="1">_xlfn.CONCAT(RIGHT(LEFT($A$2,7),4),"-",A68)</f>
        <v>2768-66</v>
      </c>
      <c r="C68">
        <v>1052</v>
      </c>
    </row>
    <row r="69" spans="1:3" x14ac:dyDescent="0.3">
      <c r="A69">
        <v>55</v>
      </c>
      <c r="B69" t="str">
        <f t="shared" si="1"/>
        <v>2768-55</v>
      </c>
      <c r="C69">
        <v>371</v>
      </c>
    </row>
    <row r="70" spans="1:3" x14ac:dyDescent="0.3">
      <c r="A70">
        <v>146</v>
      </c>
      <c r="B70" t="str">
        <f t="shared" si="1"/>
        <v>2768-146</v>
      </c>
      <c r="C70">
        <v>180</v>
      </c>
    </row>
    <row r="71" spans="1:3" x14ac:dyDescent="0.3">
      <c r="A71">
        <v>144</v>
      </c>
      <c r="B71" t="str">
        <f t="shared" si="1"/>
        <v>2768-144</v>
      </c>
      <c r="C71">
        <v>159</v>
      </c>
    </row>
    <row r="72" spans="1:3" x14ac:dyDescent="0.3">
      <c r="A72">
        <v>117</v>
      </c>
      <c r="B72" t="str">
        <f t="shared" si="1"/>
        <v>2768-117</v>
      </c>
      <c r="C72">
        <v>1064</v>
      </c>
    </row>
    <row r="73" spans="1:3" x14ac:dyDescent="0.3">
      <c r="A73">
        <v>96</v>
      </c>
      <c r="B73" t="str">
        <f t="shared" si="1"/>
        <v>2768-96</v>
      </c>
      <c r="C73">
        <v>1003</v>
      </c>
    </row>
    <row r="74" spans="1:3" x14ac:dyDescent="0.3">
      <c r="A74">
        <v>143</v>
      </c>
      <c r="B74" t="str">
        <f t="shared" si="1"/>
        <v>2768-143</v>
      </c>
      <c r="C74">
        <v>1016</v>
      </c>
    </row>
    <row r="75" spans="1:3" x14ac:dyDescent="0.3">
      <c r="A75">
        <v>56</v>
      </c>
      <c r="B75" t="str">
        <f t="shared" si="1"/>
        <v>2768-56</v>
      </c>
      <c r="C75">
        <v>6</v>
      </c>
    </row>
    <row r="76" spans="1:3" x14ac:dyDescent="0.3">
      <c r="A76">
        <v>136</v>
      </c>
      <c r="B76" t="str">
        <f t="shared" si="1"/>
        <v>2768-136</v>
      </c>
      <c r="C76">
        <v>184</v>
      </c>
    </row>
    <row r="77" spans="1:3" x14ac:dyDescent="0.3">
      <c r="A77">
        <v>87</v>
      </c>
      <c r="B77" t="str">
        <f t="shared" si="1"/>
        <v>2768-87</v>
      </c>
      <c r="C77">
        <v>46</v>
      </c>
    </row>
    <row r="78" spans="1:3" x14ac:dyDescent="0.3">
      <c r="A78">
        <v>91</v>
      </c>
      <c r="B78" t="str">
        <f t="shared" si="1"/>
        <v>2768-91</v>
      </c>
      <c r="C78">
        <v>167</v>
      </c>
    </row>
    <row r="79" spans="1:3" x14ac:dyDescent="0.3">
      <c r="A79">
        <v>88</v>
      </c>
      <c r="B79" t="str">
        <f t="shared" si="1"/>
        <v>2768-88</v>
      </c>
      <c r="C79">
        <v>1077</v>
      </c>
    </row>
    <row r="80" spans="1:3" x14ac:dyDescent="0.3">
      <c r="A80">
        <v>69</v>
      </c>
      <c r="B80" t="str">
        <f t="shared" si="1"/>
        <v>2768-69</v>
      </c>
      <c r="C80">
        <v>182</v>
      </c>
    </row>
    <row r="81" spans="1:3" x14ac:dyDescent="0.3">
      <c r="A81">
        <v>98</v>
      </c>
      <c r="B81" t="str">
        <f t="shared" si="1"/>
        <v>2768-98</v>
      </c>
      <c r="C81">
        <v>1054</v>
      </c>
    </row>
    <row r="82" spans="1:3" x14ac:dyDescent="0.3">
      <c r="A82">
        <v>39</v>
      </c>
      <c r="B82" t="str">
        <f t="shared" si="1"/>
        <v>2768-39</v>
      </c>
      <c r="C82">
        <v>1035</v>
      </c>
    </row>
    <row r="83" spans="1:3" x14ac:dyDescent="0.3">
      <c r="A83">
        <v>152</v>
      </c>
      <c r="B83" t="str">
        <f t="shared" si="1"/>
        <v>2768-152</v>
      </c>
      <c r="C83">
        <v>389</v>
      </c>
    </row>
    <row r="84" spans="1:3" x14ac:dyDescent="0.3">
      <c r="A84">
        <v>153</v>
      </c>
      <c r="B84" t="str">
        <f t="shared" si="1"/>
        <v>2768-153</v>
      </c>
      <c r="C84">
        <v>327</v>
      </c>
    </row>
    <row r="85" spans="1:3" x14ac:dyDescent="0.3">
      <c r="A85">
        <v>154</v>
      </c>
      <c r="B85" t="str">
        <f t="shared" si="1"/>
        <v>2768-154</v>
      </c>
      <c r="C85">
        <v>344</v>
      </c>
    </row>
    <row r="86" spans="1:3" x14ac:dyDescent="0.3">
      <c r="A86">
        <v>155</v>
      </c>
      <c r="B86" t="str">
        <f t="shared" si="1"/>
        <v>2768-155</v>
      </c>
      <c r="C86">
        <v>158</v>
      </c>
    </row>
    <row r="87" spans="1:3" x14ac:dyDescent="0.3">
      <c r="A87">
        <v>156</v>
      </c>
      <c r="B87" t="str">
        <f t="shared" si="1"/>
        <v>2768-156</v>
      </c>
      <c r="C87">
        <v>136</v>
      </c>
    </row>
    <row r="88" spans="1:3" x14ac:dyDescent="0.3">
      <c r="A88">
        <v>157</v>
      </c>
      <c r="B88" t="str">
        <f t="shared" si="1"/>
        <v>2768-157</v>
      </c>
      <c r="C88">
        <v>185</v>
      </c>
    </row>
    <row r="89" spans="1:3" x14ac:dyDescent="0.3">
      <c r="A89">
        <v>158</v>
      </c>
      <c r="B89" t="str">
        <f t="shared" si="1"/>
        <v>2768-158</v>
      </c>
      <c r="C89">
        <v>345</v>
      </c>
    </row>
    <row r="90" spans="1:3" x14ac:dyDescent="0.3">
      <c r="A90">
        <v>159</v>
      </c>
      <c r="B90" t="str">
        <f t="shared" si="1"/>
        <v>2768-159</v>
      </c>
      <c r="C90">
        <v>78</v>
      </c>
    </row>
    <row r="91" spans="1:3" x14ac:dyDescent="0.3">
      <c r="A91">
        <v>160</v>
      </c>
      <c r="B91" t="str">
        <f t="shared" si="1"/>
        <v>2768-160</v>
      </c>
      <c r="C91">
        <v>379</v>
      </c>
    </row>
    <row r="92" spans="1:3" x14ac:dyDescent="0.3">
      <c r="A92">
        <v>19</v>
      </c>
      <c r="B92" t="str">
        <f t="shared" si="1"/>
        <v>2768-19</v>
      </c>
      <c r="C92">
        <v>191</v>
      </c>
    </row>
    <row r="93" spans="1:3" x14ac:dyDescent="0.3">
      <c r="A93">
        <v>20</v>
      </c>
      <c r="B93" t="str">
        <f t="shared" si="1"/>
        <v>2768-20</v>
      </c>
      <c r="C93">
        <v>155</v>
      </c>
    </row>
    <row r="94" spans="1:3" x14ac:dyDescent="0.3">
      <c r="A94">
        <v>21</v>
      </c>
      <c r="B94" t="str">
        <f t="shared" si="1"/>
        <v>2768-21</v>
      </c>
      <c r="C94">
        <v>401</v>
      </c>
    </row>
    <row r="95" spans="1:3" x14ac:dyDescent="0.3">
      <c r="A95">
        <v>22</v>
      </c>
      <c r="B95" t="str">
        <f t="shared" si="1"/>
        <v>2768-22</v>
      </c>
      <c r="C95">
        <v>1</v>
      </c>
    </row>
    <row r="96" spans="1:3" x14ac:dyDescent="0.3">
      <c r="A96">
        <v>23</v>
      </c>
      <c r="B96" t="str">
        <f t="shared" si="1"/>
        <v>2768-23</v>
      </c>
      <c r="C96">
        <v>361</v>
      </c>
    </row>
    <row r="97" spans="1:3" x14ac:dyDescent="0.3">
      <c r="A97">
        <v>24</v>
      </c>
      <c r="B97" t="str">
        <f t="shared" si="1"/>
        <v>2768-24</v>
      </c>
      <c r="C97">
        <v>1072</v>
      </c>
    </row>
    <row r="98" spans="1:3" x14ac:dyDescent="0.3">
      <c r="A98">
        <v>25</v>
      </c>
      <c r="B98" t="str">
        <f t="shared" si="1"/>
        <v>2768-25</v>
      </c>
      <c r="C98">
        <v>410</v>
      </c>
    </row>
    <row r="99" spans="1:3" x14ac:dyDescent="0.3">
      <c r="A99">
        <v>26</v>
      </c>
      <c r="B99" t="str">
        <f t="shared" si="1"/>
        <v>2768-26</v>
      </c>
      <c r="C99">
        <v>76</v>
      </c>
    </row>
    <row r="100" spans="1:3" x14ac:dyDescent="0.3">
      <c r="A100">
        <v>179</v>
      </c>
      <c r="B100" t="str">
        <f t="shared" si="1"/>
        <v>2768-179</v>
      </c>
      <c r="C100">
        <v>138</v>
      </c>
    </row>
    <row r="101" spans="1:3" x14ac:dyDescent="0.3">
      <c r="A101">
        <v>1180</v>
      </c>
      <c r="B101" t="str">
        <f t="shared" si="1"/>
        <v>2768-1180</v>
      </c>
      <c r="C101">
        <v>1074</v>
      </c>
    </row>
    <row r="102" spans="1:3" x14ac:dyDescent="0.3">
      <c r="A102">
        <v>181</v>
      </c>
      <c r="B102" t="str">
        <f t="shared" si="1"/>
        <v>2768-181</v>
      </c>
      <c r="C102">
        <v>117</v>
      </c>
    </row>
    <row r="103" spans="1:3" x14ac:dyDescent="0.3">
      <c r="A103">
        <v>182</v>
      </c>
      <c r="B103" t="str">
        <f t="shared" si="1"/>
        <v>2768-182</v>
      </c>
      <c r="C103">
        <v>1076</v>
      </c>
    </row>
    <row r="104" spans="1:3" x14ac:dyDescent="0.3">
      <c r="A104">
        <v>183</v>
      </c>
      <c r="B104" t="str">
        <f t="shared" si="1"/>
        <v>2768-183</v>
      </c>
      <c r="C104">
        <v>45</v>
      </c>
    </row>
    <row r="105" spans="1:3" x14ac:dyDescent="0.3">
      <c r="A105">
        <v>45</v>
      </c>
      <c r="B105" t="str">
        <f t="shared" si="1"/>
        <v>2768-45</v>
      </c>
      <c r="C105">
        <v>374</v>
      </c>
    </row>
    <row r="106" spans="1:3" x14ac:dyDescent="0.3">
      <c r="A106">
        <v>46</v>
      </c>
      <c r="B106" t="str">
        <f t="shared" si="1"/>
        <v>2768-46</v>
      </c>
      <c r="C106">
        <v>381</v>
      </c>
    </row>
    <row r="107" spans="1:3" x14ac:dyDescent="0.3">
      <c r="A107">
        <v>47</v>
      </c>
      <c r="B107" t="str">
        <f t="shared" si="1"/>
        <v>2768-47</v>
      </c>
      <c r="C107">
        <v>1007</v>
      </c>
    </row>
    <row r="108" spans="1:3" x14ac:dyDescent="0.3">
      <c r="A108">
        <v>48</v>
      </c>
      <c r="B108" t="str">
        <f t="shared" si="1"/>
        <v>2768-48</v>
      </c>
      <c r="C108">
        <v>1084</v>
      </c>
    </row>
    <row r="109" spans="1:3" x14ac:dyDescent="0.3">
      <c r="A109">
        <v>49</v>
      </c>
      <c r="B109" t="str">
        <f t="shared" si="1"/>
        <v>2768-49</v>
      </c>
      <c r="C109">
        <v>1055</v>
      </c>
    </row>
    <row r="110" spans="1:3" x14ac:dyDescent="0.3">
      <c r="A110">
        <v>50</v>
      </c>
      <c r="B110" t="str">
        <f t="shared" si="1"/>
        <v>2768-50</v>
      </c>
      <c r="C110">
        <v>326</v>
      </c>
    </row>
    <row r="111" spans="1:3" x14ac:dyDescent="0.3">
      <c r="A111">
        <v>51</v>
      </c>
      <c r="B111" t="str">
        <f t="shared" si="1"/>
        <v>2768-51</v>
      </c>
      <c r="C111">
        <v>372</v>
      </c>
    </row>
    <row r="112" spans="1:3" x14ac:dyDescent="0.3">
      <c r="A112">
        <v>52</v>
      </c>
      <c r="B112" t="str">
        <f t="shared" si="1"/>
        <v>2768-52</v>
      </c>
      <c r="C112">
        <v>1032</v>
      </c>
    </row>
    <row r="113" spans="1:3" x14ac:dyDescent="0.3">
      <c r="A113">
        <v>53</v>
      </c>
      <c r="B113" t="str">
        <f t="shared" si="1"/>
        <v>2768-53</v>
      </c>
      <c r="C113">
        <v>1051</v>
      </c>
    </row>
    <row r="114" spans="1:3" x14ac:dyDescent="0.3">
      <c r="A114">
        <v>184</v>
      </c>
      <c r="B114" t="str">
        <f t="shared" si="1"/>
        <v>2768-184</v>
      </c>
      <c r="C114">
        <v>178</v>
      </c>
    </row>
    <row r="115" spans="1:3" x14ac:dyDescent="0.3">
      <c r="A115">
        <v>185</v>
      </c>
      <c r="B115" t="str">
        <f t="shared" si="1"/>
        <v>2768-185</v>
      </c>
      <c r="C115">
        <v>343</v>
      </c>
    </row>
    <row r="116" spans="1:3" x14ac:dyDescent="0.3">
      <c r="A116">
        <v>186</v>
      </c>
      <c r="B116" t="str">
        <f t="shared" si="1"/>
        <v>2768-186</v>
      </c>
      <c r="C116">
        <v>373</v>
      </c>
    </row>
    <row r="117" spans="1:3" x14ac:dyDescent="0.3">
      <c r="A117">
        <v>187</v>
      </c>
      <c r="B117" t="str">
        <f t="shared" si="1"/>
        <v>2768-187</v>
      </c>
      <c r="C117">
        <v>353</v>
      </c>
    </row>
    <row r="118" spans="1:3" x14ac:dyDescent="0.3">
      <c r="A118">
        <v>206</v>
      </c>
      <c r="B118" t="str">
        <f t="shared" si="1"/>
        <v>2768-206</v>
      </c>
      <c r="C118">
        <v>169</v>
      </c>
    </row>
    <row r="119" spans="1:3" x14ac:dyDescent="0.3">
      <c r="A119">
        <v>207</v>
      </c>
      <c r="B119" t="str">
        <f t="shared" si="1"/>
        <v>2768-207</v>
      </c>
      <c r="C119">
        <v>1088</v>
      </c>
    </row>
    <row r="120" spans="1:3" x14ac:dyDescent="0.3">
      <c r="A120">
        <v>208</v>
      </c>
      <c r="B120" t="str">
        <f t="shared" si="1"/>
        <v>2768-208</v>
      </c>
      <c r="C120">
        <v>113</v>
      </c>
    </row>
    <row r="121" spans="1:3" x14ac:dyDescent="0.3">
      <c r="A121">
        <v>209</v>
      </c>
      <c r="B121" t="str">
        <f t="shared" si="1"/>
        <v>2768-209</v>
      </c>
      <c r="C121">
        <v>115</v>
      </c>
    </row>
    <row r="122" spans="1:3" x14ac:dyDescent="0.3">
      <c r="A122">
        <v>72</v>
      </c>
      <c r="B122" t="str">
        <f t="shared" si="1"/>
        <v>2768-72</v>
      </c>
      <c r="C122">
        <v>1028</v>
      </c>
    </row>
    <row r="123" spans="1:3" x14ac:dyDescent="0.3">
      <c r="A123">
        <v>73</v>
      </c>
      <c r="B123" t="str">
        <f t="shared" si="1"/>
        <v>2768-73</v>
      </c>
      <c r="C123">
        <v>341</v>
      </c>
    </row>
    <row r="124" spans="1:3" x14ac:dyDescent="0.3">
      <c r="A124">
        <v>74</v>
      </c>
      <c r="B124" t="str">
        <f t="shared" si="1"/>
        <v>2768-74</v>
      </c>
      <c r="C124">
        <v>121</v>
      </c>
    </row>
    <row r="125" spans="1:3" x14ac:dyDescent="0.3">
      <c r="A125">
        <v>75</v>
      </c>
      <c r="B125" t="str">
        <f t="shared" si="1"/>
        <v>2768-75</v>
      </c>
      <c r="C125">
        <v>354</v>
      </c>
    </row>
    <row r="126" spans="1:3" x14ac:dyDescent="0.3">
      <c r="A126">
        <v>76</v>
      </c>
      <c r="B126" t="str">
        <f t="shared" si="1"/>
        <v>2768-76</v>
      </c>
      <c r="C126">
        <v>1039</v>
      </c>
    </row>
    <row r="127" spans="1:3" x14ac:dyDescent="0.3">
      <c r="A127">
        <v>77</v>
      </c>
      <c r="B127" t="str">
        <f t="shared" si="1"/>
        <v>2768-77</v>
      </c>
      <c r="C127">
        <v>1056</v>
      </c>
    </row>
    <row r="128" spans="1:3" x14ac:dyDescent="0.3">
      <c r="A128">
        <v>210</v>
      </c>
      <c r="B128" t="str">
        <f t="shared" si="1"/>
        <v>2768-210</v>
      </c>
      <c r="C128">
        <v>12</v>
      </c>
    </row>
    <row r="129" spans="1:3" x14ac:dyDescent="0.3">
      <c r="A129">
        <v>211</v>
      </c>
      <c r="B129" t="str">
        <f t="shared" si="1"/>
        <v>2768-211</v>
      </c>
      <c r="C129">
        <v>1050</v>
      </c>
    </row>
    <row r="130" spans="1:3" x14ac:dyDescent="0.3">
      <c r="A130">
        <v>212</v>
      </c>
      <c r="B130" t="str">
        <f t="shared" si="1"/>
        <v>2768-212</v>
      </c>
      <c r="C130">
        <v>1036</v>
      </c>
    </row>
    <row r="131" spans="1:3" x14ac:dyDescent="0.3">
      <c r="A131">
        <v>213</v>
      </c>
      <c r="B131" t="str">
        <f t="shared" si="1"/>
        <v>2768-213</v>
      </c>
      <c r="C131">
        <v>1004</v>
      </c>
    </row>
    <row r="132" spans="1:3" x14ac:dyDescent="0.3">
      <c r="A132">
        <v>214</v>
      </c>
      <c r="B132" t="str">
        <f t="shared" ref="B132:B195" si="2">_xlfn.CONCAT(RIGHT(LEFT($A$2,7),4),"-",A132)</f>
        <v>2768-214</v>
      </c>
      <c r="C132">
        <v>356</v>
      </c>
    </row>
    <row r="133" spans="1:3" x14ac:dyDescent="0.3">
      <c r="A133">
        <v>233</v>
      </c>
      <c r="B133" t="str">
        <f t="shared" si="2"/>
        <v>2768-233</v>
      </c>
      <c r="C133">
        <v>1018</v>
      </c>
    </row>
    <row r="134" spans="1:3" x14ac:dyDescent="0.3">
      <c r="A134">
        <v>234</v>
      </c>
      <c r="B134" t="str">
        <f t="shared" si="2"/>
        <v>2768-234</v>
      </c>
      <c r="C134">
        <v>394</v>
      </c>
    </row>
    <row r="135" spans="1:3" x14ac:dyDescent="0.3">
      <c r="A135">
        <v>235</v>
      </c>
      <c r="B135" t="str">
        <f t="shared" si="2"/>
        <v>2768-235</v>
      </c>
      <c r="C135">
        <v>1009</v>
      </c>
    </row>
    <row r="136" spans="1:3" x14ac:dyDescent="0.3">
      <c r="A136">
        <v>236</v>
      </c>
      <c r="B136" t="str">
        <f t="shared" si="2"/>
        <v>2768-236</v>
      </c>
      <c r="C136">
        <v>112</v>
      </c>
    </row>
    <row r="137" spans="1:3" x14ac:dyDescent="0.3">
      <c r="A137">
        <v>237</v>
      </c>
      <c r="B137" t="str">
        <f t="shared" si="2"/>
        <v>2768-237</v>
      </c>
      <c r="C137">
        <v>1027</v>
      </c>
    </row>
    <row r="138" spans="1:3" x14ac:dyDescent="0.3">
      <c r="A138">
        <v>78</v>
      </c>
      <c r="B138" t="str">
        <f t="shared" si="2"/>
        <v>2768-78</v>
      </c>
      <c r="C138">
        <v>118</v>
      </c>
    </row>
    <row r="139" spans="1:3" x14ac:dyDescent="0.3">
      <c r="A139">
        <v>79</v>
      </c>
      <c r="B139" t="str">
        <f t="shared" si="2"/>
        <v>2768-79</v>
      </c>
      <c r="C139">
        <v>1002</v>
      </c>
    </row>
    <row r="140" spans="1:3" x14ac:dyDescent="0.3">
      <c r="A140">
        <v>80</v>
      </c>
      <c r="B140" t="str">
        <f t="shared" si="2"/>
        <v>2768-80</v>
      </c>
      <c r="C140">
        <v>398</v>
      </c>
    </row>
    <row r="141" spans="1:3" x14ac:dyDescent="0.3">
      <c r="A141">
        <v>238</v>
      </c>
      <c r="B141" t="str">
        <f t="shared" si="2"/>
        <v>2768-238</v>
      </c>
      <c r="C141">
        <v>1081</v>
      </c>
    </row>
    <row r="142" spans="1:3" x14ac:dyDescent="0.3">
      <c r="A142">
        <v>239</v>
      </c>
      <c r="B142" t="str">
        <f t="shared" si="2"/>
        <v>2768-239</v>
      </c>
      <c r="C142">
        <v>1037</v>
      </c>
    </row>
    <row r="143" spans="1:3" x14ac:dyDescent="0.3">
      <c r="A143">
        <v>240</v>
      </c>
      <c r="B143" t="str">
        <f t="shared" si="2"/>
        <v>2768-240</v>
      </c>
      <c r="C143">
        <v>1086</v>
      </c>
    </row>
    <row r="144" spans="1:3" x14ac:dyDescent="0.3">
      <c r="A144">
        <v>241</v>
      </c>
      <c r="B144" t="str">
        <f t="shared" si="2"/>
        <v>2768-241</v>
      </c>
      <c r="C144">
        <v>349</v>
      </c>
    </row>
    <row r="145" spans="1:3" x14ac:dyDescent="0.3">
      <c r="A145">
        <v>100</v>
      </c>
      <c r="B145" t="str">
        <f t="shared" si="2"/>
        <v>2768-100</v>
      </c>
      <c r="C145">
        <v>407</v>
      </c>
    </row>
    <row r="146" spans="1:3" x14ac:dyDescent="0.3">
      <c r="A146">
        <v>101</v>
      </c>
      <c r="B146" t="str">
        <f t="shared" si="2"/>
        <v>2768-101</v>
      </c>
      <c r="C146">
        <v>387</v>
      </c>
    </row>
    <row r="147" spans="1:3" x14ac:dyDescent="0.3">
      <c r="A147">
        <v>102</v>
      </c>
      <c r="B147" t="str">
        <f t="shared" si="2"/>
        <v>2768-102</v>
      </c>
      <c r="C147">
        <v>404</v>
      </c>
    </row>
    <row r="148" spans="1:3" x14ac:dyDescent="0.3">
      <c r="A148">
        <v>103</v>
      </c>
      <c r="B148" t="str">
        <f t="shared" si="2"/>
        <v>2768-103</v>
      </c>
      <c r="C148">
        <v>375</v>
      </c>
    </row>
    <row r="149" spans="1:3" x14ac:dyDescent="0.3">
      <c r="A149">
        <v>104</v>
      </c>
      <c r="B149" t="str">
        <f t="shared" si="2"/>
        <v>2768-104</v>
      </c>
      <c r="C149">
        <v>1053</v>
      </c>
    </row>
    <row r="150" spans="1:3" x14ac:dyDescent="0.3">
      <c r="A150">
        <v>105</v>
      </c>
      <c r="B150" t="str">
        <f t="shared" si="2"/>
        <v>2768-105</v>
      </c>
      <c r="C150">
        <v>405</v>
      </c>
    </row>
    <row r="151" spans="1:3" x14ac:dyDescent="0.3">
      <c r="A151">
        <v>106</v>
      </c>
      <c r="B151" t="str">
        <f t="shared" si="2"/>
        <v>2768-106</v>
      </c>
      <c r="C151">
        <v>351</v>
      </c>
    </row>
    <row r="152" spans="1:3" x14ac:dyDescent="0.3">
      <c r="A152">
        <v>99</v>
      </c>
      <c r="B152" t="str">
        <f t="shared" si="2"/>
        <v>2768-99</v>
      </c>
      <c r="C152">
        <v>1079</v>
      </c>
    </row>
    <row r="153" spans="1:3" x14ac:dyDescent="0.3">
      <c r="A153">
        <v>260</v>
      </c>
      <c r="B153" t="str">
        <f t="shared" si="2"/>
        <v>2768-260</v>
      </c>
      <c r="C153">
        <v>352</v>
      </c>
    </row>
    <row r="154" spans="1:3" x14ac:dyDescent="0.3">
      <c r="A154">
        <v>261</v>
      </c>
      <c r="B154" t="str">
        <f t="shared" si="2"/>
        <v>2768-261</v>
      </c>
      <c r="C154">
        <v>1089</v>
      </c>
    </row>
    <row r="155" spans="1:3" x14ac:dyDescent="0.3">
      <c r="A155">
        <v>262</v>
      </c>
      <c r="B155" t="str">
        <f t="shared" si="2"/>
        <v>2768-262</v>
      </c>
      <c r="C155">
        <v>156</v>
      </c>
    </row>
    <row r="156" spans="1:3" x14ac:dyDescent="0.3">
      <c r="A156">
        <v>263</v>
      </c>
      <c r="B156" t="str">
        <f t="shared" si="2"/>
        <v>2768-263</v>
      </c>
      <c r="C156">
        <v>1033</v>
      </c>
    </row>
    <row r="157" spans="1:3" x14ac:dyDescent="0.3">
      <c r="A157">
        <v>264</v>
      </c>
      <c r="B157" t="str">
        <f t="shared" si="2"/>
        <v>2768-264</v>
      </c>
      <c r="C157">
        <v>395</v>
      </c>
    </row>
    <row r="158" spans="1:3" x14ac:dyDescent="0.3">
      <c r="A158">
        <v>265</v>
      </c>
      <c r="B158" t="str">
        <f t="shared" si="2"/>
        <v>2768-265</v>
      </c>
      <c r="C158">
        <v>411</v>
      </c>
    </row>
    <row r="159" spans="1:3" x14ac:dyDescent="0.3">
      <c r="A159">
        <v>266</v>
      </c>
      <c r="B159" t="str">
        <f t="shared" si="2"/>
        <v>2768-266</v>
      </c>
      <c r="C159">
        <v>1078</v>
      </c>
    </row>
    <row r="160" spans="1:3" x14ac:dyDescent="0.3">
      <c r="A160">
        <v>267</v>
      </c>
      <c r="B160" t="str">
        <f t="shared" si="2"/>
        <v>2768-267</v>
      </c>
      <c r="C160">
        <v>168</v>
      </c>
    </row>
    <row r="161" spans="1:3" x14ac:dyDescent="0.3">
      <c r="A161">
        <v>268</v>
      </c>
      <c r="B161" t="str">
        <f t="shared" si="2"/>
        <v>2768-268</v>
      </c>
      <c r="C161">
        <v>409</v>
      </c>
    </row>
    <row r="162" spans="1:3" x14ac:dyDescent="0.3">
      <c r="A162">
        <v>161</v>
      </c>
      <c r="B162" t="str">
        <f t="shared" si="2"/>
        <v>2768-161</v>
      </c>
      <c r="C162">
        <v>1026</v>
      </c>
    </row>
    <row r="163" spans="1:3" x14ac:dyDescent="0.3">
      <c r="A163">
        <v>162</v>
      </c>
      <c r="B163" t="str">
        <f t="shared" si="2"/>
        <v>2768-162</v>
      </c>
      <c r="C163">
        <v>188</v>
      </c>
    </row>
    <row r="164" spans="1:3" x14ac:dyDescent="0.3">
      <c r="A164">
        <v>163</v>
      </c>
      <c r="B164" t="str">
        <f t="shared" si="2"/>
        <v>2768-163</v>
      </c>
      <c r="C164">
        <v>367</v>
      </c>
    </row>
    <row r="165" spans="1:3" x14ac:dyDescent="0.3">
      <c r="A165">
        <v>164</v>
      </c>
      <c r="B165" t="str">
        <f t="shared" si="2"/>
        <v>2768-164</v>
      </c>
      <c r="C165">
        <v>149</v>
      </c>
    </row>
    <row r="166" spans="1:3" x14ac:dyDescent="0.3">
      <c r="A166">
        <v>165</v>
      </c>
      <c r="B166" t="str">
        <f t="shared" si="2"/>
        <v>2768-165</v>
      </c>
      <c r="C166">
        <v>1048</v>
      </c>
    </row>
    <row r="167" spans="1:3" x14ac:dyDescent="0.3">
      <c r="A167">
        <v>166</v>
      </c>
      <c r="B167" t="str">
        <f t="shared" si="2"/>
        <v>2768-166</v>
      </c>
      <c r="C167">
        <v>1006</v>
      </c>
    </row>
    <row r="168" spans="1:3" x14ac:dyDescent="0.3">
      <c r="A168">
        <v>167</v>
      </c>
      <c r="B168" t="str">
        <f t="shared" si="2"/>
        <v>2768-167</v>
      </c>
      <c r="C168">
        <v>9</v>
      </c>
    </row>
    <row r="169" spans="1:3" x14ac:dyDescent="0.3">
      <c r="A169">
        <v>168</v>
      </c>
      <c r="B169" t="str">
        <f t="shared" si="2"/>
        <v>2768-168</v>
      </c>
      <c r="C169">
        <v>1045</v>
      </c>
    </row>
    <row r="170" spans="1:3" x14ac:dyDescent="0.3">
      <c r="A170">
        <v>169</v>
      </c>
      <c r="B170" t="str">
        <f t="shared" si="2"/>
        <v>2768-169</v>
      </c>
      <c r="C170">
        <v>334</v>
      </c>
    </row>
    <row r="171" spans="1:3" x14ac:dyDescent="0.3">
      <c r="A171">
        <v>125</v>
      </c>
      <c r="B171" t="str">
        <f t="shared" si="2"/>
        <v>2768-125</v>
      </c>
      <c r="C171">
        <v>377</v>
      </c>
    </row>
    <row r="172" spans="1:3" x14ac:dyDescent="0.3">
      <c r="A172">
        <v>126</v>
      </c>
      <c r="B172" t="str">
        <f t="shared" si="2"/>
        <v>2768-126</v>
      </c>
      <c r="C172">
        <v>131</v>
      </c>
    </row>
    <row r="173" spans="1:3" x14ac:dyDescent="0.3">
      <c r="A173">
        <v>127</v>
      </c>
      <c r="B173" t="str">
        <f t="shared" si="2"/>
        <v>2768-127</v>
      </c>
      <c r="C173">
        <v>1047</v>
      </c>
    </row>
    <row r="174" spans="1:3" x14ac:dyDescent="0.3">
      <c r="A174">
        <v>128</v>
      </c>
      <c r="B174" t="str">
        <f t="shared" si="2"/>
        <v>2768-128</v>
      </c>
      <c r="C174">
        <v>181</v>
      </c>
    </row>
    <row r="175" spans="1:3" x14ac:dyDescent="0.3">
      <c r="A175">
        <v>129</v>
      </c>
      <c r="B175" t="str">
        <f t="shared" si="2"/>
        <v>2768-129</v>
      </c>
      <c r="C175">
        <v>1031</v>
      </c>
    </row>
    <row r="176" spans="1:3" x14ac:dyDescent="0.3">
      <c r="A176">
        <v>130</v>
      </c>
      <c r="B176" t="str">
        <f t="shared" si="2"/>
        <v>2768-130</v>
      </c>
      <c r="C176">
        <v>132</v>
      </c>
    </row>
    <row r="177" spans="1:3" x14ac:dyDescent="0.3">
      <c r="A177">
        <v>131</v>
      </c>
      <c r="B177" t="str">
        <f t="shared" si="2"/>
        <v>2768-131</v>
      </c>
      <c r="C177">
        <v>1071</v>
      </c>
    </row>
    <row r="178" spans="1:3" x14ac:dyDescent="0.3">
      <c r="A178">
        <v>132</v>
      </c>
      <c r="B178" t="str">
        <f t="shared" si="2"/>
        <v>2768-132</v>
      </c>
      <c r="C178">
        <v>379</v>
      </c>
    </row>
    <row r="179" spans="1:3" x14ac:dyDescent="0.3">
      <c r="A179">
        <v>133</v>
      </c>
      <c r="B179" t="str">
        <f t="shared" si="2"/>
        <v>2768-133</v>
      </c>
      <c r="C179">
        <v>193</v>
      </c>
    </row>
    <row r="180" spans="1:3" x14ac:dyDescent="0.3">
      <c r="A180">
        <v>170</v>
      </c>
      <c r="B180" t="str">
        <f t="shared" si="2"/>
        <v>2768-170</v>
      </c>
      <c r="C180">
        <v>391</v>
      </c>
    </row>
    <row r="181" spans="1:3" x14ac:dyDescent="0.3">
      <c r="A181">
        <v>171</v>
      </c>
      <c r="B181" t="str">
        <f t="shared" si="2"/>
        <v>2768-171</v>
      </c>
      <c r="C181">
        <v>153</v>
      </c>
    </row>
    <row r="182" spans="1:3" x14ac:dyDescent="0.3">
      <c r="A182">
        <v>172</v>
      </c>
      <c r="B182" t="str">
        <f t="shared" si="2"/>
        <v>2768-172</v>
      </c>
      <c r="C182">
        <v>384</v>
      </c>
    </row>
    <row r="183" spans="1:3" x14ac:dyDescent="0.3">
      <c r="A183">
        <v>173</v>
      </c>
      <c r="B183" t="str">
        <f t="shared" si="2"/>
        <v>2768-173</v>
      </c>
      <c r="C183">
        <v>412</v>
      </c>
    </row>
    <row r="184" spans="1:3" x14ac:dyDescent="0.3">
      <c r="A184">
        <v>174</v>
      </c>
      <c r="B184" t="str">
        <f t="shared" si="2"/>
        <v>2768-174</v>
      </c>
      <c r="C184">
        <v>1067</v>
      </c>
    </row>
    <row r="185" spans="1:3" x14ac:dyDescent="0.3">
      <c r="A185">
        <v>175</v>
      </c>
      <c r="B185" t="str">
        <f t="shared" si="2"/>
        <v>2768-175</v>
      </c>
      <c r="C185">
        <v>179</v>
      </c>
    </row>
    <row r="186" spans="1:3" x14ac:dyDescent="0.3">
      <c r="A186">
        <v>176</v>
      </c>
      <c r="B186" t="str">
        <f t="shared" si="2"/>
        <v>2768-176</v>
      </c>
      <c r="C186">
        <v>363</v>
      </c>
    </row>
    <row r="187" spans="1:3" x14ac:dyDescent="0.3">
      <c r="A187">
        <v>197</v>
      </c>
      <c r="B187" t="str">
        <f t="shared" si="2"/>
        <v>2768-197</v>
      </c>
      <c r="C187">
        <v>2</v>
      </c>
    </row>
    <row r="188" spans="1:3" x14ac:dyDescent="0.3">
      <c r="A188">
        <v>198</v>
      </c>
      <c r="B188" t="str">
        <f t="shared" si="2"/>
        <v>2768-198</v>
      </c>
      <c r="C188">
        <v>1019</v>
      </c>
    </row>
    <row r="189" spans="1:3" x14ac:dyDescent="0.3">
      <c r="A189">
        <v>199</v>
      </c>
      <c r="B189" t="str">
        <f t="shared" si="2"/>
        <v>2768-199</v>
      </c>
      <c r="C189">
        <v>1023</v>
      </c>
    </row>
    <row r="190" spans="1:3" x14ac:dyDescent="0.3">
      <c r="A190">
        <v>200</v>
      </c>
      <c r="B190" t="str">
        <f t="shared" si="2"/>
        <v>2768-200</v>
      </c>
      <c r="C190">
        <v>164</v>
      </c>
    </row>
    <row r="191" spans="1:3" x14ac:dyDescent="0.3">
      <c r="A191">
        <v>201</v>
      </c>
      <c r="B191" t="str">
        <f t="shared" si="2"/>
        <v>2768-201</v>
      </c>
      <c r="C191">
        <v>109</v>
      </c>
    </row>
    <row r="192" spans="1:3" x14ac:dyDescent="0.3">
      <c r="A192">
        <v>202</v>
      </c>
      <c r="B192" t="str">
        <f t="shared" si="2"/>
        <v>2768-202</v>
      </c>
      <c r="C192">
        <v>4</v>
      </c>
    </row>
    <row r="193" spans="1:3" x14ac:dyDescent="0.3">
      <c r="A193">
        <v>203</v>
      </c>
      <c r="B193" t="str">
        <f t="shared" si="2"/>
        <v>2768-203</v>
      </c>
      <c r="C193">
        <v>392</v>
      </c>
    </row>
    <row r="194" spans="1:3" x14ac:dyDescent="0.3">
      <c r="A194">
        <v>204</v>
      </c>
      <c r="B194" t="str">
        <f t="shared" si="2"/>
        <v>2768-204</v>
      </c>
      <c r="C194">
        <v>400</v>
      </c>
    </row>
    <row r="195" spans="1:3" x14ac:dyDescent="0.3">
      <c r="A195">
        <v>205</v>
      </c>
      <c r="B195" t="str">
        <f t="shared" si="2"/>
        <v>2768-205</v>
      </c>
      <c r="C195">
        <v>143</v>
      </c>
    </row>
    <row r="196" spans="1:3" x14ac:dyDescent="0.3">
      <c r="A196">
        <v>177</v>
      </c>
      <c r="B196" t="str">
        <f t="shared" ref="B196:B259" si="3">_xlfn.CONCAT(RIGHT(LEFT($A$2,7),4),"-",A196)</f>
        <v>2768-177</v>
      </c>
      <c r="C196">
        <v>1046</v>
      </c>
    </row>
    <row r="197" spans="1:3" x14ac:dyDescent="0.3">
      <c r="A197">
        <v>178</v>
      </c>
      <c r="B197" t="str">
        <f t="shared" si="3"/>
        <v>2768-178</v>
      </c>
      <c r="C197">
        <v>385</v>
      </c>
    </row>
    <row r="198" spans="1:3" x14ac:dyDescent="0.3">
      <c r="A198">
        <v>188</v>
      </c>
      <c r="B198" t="str">
        <f t="shared" si="3"/>
        <v>2768-188</v>
      </c>
      <c r="C198">
        <v>5</v>
      </c>
    </row>
    <row r="199" spans="1:3" x14ac:dyDescent="0.3">
      <c r="A199">
        <v>189</v>
      </c>
      <c r="B199" t="str">
        <f t="shared" si="3"/>
        <v>2768-189</v>
      </c>
      <c r="C199">
        <v>11</v>
      </c>
    </row>
    <row r="200" spans="1:3" x14ac:dyDescent="0.3">
      <c r="A200">
        <v>190</v>
      </c>
      <c r="B200" t="str">
        <f t="shared" si="3"/>
        <v>2768-190</v>
      </c>
      <c r="C200">
        <v>1002</v>
      </c>
    </row>
    <row r="201" spans="1:3" x14ac:dyDescent="0.3">
      <c r="A201">
        <v>191</v>
      </c>
      <c r="B201" t="str">
        <f t="shared" si="3"/>
        <v>2768-191</v>
      </c>
      <c r="C201">
        <v>335</v>
      </c>
    </row>
    <row r="202" spans="1:3" x14ac:dyDescent="0.3">
      <c r="A202">
        <v>192</v>
      </c>
      <c r="B202" t="str">
        <f t="shared" si="3"/>
        <v>2768-192</v>
      </c>
      <c r="C202">
        <v>1041</v>
      </c>
    </row>
    <row r="203" spans="1:3" x14ac:dyDescent="0.3">
      <c r="A203">
        <v>193</v>
      </c>
      <c r="B203" t="str">
        <f t="shared" si="3"/>
        <v>2768-193</v>
      </c>
      <c r="C203">
        <v>165</v>
      </c>
    </row>
    <row r="204" spans="1:3" x14ac:dyDescent="0.3">
      <c r="A204">
        <v>194</v>
      </c>
      <c r="B204" t="str">
        <f t="shared" si="3"/>
        <v>2768-194</v>
      </c>
      <c r="C204">
        <v>140</v>
      </c>
    </row>
    <row r="205" spans="1:3" x14ac:dyDescent="0.3">
      <c r="A205">
        <v>195</v>
      </c>
      <c r="B205" t="str">
        <f t="shared" si="3"/>
        <v>2768-195</v>
      </c>
      <c r="C205">
        <v>1080</v>
      </c>
    </row>
    <row r="206" spans="1:3" x14ac:dyDescent="0.3">
      <c r="A206">
        <v>196</v>
      </c>
      <c r="B206" t="str">
        <f t="shared" si="3"/>
        <v>2768-196</v>
      </c>
      <c r="C206">
        <v>370</v>
      </c>
    </row>
    <row r="207" spans="1:3" x14ac:dyDescent="0.3">
      <c r="A207">
        <v>215</v>
      </c>
      <c r="B207" t="str">
        <f t="shared" si="3"/>
        <v>2768-215</v>
      </c>
      <c r="C207">
        <v>133</v>
      </c>
    </row>
    <row r="208" spans="1:3" x14ac:dyDescent="0.3">
      <c r="A208">
        <v>216</v>
      </c>
      <c r="B208" t="str">
        <f t="shared" si="3"/>
        <v>2768-216</v>
      </c>
      <c r="C208">
        <v>171</v>
      </c>
    </row>
    <row r="209" spans="1:3" x14ac:dyDescent="0.3">
      <c r="A209">
        <v>217</v>
      </c>
      <c r="B209" t="str">
        <f t="shared" si="3"/>
        <v>2768-217</v>
      </c>
      <c r="C209">
        <v>41</v>
      </c>
    </row>
    <row r="210" spans="1:3" x14ac:dyDescent="0.3">
      <c r="A210">
        <v>218</v>
      </c>
      <c r="B210" t="str">
        <f t="shared" si="3"/>
        <v>2768-218</v>
      </c>
      <c r="C210">
        <v>39</v>
      </c>
    </row>
    <row r="211" spans="1:3" x14ac:dyDescent="0.3">
      <c r="A211">
        <v>219</v>
      </c>
      <c r="B211" t="str">
        <f t="shared" si="3"/>
        <v>2768-219</v>
      </c>
      <c r="C211">
        <v>183</v>
      </c>
    </row>
    <row r="212" spans="1:3" x14ac:dyDescent="0.3">
      <c r="A212">
        <v>220</v>
      </c>
      <c r="B212" t="str">
        <f t="shared" si="3"/>
        <v>2768-220</v>
      </c>
      <c r="C212">
        <v>1043</v>
      </c>
    </row>
    <row r="213" spans="1:3" x14ac:dyDescent="0.3">
      <c r="A213">
        <v>221</v>
      </c>
      <c r="B213" t="str">
        <f t="shared" si="3"/>
        <v>2768-221</v>
      </c>
      <c r="C213">
        <v>1017</v>
      </c>
    </row>
    <row r="214" spans="1:3" x14ac:dyDescent="0.3">
      <c r="A214">
        <v>222</v>
      </c>
      <c r="B214" t="str">
        <f t="shared" si="3"/>
        <v>2768-222</v>
      </c>
      <c r="C214">
        <v>38</v>
      </c>
    </row>
    <row r="215" spans="1:3" x14ac:dyDescent="0.3">
      <c r="A215">
        <v>223</v>
      </c>
      <c r="B215" t="str">
        <f t="shared" si="3"/>
        <v>2768-223</v>
      </c>
      <c r="C215">
        <v>402</v>
      </c>
    </row>
    <row r="216" spans="1:3" x14ac:dyDescent="0.3">
      <c r="A216">
        <v>224</v>
      </c>
      <c r="B216" t="str">
        <f t="shared" si="3"/>
        <v>2768-224</v>
      </c>
      <c r="C216">
        <v>77</v>
      </c>
    </row>
    <row r="217" spans="1:3" x14ac:dyDescent="0.3">
      <c r="A217">
        <v>225</v>
      </c>
      <c r="B217" t="str">
        <f t="shared" si="3"/>
        <v>2768-225</v>
      </c>
      <c r="C217">
        <v>111</v>
      </c>
    </row>
    <row r="218" spans="1:3" x14ac:dyDescent="0.3">
      <c r="A218">
        <v>226</v>
      </c>
      <c r="B218" t="str">
        <f t="shared" si="3"/>
        <v>2768-226</v>
      </c>
      <c r="C218">
        <v>406</v>
      </c>
    </row>
    <row r="219" spans="1:3" x14ac:dyDescent="0.3">
      <c r="A219">
        <v>227</v>
      </c>
      <c r="B219" t="str">
        <f t="shared" si="3"/>
        <v>2768-227</v>
      </c>
      <c r="C219">
        <v>392</v>
      </c>
    </row>
    <row r="220" spans="1:3" x14ac:dyDescent="0.3">
      <c r="A220">
        <v>228</v>
      </c>
      <c r="B220" t="str">
        <f t="shared" si="3"/>
        <v>2768-228</v>
      </c>
      <c r="C220">
        <v>154</v>
      </c>
    </row>
    <row r="221" spans="1:3" x14ac:dyDescent="0.3">
      <c r="A221">
        <v>229</v>
      </c>
      <c r="B221" t="str">
        <f t="shared" si="3"/>
        <v>2768-229</v>
      </c>
      <c r="C221">
        <v>1084</v>
      </c>
    </row>
    <row r="222" spans="1:3" x14ac:dyDescent="0.3">
      <c r="A222">
        <v>230</v>
      </c>
      <c r="B222" t="str">
        <f t="shared" si="3"/>
        <v>2768-230</v>
      </c>
      <c r="C222">
        <v>43</v>
      </c>
    </row>
    <row r="223" spans="1:3" x14ac:dyDescent="0.3">
      <c r="A223">
        <v>231</v>
      </c>
      <c r="B223" t="str">
        <f t="shared" si="3"/>
        <v>2768-231</v>
      </c>
      <c r="C223">
        <v>1049</v>
      </c>
    </row>
    <row r="224" spans="1:3" x14ac:dyDescent="0.3">
      <c r="A224">
        <v>232</v>
      </c>
      <c r="B224" t="str">
        <f t="shared" si="3"/>
        <v>2768-232</v>
      </c>
      <c r="C224">
        <v>48</v>
      </c>
    </row>
    <row r="225" spans="1:3" x14ac:dyDescent="0.3">
      <c r="A225">
        <v>251</v>
      </c>
      <c r="B225" t="str">
        <f t="shared" si="3"/>
        <v>2768-251</v>
      </c>
      <c r="C225">
        <v>74</v>
      </c>
    </row>
    <row r="226" spans="1:3" x14ac:dyDescent="0.3">
      <c r="A226">
        <v>252</v>
      </c>
      <c r="B226" t="str">
        <f t="shared" si="3"/>
        <v>2768-252</v>
      </c>
      <c r="C226">
        <v>12</v>
      </c>
    </row>
    <row r="227" spans="1:3" x14ac:dyDescent="0.3">
      <c r="A227">
        <v>253</v>
      </c>
      <c r="B227" t="str">
        <f t="shared" si="3"/>
        <v>2768-253</v>
      </c>
      <c r="C227">
        <v>141</v>
      </c>
    </row>
    <row r="228" spans="1:3" x14ac:dyDescent="0.3">
      <c r="A228">
        <v>254</v>
      </c>
      <c r="B228" t="str">
        <f t="shared" si="3"/>
        <v>2768-254</v>
      </c>
      <c r="C228">
        <v>355</v>
      </c>
    </row>
    <row r="229" spans="1:3" x14ac:dyDescent="0.3">
      <c r="A229">
        <v>255</v>
      </c>
      <c r="B229" t="str">
        <f t="shared" si="3"/>
        <v>2768-255</v>
      </c>
      <c r="C229">
        <v>1065</v>
      </c>
    </row>
    <row r="230" spans="1:3" x14ac:dyDescent="0.3">
      <c r="A230">
        <v>256</v>
      </c>
      <c r="B230" t="str">
        <f t="shared" si="3"/>
        <v>2768-256</v>
      </c>
      <c r="C230">
        <v>366</v>
      </c>
    </row>
    <row r="231" spans="1:3" x14ac:dyDescent="0.3">
      <c r="A231">
        <v>257</v>
      </c>
      <c r="B231" t="str">
        <f t="shared" si="3"/>
        <v>2768-257</v>
      </c>
      <c r="C231">
        <v>40</v>
      </c>
    </row>
    <row r="232" spans="1:3" x14ac:dyDescent="0.3">
      <c r="A232">
        <v>258</v>
      </c>
      <c r="B232" t="str">
        <f t="shared" si="3"/>
        <v>2768-258</v>
      </c>
      <c r="C232">
        <v>1021</v>
      </c>
    </row>
    <row r="233" spans="1:3" x14ac:dyDescent="0.3">
      <c r="A233">
        <v>242</v>
      </c>
      <c r="B233" t="str">
        <f t="shared" si="3"/>
        <v>2768-242</v>
      </c>
      <c r="C233">
        <v>177</v>
      </c>
    </row>
    <row r="234" spans="1:3" x14ac:dyDescent="0.3">
      <c r="A234">
        <v>243</v>
      </c>
      <c r="B234" t="str">
        <f t="shared" si="3"/>
        <v>2768-243</v>
      </c>
      <c r="C234">
        <v>408</v>
      </c>
    </row>
    <row r="235" spans="1:3" x14ac:dyDescent="0.3">
      <c r="A235">
        <v>244</v>
      </c>
      <c r="B235" t="str">
        <f t="shared" si="3"/>
        <v>2768-244</v>
      </c>
      <c r="C235">
        <v>1073</v>
      </c>
    </row>
    <row r="236" spans="1:3" x14ac:dyDescent="0.3">
      <c r="A236">
        <v>245</v>
      </c>
      <c r="B236" t="str">
        <f t="shared" si="3"/>
        <v>2768-245</v>
      </c>
      <c r="C236">
        <v>1059</v>
      </c>
    </row>
    <row r="237" spans="1:3" x14ac:dyDescent="0.3">
      <c r="A237">
        <v>246</v>
      </c>
      <c r="B237" t="str">
        <f t="shared" si="3"/>
        <v>2768-246</v>
      </c>
      <c r="C237">
        <v>1029</v>
      </c>
    </row>
    <row r="238" spans="1:3" x14ac:dyDescent="0.3">
      <c r="A238">
        <v>247</v>
      </c>
      <c r="B238" t="str">
        <f t="shared" si="3"/>
        <v>2768-247</v>
      </c>
      <c r="C238">
        <v>127</v>
      </c>
    </row>
    <row r="239" spans="1:3" x14ac:dyDescent="0.3">
      <c r="A239">
        <v>248</v>
      </c>
      <c r="B239" t="str">
        <f t="shared" si="3"/>
        <v>2768-248</v>
      </c>
      <c r="C239">
        <v>144</v>
      </c>
    </row>
    <row r="240" spans="1:3" x14ac:dyDescent="0.3">
      <c r="A240">
        <v>249</v>
      </c>
      <c r="B240" t="str">
        <f t="shared" si="3"/>
        <v>2768-249</v>
      </c>
      <c r="C240">
        <v>80</v>
      </c>
    </row>
    <row r="241" spans="1:3" x14ac:dyDescent="0.3">
      <c r="A241">
        <v>250</v>
      </c>
      <c r="B241" t="str">
        <f t="shared" si="3"/>
        <v>2768-250</v>
      </c>
      <c r="C241">
        <v>186</v>
      </c>
    </row>
    <row r="242" spans="1:3" x14ac:dyDescent="0.3">
      <c r="A242">
        <v>140</v>
      </c>
      <c r="B242" t="str">
        <f t="shared" si="3"/>
        <v>2768-140</v>
      </c>
      <c r="C242">
        <v>339</v>
      </c>
    </row>
    <row r="243" spans="1:3" x14ac:dyDescent="0.3">
      <c r="A243">
        <v>90</v>
      </c>
      <c r="B243" t="str">
        <f t="shared" si="3"/>
        <v>2768-90</v>
      </c>
      <c r="C243">
        <v>396</v>
      </c>
    </row>
    <row r="244" spans="1:3" x14ac:dyDescent="0.3">
      <c r="A244">
        <v>259</v>
      </c>
      <c r="B244" t="str">
        <f t="shared" si="3"/>
        <v>2768-259</v>
      </c>
      <c r="C244">
        <v>1024</v>
      </c>
    </row>
    <row r="245" spans="1:3" x14ac:dyDescent="0.3">
      <c r="A245">
        <v>107</v>
      </c>
      <c r="B245" t="str">
        <f t="shared" si="3"/>
        <v>2768-107</v>
      </c>
      <c r="C245">
        <v>383</v>
      </c>
    </row>
    <row r="246" spans="1:3" x14ac:dyDescent="0.3">
      <c r="A246">
        <v>60</v>
      </c>
      <c r="B246" t="str">
        <f t="shared" si="3"/>
        <v>2768-60</v>
      </c>
      <c r="C246">
        <v>116</v>
      </c>
    </row>
    <row r="247" spans="1:3" x14ac:dyDescent="0.3">
      <c r="A247">
        <v>112</v>
      </c>
      <c r="B247" t="str">
        <f t="shared" si="3"/>
        <v>2768-112</v>
      </c>
      <c r="C247">
        <v>162</v>
      </c>
    </row>
    <row r="248" spans="1:3" x14ac:dyDescent="0.3">
      <c r="A248">
        <v>138</v>
      </c>
      <c r="B248" t="str">
        <f t="shared" si="3"/>
        <v>2768-138</v>
      </c>
      <c r="C248">
        <v>79</v>
      </c>
    </row>
    <row r="249" spans="1:3" x14ac:dyDescent="0.3">
      <c r="A249">
        <v>62</v>
      </c>
      <c r="B249" t="str">
        <f t="shared" si="3"/>
        <v>2768-62</v>
      </c>
      <c r="C249">
        <v>3</v>
      </c>
    </row>
    <row r="250" spans="1:3" x14ac:dyDescent="0.3">
      <c r="A250">
        <v>92</v>
      </c>
      <c r="B250" t="str">
        <f t="shared" si="3"/>
        <v>2768-92</v>
      </c>
      <c r="C250">
        <v>1069</v>
      </c>
    </row>
    <row r="251" spans="1:3" x14ac:dyDescent="0.3">
      <c r="A251">
        <v>110</v>
      </c>
      <c r="B251" t="str">
        <f t="shared" si="3"/>
        <v>2768-110</v>
      </c>
      <c r="C251">
        <v>123</v>
      </c>
    </row>
    <row r="252" spans="1:3" x14ac:dyDescent="0.3">
      <c r="A252">
        <v>86</v>
      </c>
      <c r="B252" t="str">
        <f t="shared" si="3"/>
        <v>2768-86</v>
      </c>
      <c r="C252">
        <v>73</v>
      </c>
    </row>
    <row r="253" spans="1:3" x14ac:dyDescent="0.3">
      <c r="A253">
        <v>149</v>
      </c>
      <c r="B253" t="str">
        <f t="shared" si="3"/>
        <v>2768-149</v>
      </c>
      <c r="C253">
        <v>362</v>
      </c>
    </row>
    <row r="254" spans="1:3" x14ac:dyDescent="0.3">
      <c r="A254">
        <v>63</v>
      </c>
      <c r="B254" t="str">
        <f t="shared" si="3"/>
        <v>2768-63</v>
      </c>
      <c r="C254">
        <v>125</v>
      </c>
    </row>
    <row r="255" spans="1:3" x14ac:dyDescent="0.3">
      <c r="A255">
        <v>116</v>
      </c>
      <c r="B255" t="str">
        <f t="shared" si="3"/>
        <v>2768-116</v>
      </c>
      <c r="C255">
        <v>1020</v>
      </c>
    </row>
    <row r="256" spans="1:3" x14ac:dyDescent="0.3">
      <c r="A256">
        <v>134</v>
      </c>
      <c r="B256" t="str">
        <f t="shared" si="3"/>
        <v>2768-134</v>
      </c>
      <c r="C256">
        <v>151</v>
      </c>
    </row>
    <row r="257" spans="1:5" x14ac:dyDescent="0.3">
      <c r="A257">
        <v>108</v>
      </c>
      <c r="B257" t="str">
        <f t="shared" si="3"/>
        <v>2768-108</v>
      </c>
      <c r="C257">
        <v>1087</v>
      </c>
    </row>
    <row r="258" spans="1:5" x14ac:dyDescent="0.3">
      <c r="A258">
        <v>141</v>
      </c>
      <c r="B258" t="str">
        <f t="shared" si="3"/>
        <v>2768-141</v>
      </c>
      <c r="C258">
        <v>1042</v>
      </c>
    </row>
    <row r="259" spans="1:5" x14ac:dyDescent="0.3">
      <c r="A259">
        <v>142</v>
      </c>
      <c r="B259" t="str">
        <f t="shared" si="3"/>
        <v>2768-142</v>
      </c>
      <c r="C259">
        <v>1050</v>
      </c>
    </row>
    <row r="260" spans="1:5" x14ac:dyDescent="0.3">
      <c r="A260">
        <v>95</v>
      </c>
      <c r="B260" t="str">
        <f t="shared" ref="B260:B272" si="4">_xlfn.CONCAT(RIGHT(LEFT($A$2,7),4),"-",A260)</f>
        <v>2768-95</v>
      </c>
      <c r="C260">
        <v>145</v>
      </c>
    </row>
    <row r="261" spans="1:5" x14ac:dyDescent="0.3">
      <c r="A261">
        <v>97</v>
      </c>
      <c r="B261" t="str">
        <f t="shared" si="4"/>
        <v>2768-97</v>
      </c>
      <c r="C261">
        <v>174</v>
      </c>
    </row>
    <row r="262" spans="1:5" x14ac:dyDescent="0.3">
      <c r="A262">
        <v>135</v>
      </c>
      <c r="B262" t="str">
        <f t="shared" si="4"/>
        <v>2768-135</v>
      </c>
      <c r="C262">
        <v>120</v>
      </c>
    </row>
    <row r="263" spans="1:5" x14ac:dyDescent="0.3">
      <c r="A263">
        <v>109</v>
      </c>
      <c r="B263" t="str">
        <f t="shared" si="4"/>
        <v>2768-109</v>
      </c>
      <c r="C263">
        <v>413</v>
      </c>
    </row>
    <row r="264" spans="1:5" x14ac:dyDescent="0.3">
      <c r="A264">
        <v>84</v>
      </c>
      <c r="B264" t="str">
        <f t="shared" si="4"/>
        <v>2768-84</v>
      </c>
      <c r="C264">
        <v>1060</v>
      </c>
    </row>
    <row r="265" spans="1:5" x14ac:dyDescent="0.3">
      <c r="A265">
        <v>61</v>
      </c>
      <c r="B265" t="str">
        <f t="shared" si="4"/>
        <v>2768-61</v>
      </c>
      <c r="C265">
        <v>122</v>
      </c>
    </row>
    <row r="266" spans="1:5" x14ac:dyDescent="0.3">
      <c r="A266">
        <v>29</v>
      </c>
      <c r="B266" t="str">
        <f t="shared" si="4"/>
        <v>2768-29</v>
      </c>
      <c r="C266">
        <v>189</v>
      </c>
    </row>
    <row r="267" spans="1:5" x14ac:dyDescent="0.3">
      <c r="A267">
        <v>111</v>
      </c>
      <c r="B267" t="str">
        <f t="shared" si="4"/>
        <v>2768-111</v>
      </c>
      <c r="C267">
        <v>324</v>
      </c>
    </row>
    <row r="268" spans="1:5" x14ac:dyDescent="0.3">
      <c r="A268">
        <v>113</v>
      </c>
      <c r="B268" t="str">
        <f t="shared" si="4"/>
        <v>2768-113</v>
      </c>
      <c r="C268">
        <v>333</v>
      </c>
    </row>
    <row r="269" spans="1:5" x14ac:dyDescent="0.3">
      <c r="A269" t="s">
        <v>7</v>
      </c>
      <c r="B269" t="str">
        <f t="shared" si="4"/>
        <v>2768-…..............</v>
      </c>
      <c r="C269" t="s">
        <v>7</v>
      </c>
      <c r="E269" t="s">
        <v>8</v>
      </c>
    </row>
    <row r="270" spans="1:5" x14ac:dyDescent="0.3">
      <c r="A270" t="s">
        <v>7</v>
      </c>
      <c r="B270" t="str">
        <f t="shared" si="4"/>
        <v>2768-…..............</v>
      </c>
      <c r="C270" t="s">
        <v>7</v>
      </c>
    </row>
    <row r="271" spans="1:5" x14ac:dyDescent="0.3">
      <c r="A271" t="s">
        <v>7</v>
      </c>
      <c r="B271" t="str">
        <f t="shared" si="4"/>
        <v>2768-…..............</v>
      </c>
      <c r="C271" t="s">
        <v>7</v>
      </c>
    </row>
    <row r="272" spans="1:5" x14ac:dyDescent="0.3">
      <c r="A272" t="s">
        <v>7</v>
      </c>
      <c r="B272" t="str">
        <f t="shared" si="4"/>
        <v>2768-…..............</v>
      </c>
      <c r="C27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2381-CD1C-4B6F-B0B2-2AAE8B0C2F7D}">
  <dimension ref="A1:D31"/>
  <sheetViews>
    <sheetView workbookViewId="0">
      <selection activeCell="B2" sqref="B2:C31"/>
    </sheetView>
  </sheetViews>
  <sheetFormatPr baseColWidth="10" defaultColWidth="11.44140625" defaultRowHeight="14.4" x14ac:dyDescent="0.3"/>
  <sheetData>
    <row r="1" spans="1:3" x14ac:dyDescent="0.3">
      <c r="A1" t="s">
        <v>4</v>
      </c>
    </row>
    <row r="2" spans="1:3" x14ac:dyDescent="0.3">
      <c r="A2">
        <v>24</v>
      </c>
      <c r="B2" t="str">
        <f>_xlfn.CONCAT(RIGHT(LEFT($A$1,7),4),"-",A2)</f>
        <v>2775-24</v>
      </c>
      <c r="C2">
        <v>42</v>
      </c>
    </row>
    <row r="3" spans="1:3" x14ac:dyDescent="0.3">
      <c r="A3">
        <v>13</v>
      </c>
      <c r="B3" t="str">
        <f t="shared" ref="B3:B31" si="0">_xlfn.CONCAT(RIGHT(LEFT($A$1,7),4),"-",A3)</f>
        <v>2775-13</v>
      </c>
      <c r="C3">
        <v>1034</v>
      </c>
    </row>
    <row r="4" spans="1:3" x14ac:dyDescent="0.3">
      <c r="A4">
        <v>28</v>
      </c>
      <c r="B4" t="str">
        <f t="shared" si="0"/>
        <v>2775-28</v>
      </c>
      <c r="C4">
        <v>130</v>
      </c>
    </row>
    <row r="5" spans="1:3" x14ac:dyDescent="0.3">
      <c r="A5">
        <v>16</v>
      </c>
      <c r="B5" t="str">
        <f t="shared" si="0"/>
        <v>2775-16</v>
      </c>
      <c r="C5">
        <v>1025</v>
      </c>
    </row>
    <row r="6" spans="1:3" x14ac:dyDescent="0.3">
      <c r="A6">
        <v>30</v>
      </c>
      <c r="B6" t="str">
        <f t="shared" si="0"/>
        <v>2775-30</v>
      </c>
      <c r="C6">
        <v>170</v>
      </c>
    </row>
    <row r="7" spans="1:3" x14ac:dyDescent="0.3">
      <c r="A7">
        <v>14</v>
      </c>
      <c r="B7" t="str">
        <f t="shared" si="0"/>
        <v>2775-14</v>
      </c>
      <c r="C7">
        <v>1058</v>
      </c>
    </row>
    <row r="8" spans="1:3" x14ac:dyDescent="0.3">
      <c r="A8">
        <v>9</v>
      </c>
      <c r="B8" t="str">
        <f t="shared" si="0"/>
        <v>2775-9</v>
      </c>
      <c r="C8">
        <v>378</v>
      </c>
    </row>
    <row r="9" spans="1:3" x14ac:dyDescent="0.3">
      <c r="A9">
        <v>23</v>
      </c>
      <c r="B9" t="str">
        <f t="shared" si="0"/>
        <v>2775-23</v>
      </c>
      <c r="C9">
        <v>1015</v>
      </c>
    </row>
    <row r="10" spans="1:3" x14ac:dyDescent="0.3">
      <c r="A10">
        <v>17</v>
      </c>
      <c r="B10" t="str">
        <f t="shared" si="0"/>
        <v>2775-17</v>
      </c>
      <c r="C10">
        <v>331</v>
      </c>
    </row>
    <row r="11" spans="1:3" x14ac:dyDescent="0.3">
      <c r="A11">
        <v>7</v>
      </c>
      <c r="B11" t="str">
        <f t="shared" si="0"/>
        <v>2775-7</v>
      </c>
      <c r="C11">
        <v>1010</v>
      </c>
    </row>
    <row r="12" spans="1:3" x14ac:dyDescent="0.3">
      <c r="A12">
        <v>1</v>
      </c>
      <c r="B12" t="str">
        <f t="shared" si="0"/>
        <v>2775-1</v>
      </c>
      <c r="C12">
        <v>187</v>
      </c>
    </row>
    <row r="13" spans="1:3" x14ac:dyDescent="0.3">
      <c r="A13">
        <v>4</v>
      </c>
      <c r="B13" t="str">
        <f t="shared" si="0"/>
        <v>2775-4</v>
      </c>
      <c r="C13">
        <v>1057</v>
      </c>
    </row>
    <row r="14" spans="1:3" x14ac:dyDescent="0.3">
      <c r="A14">
        <v>12</v>
      </c>
      <c r="B14" t="str">
        <f t="shared" si="0"/>
        <v>2775-12</v>
      </c>
      <c r="C14">
        <v>84</v>
      </c>
    </row>
    <row r="15" spans="1:3" x14ac:dyDescent="0.3">
      <c r="A15">
        <v>15</v>
      </c>
      <c r="B15" t="str">
        <f t="shared" si="0"/>
        <v>2775-15</v>
      </c>
      <c r="C15">
        <v>152</v>
      </c>
    </row>
    <row r="16" spans="1:3" x14ac:dyDescent="0.3">
      <c r="A16">
        <v>6</v>
      </c>
      <c r="B16" t="str">
        <f t="shared" si="0"/>
        <v>2775-6</v>
      </c>
      <c r="C16">
        <v>1008</v>
      </c>
    </row>
    <row r="17" spans="1:4" x14ac:dyDescent="0.3">
      <c r="A17">
        <v>3</v>
      </c>
      <c r="B17" t="str">
        <f t="shared" si="0"/>
        <v>2775-3</v>
      </c>
      <c r="C17">
        <v>150</v>
      </c>
    </row>
    <row r="18" spans="1:4" x14ac:dyDescent="0.3">
      <c r="A18">
        <v>26</v>
      </c>
      <c r="B18" t="str">
        <f t="shared" si="0"/>
        <v>2775-26</v>
      </c>
      <c r="C18">
        <v>1062</v>
      </c>
    </row>
    <row r="19" spans="1:4" x14ac:dyDescent="0.3">
      <c r="A19">
        <v>8</v>
      </c>
      <c r="B19" t="str">
        <f t="shared" si="0"/>
        <v>2775-8</v>
      </c>
      <c r="C19">
        <v>126</v>
      </c>
    </row>
    <row r="20" spans="1:4" x14ac:dyDescent="0.3">
      <c r="A20">
        <v>10</v>
      </c>
      <c r="B20" t="str">
        <f t="shared" si="0"/>
        <v>2775-10</v>
      </c>
      <c r="C20">
        <v>7</v>
      </c>
    </row>
    <row r="21" spans="1:4" x14ac:dyDescent="0.3">
      <c r="A21">
        <v>21</v>
      </c>
      <c r="B21" t="str">
        <f t="shared" si="0"/>
        <v>2775-21</v>
      </c>
      <c r="C21">
        <v>337</v>
      </c>
    </row>
    <row r="22" spans="1:4" x14ac:dyDescent="0.3">
      <c r="A22">
        <v>19</v>
      </c>
      <c r="B22" t="str">
        <f t="shared" si="0"/>
        <v>2775-19</v>
      </c>
      <c r="C22">
        <v>390</v>
      </c>
    </row>
    <row r="23" spans="1:4" x14ac:dyDescent="0.3">
      <c r="A23">
        <v>29</v>
      </c>
      <c r="B23" t="str">
        <f t="shared" si="0"/>
        <v>2775-29</v>
      </c>
      <c r="C23">
        <v>329</v>
      </c>
    </row>
    <row r="24" spans="1:4" x14ac:dyDescent="0.3">
      <c r="A24">
        <v>25</v>
      </c>
      <c r="B24" t="str">
        <f t="shared" si="0"/>
        <v>2775-25</v>
      </c>
      <c r="C24">
        <v>336</v>
      </c>
    </row>
    <row r="25" spans="1:4" x14ac:dyDescent="0.3">
      <c r="A25">
        <v>11</v>
      </c>
      <c r="B25" t="str">
        <f t="shared" si="0"/>
        <v>2775-11</v>
      </c>
      <c r="C25">
        <v>1079</v>
      </c>
    </row>
    <row r="26" spans="1:4" x14ac:dyDescent="0.3">
      <c r="A26">
        <v>18</v>
      </c>
      <c r="B26" t="str">
        <f t="shared" si="0"/>
        <v>2775-18</v>
      </c>
      <c r="C26">
        <v>348</v>
      </c>
    </row>
    <row r="27" spans="1:4" x14ac:dyDescent="0.3">
      <c r="A27">
        <v>2</v>
      </c>
      <c r="B27" t="str">
        <f t="shared" si="0"/>
        <v>2775-2</v>
      </c>
      <c r="C27">
        <v>1040</v>
      </c>
    </row>
    <row r="28" spans="1:4" x14ac:dyDescent="0.3">
      <c r="A28">
        <v>20</v>
      </c>
      <c r="B28" t="str">
        <f t="shared" si="0"/>
        <v>2775-20</v>
      </c>
      <c r="C28">
        <v>1066</v>
      </c>
    </row>
    <row r="29" spans="1:4" x14ac:dyDescent="0.3">
      <c r="A29">
        <v>5</v>
      </c>
      <c r="B29" t="str">
        <f t="shared" si="0"/>
        <v>2775-5</v>
      </c>
      <c r="C29">
        <v>1013</v>
      </c>
    </row>
    <row r="30" spans="1:4" x14ac:dyDescent="0.3">
      <c r="A30" t="s">
        <v>5</v>
      </c>
      <c r="B30" t="str">
        <f t="shared" si="0"/>
        <v>2775-….........</v>
      </c>
      <c r="C30" t="s">
        <v>5</v>
      </c>
      <c r="D30" t="s">
        <v>6</v>
      </c>
    </row>
    <row r="31" spans="1:4" x14ac:dyDescent="0.3">
      <c r="A31" t="s">
        <v>5</v>
      </c>
      <c r="B31" t="str">
        <f t="shared" si="0"/>
        <v>2775-….........</v>
      </c>
      <c r="C3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E61A-F580-4C84-9754-1C42CBC10843}">
  <dimension ref="A3:C13"/>
  <sheetViews>
    <sheetView workbookViewId="0">
      <selection activeCell="B7" sqref="B7"/>
    </sheetView>
  </sheetViews>
  <sheetFormatPr baseColWidth="10" defaultRowHeight="14.4" x14ac:dyDescent="0.3"/>
  <cols>
    <col min="1" max="1" width="16.5546875" bestFit="1" customWidth="1"/>
    <col min="2" max="2" width="28.44140625" bestFit="1" customWidth="1"/>
    <col min="3" max="3" width="26.6640625" bestFit="1" customWidth="1"/>
    <col min="4" max="4" width="28.44140625" bestFit="1" customWidth="1"/>
    <col min="5" max="5" width="26.6640625" bestFit="1" customWidth="1"/>
    <col min="6" max="6" width="33.21875" bestFit="1" customWidth="1"/>
    <col min="7" max="7" width="31.44140625" bestFit="1" customWidth="1"/>
  </cols>
  <sheetData>
    <row r="3" spans="1:3" x14ac:dyDescent="0.3">
      <c r="A3" s="92" t="s">
        <v>961</v>
      </c>
      <c r="B3" t="s">
        <v>968</v>
      </c>
      <c r="C3" t="s">
        <v>969</v>
      </c>
    </row>
    <row r="4" spans="1:3" x14ac:dyDescent="0.3">
      <c r="A4" s="93" t="s">
        <v>965</v>
      </c>
      <c r="B4" s="91">
        <v>41.322230152369769</v>
      </c>
      <c r="C4" s="91">
        <v>19.857375062883836</v>
      </c>
    </row>
    <row r="5" spans="1:3" x14ac:dyDescent="0.3">
      <c r="A5" s="94" t="s">
        <v>963</v>
      </c>
      <c r="B5" s="91">
        <v>41.592403550543658</v>
      </c>
      <c r="C5" s="91">
        <v>18.414489681969137</v>
      </c>
    </row>
    <row r="6" spans="1:3" x14ac:dyDescent="0.3">
      <c r="A6" s="94" t="s">
        <v>964</v>
      </c>
      <c r="B6" s="91">
        <v>40.781883356021957</v>
      </c>
      <c r="C6" s="91">
        <v>24.831351852315844</v>
      </c>
    </row>
    <row r="7" spans="1:3" x14ac:dyDescent="0.3">
      <c r="A7" s="93" t="s">
        <v>966</v>
      </c>
      <c r="B7" s="91">
        <v>24.795070683775698</v>
      </c>
      <c r="C7" s="91">
        <v>12.086913588540048</v>
      </c>
    </row>
    <row r="8" spans="1:3" x14ac:dyDescent="0.3">
      <c r="A8" s="94" t="s">
        <v>963</v>
      </c>
      <c r="B8" s="91">
        <v>27.449480251626806</v>
      </c>
      <c r="C8" s="91">
        <v>13.484657356380215</v>
      </c>
    </row>
    <row r="9" spans="1:3" x14ac:dyDescent="0.3">
      <c r="A9" s="94" t="s">
        <v>964</v>
      </c>
      <c r="B9" s="91">
        <v>18.159046764147934</v>
      </c>
      <c r="C9" s="91">
        <v>5.0905664529447678</v>
      </c>
    </row>
    <row r="10" spans="1:3" x14ac:dyDescent="0.3">
      <c r="A10" s="93" t="s">
        <v>967</v>
      </c>
      <c r="B10" s="91">
        <v>39.317595852837499</v>
      </c>
      <c r="C10" s="91">
        <v>23.083285614065762</v>
      </c>
    </row>
    <row r="11" spans="1:3" x14ac:dyDescent="0.3">
      <c r="A11" s="94" t="s">
        <v>963</v>
      </c>
      <c r="B11" s="91">
        <v>30.244272419785457</v>
      </c>
      <c r="C11" s="91">
        <v>24.387996036557631</v>
      </c>
    </row>
    <row r="12" spans="1:3" x14ac:dyDescent="0.3">
      <c r="A12" s="94" t="s">
        <v>964</v>
      </c>
      <c r="B12" s="91">
        <v>52.927581002415558</v>
      </c>
      <c r="C12" s="91">
        <v>13.032430956785815</v>
      </c>
    </row>
    <row r="13" spans="1:3" x14ac:dyDescent="0.3">
      <c r="A13" s="93" t="s">
        <v>962</v>
      </c>
      <c r="B13" s="91">
        <v>37.382780672014555</v>
      </c>
      <c r="C13" s="91">
        <v>20.585056221754371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E541-CB7E-4297-AF1E-149BFD9A2CA7}">
  <dimension ref="A1:AF120"/>
  <sheetViews>
    <sheetView topLeftCell="A15" zoomScale="70" zoomScaleNormal="70" workbookViewId="0">
      <selection activeCell="Q4" sqref="Q4"/>
    </sheetView>
  </sheetViews>
  <sheetFormatPr baseColWidth="10" defaultColWidth="11.44140625" defaultRowHeight="14.4" x14ac:dyDescent="0.3"/>
  <cols>
    <col min="5" max="5" width="11.44140625" style="86"/>
    <col min="6" max="7" width="11.44140625" style="88"/>
    <col min="8" max="8" width="25.21875" style="4" customWidth="1"/>
    <col min="9" max="11" width="11.44140625" style="4"/>
  </cols>
  <sheetData>
    <row r="1" spans="1:32" x14ac:dyDescent="0.3">
      <c r="A1" t="s">
        <v>9</v>
      </c>
      <c r="B1" t="s">
        <v>10</v>
      </c>
      <c r="C1" t="s">
        <v>11</v>
      </c>
      <c r="D1" t="s">
        <v>960</v>
      </c>
      <c r="E1" s="86" t="s">
        <v>939</v>
      </c>
      <c r="F1" s="88" t="s">
        <v>943</v>
      </c>
      <c r="G1" s="88">
        <v>2</v>
      </c>
      <c r="H1" s="4" t="s">
        <v>954</v>
      </c>
      <c r="I1" s="4" t="s">
        <v>943</v>
      </c>
      <c r="J1" s="4">
        <v>3</v>
      </c>
      <c r="K1" s="4" t="s">
        <v>956</v>
      </c>
      <c r="L1" s="4" t="s">
        <v>957</v>
      </c>
      <c r="M1" s="4" t="s">
        <v>959</v>
      </c>
      <c r="N1" s="4" t="s">
        <v>48</v>
      </c>
      <c r="O1" s="4" t="s">
        <v>919</v>
      </c>
      <c r="P1" s="4" t="s">
        <v>923</v>
      </c>
      <c r="Q1" s="4" t="s">
        <v>921</v>
      </c>
      <c r="R1" s="4"/>
      <c r="S1" s="4"/>
      <c r="T1" s="4"/>
      <c r="U1" s="4"/>
    </row>
    <row r="2" spans="1:32" x14ac:dyDescent="0.3">
      <c r="A2">
        <v>120</v>
      </c>
      <c r="B2" s="2">
        <v>11.4819</v>
      </c>
      <c r="C2">
        <v>116.7</v>
      </c>
      <c r="D2">
        <f>VLOOKUP(A2,'Lignin measurement Plates'!B$72:B$121,1,FALSE)</f>
        <v>120</v>
      </c>
      <c r="E2" s="86">
        <f>VLOOKUP(A2,'Dried samples '!E$2:F$51,2,FALSE)</f>
        <v>11.540900000000001</v>
      </c>
      <c r="F2" s="89">
        <f>(E2-B2)*1000</f>
        <v>59.000000000001052</v>
      </c>
      <c r="G2" s="89">
        <f>C2-F2</f>
        <v>57.699999999998951</v>
      </c>
      <c r="H2" s="4">
        <f>E2-E$64</f>
        <v>11.534820000000002</v>
      </c>
      <c r="I2" s="87">
        <f>(H2-B2)*1000</f>
        <v>52.920000000002076</v>
      </c>
      <c r="J2" s="87">
        <f>C2-I2</f>
        <v>63.779999999997926</v>
      </c>
      <c r="K2" s="87">
        <f>(J2/C2)*100</f>
        <v>54.652956298198738</v>
      </c>
      <c r="L2" s="2">
        <f>VLOOKUP(A2,'Lignin measurement Plates'!D$182:F$231,2,FALSE)</f>
        <v>0.10204855878285178</v>
      </c>
      <c r="M2" s="2">
        <f>L2+K2</f>
        <v>54.755004856981593</v>
      </c>
      <c r="N2" s="2" t="str">
        <f>VLOOKUP(A2,Hoja2!A$2:B$872,2,FALSE)</f>
        <v>10-P1S4C4FS</v>
      </c>
      <c r="O2" s="2" t="str">
        <f>IF(LEN('LIGNIN BILBAO'!N2)&gt;6,RIGHT(LEFT('LIGNIN BILBAO'!N2,11),2),RIGHT((LEFT(N2,4)),2))</f>
        <v>FS</v>
      </c>
      <c r="P2" s="2" t="str">
        <f>IF(LEN('LIGNIN BILBAO'!$N2)&gt;6,LEFT(N2,2),1)</f>
        <v>10</v>
      </c>
      <c r="Q2" s="2" t="str">
        <f>IF(LEN('LIGNIN BILBAO'!$N2)&gt;6,RIGHT(LEFT('LIGNIN BILBAO'!$N2,9),1),RIGHT(N2,1))</f>
        <v>4</v>
      </c>
      <c r="R2" s="2"/>
      <c r="S2" s="2"/>
      <c r="T2" s="2"/>
      <c r="U2" s="2"/>
      <c r="V2">
        <f>VLOOKUP(A2,Z$31:Z$80,1,FALSE)</f>
        <v>120</v>
      </c>
    </row>
    <row r="3" spans="1:32" x14ac:dyDescent="0.3">
      <c r="A3">
        <v>157</v>
      </c>
      <c r="B3" s="2">
        <v>11.5596</v>
      </c>
      <c r="C3">
        <v>124.7</v>
      </c>
      <c r="D3">
        <f>VLOOKUP(A3,'Lignin measurement Plates'!B$72:B$121,1,FALSE)</f>
        <v>157</v>
      </c>
      <c r="E3" s="86">
        <f>VLOOKUP(A3,'Dried samples '!E$2:F$51,2,FALSE)</f>
        <v>11.6249</v>
      </c>
      <c r="F3" s="89">
        <f t="shared" ref="F3:F51" si="0">(E3-B3)*1000</f>
        <v>65.30000000000058</v>
      </c>
      <c r="G3" s="89">
        <f t="shared" ref="G3:G51" si="1">C3-F3</f>
        <v>59.399999999999423</v>
      </c>
      <c r="H3" s="4">
        <f t="shared" ref="H3:H51" si="2">E3-E$64</f>
        <v>11.618820000000001</v>
      </c>
      <c r="I3" s="87">
        <f t="shared" ref="I3:I51" si="3">(H3-B3)*1000</f>
        <v>59.220000000001605</v>
      </c>
      <c r="J3" s="87">
        <f t="shared" ref="J3:J51" si="4">C3-I3</f>
        <v>65.479999999998398</v>
      </c>
      <c r="K3" s="87">
        <f t="shared" ref="K3:K51" si="5">(J3/C3)*100</f>
        <v>52.51002405773729</v>
      </c>
      <c r="L3" s="2">
        <f>VLOOKUP(A3,'Lignin measurement Plates'!D$182:F$231,2,FALSE)</f>
        <v>0.10653029208125653</v>
      </c>
      <c r="M3" s="2">
        <f t="shared" ref="M3:M51" si="6">L3+K3</f>
        <v>52.61655434981855</v>
      </c>
      <c r="N3" s="2" t="str">
        <f>VLOOKUP(A3,Hoja2!A$2:B$872,2,FALSE)</f>
        <v>10-P3S2C4FS</v>
      </c>
      <c r="O3" s="2" t="str">
        <f>IF(LEN('LIGNIN BILBAO'!N3)&gt;6,RIGHT(LEFT('LIGNIN BILBAO'!N3,11),2),RIGHT((LEFT(N3,4)),2))</f>
        <v>FS</v>
      </c>
      <c r="P3" s="2" t="str">
        <f>IF(LEN('LIGNIN BILBAO'!$N3)&gt;6,LEFT(N3,2),1)</f>
        <v>10</v>
      </c>
      <c r="Q3" s="2" t="str">
        <f>IF(LEN('LIGNIN BILBAO'!$N3)&gt;6,RIGHT(LEFT('LIGNIN BILBAO'!$N3,9),1),RIGHT(N3,1))</f>
        <v>4</v>
      </c>
      <c r="R3" s="2"/>
      <c r="S3" s="2"/>
      <c r="T3" s="2"/>
      <c r="U3" s="2"/>
      <c r="V3">
        <f t="shared" ref="V3:V51" si="7">VLOOKUP(A3,Z$31:Z$80,1,FALSE)</f>
        <v>157</v>
      </c>
    </row>
    <row r="4" spans="1:32" x14ac:dyDescent="0.3">
      <c r="A4">
        <v>409</v>
      </c>
      <c r="B4" s="2">
        <v>11.4826</v>
      </c>
      <c r="C4">
        <v>118.7</v>
      </c>
      <c r="D4">
        <f>VLOOKUP(A4,'Lignin measurement Plates'!B$72:B$121,1,FALSE)</f>
        <v>409</v>
      </c>
      <c r="E4" s="86">
        <f>VLOOKUP(A4,'Dried samples '!E$2:F$51,2,FALSE)</f>
        <v>11.563499999999999</v>
      </c>
      <c r="F4" s="89">
        <f t="shared" si="0"/>
        <v>80.89999999999975</v>
      </c>
      <c r="G4" s="89">
        <f t="shared" si="1"/>
        <v>37.800000000000253</v>
      </c>
      <c r="H4" s="4">
        <f t="shared" si="2"/>
        <v>11.55742</v>
      </c>
      <c r="I4" s="87">
        <f t="shared" si="3"/>
        <v>74.820000000000775</v>
      </c>
      <c r="J4" s="87">
        <f t="shared" si="4"/>
        <v>43.879999999999228</v>
      </c>
      <c r="K4" s="87">
        <f t="shared" si="5"/>
        <v>36.967144060656466</v>
      </c>
      <c r="L4" s="2">
        <f>VLOOKUP(A4,'Lignin measurement Plates'!D$182:F$231,2,FALSE)</f>
        <v>9.3394120827442667E-2</v>
      </c>
      <c r="M4" s="2">
        <f t="shared" si="6"/>
        <v>37.060538181483906</v>
      </c>
      <c r="N4" s="2" t="str">
        <f>VLOOKUP(A4,Hoja2!A$2:B$872,2,FALSE)</f>
        <v>10-P6S5C1FS -b</v>
      </c>
      <c r="O4" s="2" t="str">
        <f>IF(LEN('LIGNIN BILBAO'!N4)&gt;6,RIGHT(LEFT('LIGNIN BILBAO'!N4,11),2),RIGHT((LEFT(N4,4)),2))</f>
        <v>FS</v>
      </c>
      <c r="P4" s="2" t="str">
        <f>IF(LEN('LIGNIN BILBAO'!$N4)&gt;6,LEFT(N4,2),1)</f>
        <v>10</v>
      </c>
      <c r="Q4" s="2" t="str">
        <f>IF(LEN('LIGNIN BILBAO'!$N4)&gt;6,RIGHT(LEFT('LIGNIN BILBAO'!$N4,9),1),RIGHT(N4,1))</f>
        <v>1</v>
      </c>
      <c r="R4" s="2"/>
      <c r="S4" s="2"/>
      <c r="T4" s="2"/>
      <c r="U4" s="2"/>
      <c r="V4">
        <f t="shared" si="7"/>
        <v>409</v>
      </c>
    </row>
    <row r="5" spans="1:32" x14ac:dyDescent="0.3">
      <c r="A5">
        <v>84</v>
      </c>
      <c r="B5" s="2">
        <v>11.4655</v>
      </c>
      <c r="C5">
        <v>131.69999999999999</v>
      </c>
      <c r="D5">
        <f>VLOOKUP(A5,'Lignin measurement Plates'!B$72:B$121,1,FALSE)</f>
        <v>84</v>
      </c>
      <c r="E5" s="86">
        <f>VLOOKUP(A5,'Dried samples '!E$2:F$51,2,FALSE)</f>
        <v>11.526999999999999</v>
      </c>
      <c r="F5" s="89">
        <f t="shared" si="0"/>
        <v>61.499999999998778</v>
      </c>
      <c r="G5" s="89">
        <f t="shared" si="1"/>
        <v>70.200000000001211</v>
      </c>
      <c r="H5" s="4">
        <f t="shared" si="2"/>
        <v>11.52092</v>
      </c>
      <c r="I5" s="87">
        <f t="shared" si="3"/>
        <v>55.419999999999803</v>
      </c>
      <c r="J5" s="87">
        <f t="shared" si="4"/>
        <v>76.280000000000186</v>
      </c>
      <c r="K5" s="87">
        <f t="shared" si="5"/>
        <v>57.919514047076838</v>
      </c>
      <c r="L5" s="2">
        <f>VLOOKUP(A5,'Lignin measurement Plates'!D$182:F$231,2,FALSE)</f>
        <v>8.8816318004093939E-2</v>
      </c>
      <c r="M5" s="2">
        <f t="shared" si="6"/>
        <v>58.00833036508093</v>
      </c>
      <c r="N5" s="2" t="str">
        <f>VLOOKUP(A5,Hoja2!A$2:B$872,2,FALSE)</f>
        <v>10-P1S3C4FS</v>
      </c>
      <c r="O5" s="2" t="str">
        <f>IF(LEN('LIGNIN BILBAO'!N5)&gt;6,RIGHT(LEFT('LIGNIN BILBAO'!N5,11),2),RIGHT((LEFT(N5,4)),2))</f>
        <v>FS</v>
      </c>
      <c r="P5" s="2" t="str">
        <f>IF(LEN('LIGNIN BILBAO'!$N5)&gt;6,LEFT(N5,2),1)</f>
        <v>10</v>
      </c>
      <c r="Q5" s="2" t="str">
        <f>IF(LEN('LIGNIN BILBAO'!$N5)&gt;6,RIGHT(LEFT('LIGNIN BILBAO'!$N5,9),1),RIGHT(N5,1))</f>
        <v>4</v>
      </c>
      <c r="R5" s="2"/>
      <c r="S5" s="2"/>
      <c r="T5" s="2"/>
      <c r="U5" s="2"/>
      <c r="V5">
        <f t="shared" si="7"/>
        <v>84</v>
      </c>
    </row>
    <row r="6" spans="1:32" x14ac:dyDescent="0.3">
      <c r="A6">
        <v>118</v>
      </c>
      <c r="B6" s="2">
        <v>11.439500000000001</v>
      </c>
      <c r="C6">
        <v>113.3</v>
      </c>
      <c r="D6">
        <f>VLOOKUP(A6,'Lignin measurement Plates'!B$72:B$121,1,FALSE)</f>
        <v>118</v>
      </c>
      <c r="E6" s="86">
        <f>VLOOKUP(A6,'Dried samples '!E$2:F$51,2,FALSE)</f>
        <v>11.478</v>
      </c>
      <c r="F6" s="89">
        <f t="shared" si="0"/>
        <v>38.499999999999091</v>
      </c>
      <c r="G6" s="89">
        <f t="shared" si="1"/>
        <v>74.800000000000907</v>
      </c>
      <c r="H6" s="4">
        <f t="shared" si="2"/>
        <v>11.471920000000001</v>
      </c>
      <c r="I6" s="87">
        <f t="shared" si="3"/>
        <v>32.420000000000115</v>
      </c>
      <c r="J6" s="87">
        <f t="shared" si="4"/>
        <v>80.879999999999882</v>
      </c>
      <c r="K6" s="87">
        <f t="shared" si="5"/>
        <v>71.385701676963706</v>
      </c>
      <c r="L6" s="2">
        <f>VLOOKUP(A6,'Lignin measurement Plates'!D$182:F$231,2,FALSE)</f>
        <v>8.9927261534550648E-2</v>
      </c>
      <c r="M6" s="2">
        <f t="shared" si="6"/>
        <v>71.475628938498261</v>
      </c>
      <c r="N6" s="2" t="str">
        <f>VLOOKUP(A6,Hoja2!A$2:B$872,2,FALSE)</f>
        <v>10-P1S4C1FS</v>
      </c>
      <c r="O6" s="2" t="str">
        <f>IF(LEN('LIGNIN BILBAO'!N6)&gt;6,RIGHT(LEFT('LIGNIN BILBAO'!N6,11),2),RIGHT((LEFT(N6,4)),2))</f>
        <v>FS</v>
      </c>
      <c r="P6" s="2" t="str">
        <f>IF(LEN('LIGNIN BILBAO'!$N6)&gt;6,LEFT(N6,2),1)</f>
        <v>10</v>
      </c>
      <c r="Q6" s="2" t="str">
        <f>IF(LEN('LIGNIN BILBAO'!$N6)&gt;6,RIGHT(LEFT('LIGNIN BILBAO'!$N6,9),1),RIGHT(N6,1))</f>
        <v>1</v>
      </c>
      <c r="R6" s="2"/>
      <c r="S6" s="2"/>
      <c r="T6" s="2"/>
      <c r="U6" s="2"/>
      <c r="V6">
        <f t="shared" si="7"/>
        <v>118</v>
      </c>
    </row>
    <row r="7" spans="1:32" x14ac:dyDescent="0.3">
      <c r="A7">
        <v>373</v>
      </c>
      <c r="B7" s="2">
        <v>11.5601</v>
      </c>
      <c r="C7">
        <v>138.69999999999999</v>
      </c>
      <c r="D7">
        <f>VLOOKUP(A7,'Lignin measurement Plates'!B$72:B$121,1,FALSE)</f>
        <v>373</v>
      </c>
      <c r="E7" s="86">
        <f>VLOOKUP(A7,'Dried samples '!E$2:F$51,2,FALSE)</f>
        <v>11.6334</v>
      </c>
      <c r="F7" s="89">
        <f t="shared" si="0"/>
        <v>73.299999999999699</v>
      </c>
      <c r="G7" s="89">
        <f t="shared" si="1"/>
        <v>65.40000000000029</v>
      </c>
      <c r="H7" s="4">
        <f t="shared" si="2"/>
        <v>11.627320000000001</v>
      </c>
      <c r="I7" s="87">
        <f t="shared" si="3"/>
        <v>67.220000000000724</v>
      </c>
      <c r="J7" s="87">
        <f t="shared" si="4"/>
        <v>71.479999999999265</v>
      </c>
      <c r="K7" s="87">
        <f t="shared" si="5"/>
        <v>51.535688536408998</v>
      </c>
      <c r="L7" s="2">
        <f>VLOOKUP(A7,'Lignin measurement Plates'!D$182:F$231,2,FALSE)</f>
        <v>8.4831424471833006E-2</v>
      </c>
      <c r="M7" s="2">
        <f t="shared" si="6"/>
        <v>51.620519960880827</v>
      </c>
      <c r="N7" s="2" t="str">
        <f>VLOOKUP(A7,Hoja2!A$2:B$872,2,FALSE)</f>
        <v>10-P6S3C1FS -b</v>
      </c>
      <c r="O7" s="2" t="str">
        <f>IF(LEN('LIGNIN BILBAO'!N7)&gt;6,RIGHT(LEFT('LIGNIN BILBAO'!N7,11),2),RIGHT((LEFT(N7,4)),2))</f>
        <v>FS</v>
      </c>
      <c r="P7" s="2" t="str">
        <f>IF(LEN('LIGNIN BILBAO'!$N7)&gt;6,LEFT(N7,2),1)</f>
        <v>10</v>
      </c>
      <c r="Q7" s="2" t="str">
        <f>IF(LEN('LIGNIN BILBAO'!$N7)&gt;6,RIGHT(LEFT('LIGNIN BILBAO'!$N7,9),1),RIGHT(N7,1))</f>
        <v>1</v>
      </c>
      <c r="R7" s="2"/>
      <c r="S7" s="2"/>
      <c r="T7" s="2"/>
      <c r="U7" s="2"/>
      <c r="V7">
        <f t="shared" si="7"/>
        <v>373</v>
      </c>
    </row>
    <row r="8" spans="1:32" x14ac:dyDescent="0.3">
      <c r="A8">
        <v>355</v>
      </c>
      <c r="B8" s="2">
        <v>11.4847</v>
      </c>
      <c r="C8">
        <v>207.4</v>
      </c>
      <c r="D8">
        <f>VLOOKUP(A8,'Lignin measurement Plates'!B$72:B$121,1,FALSE)</f>
        <v>355</v>
      </c>
      <c r="E8" s="86">
        <f>VLOOKUP(A8,'Dried samples '!E$2:F$51,2,FALSE)</f>
        <v>11.614800000000001</v>
      </c>
      <c r="F8" s="89">
        <f t="shared" si="0"/>
        <v>130.10000000000053</v>
      </c>
      <c r="G8" s="89">
        <f t="shared" si="1"/>
        <v>77.299999999999471</v>
      </c>
      <c r="H8" s="4">
        <f t="shared" si="2"/>
        <v>11.608720000000002</v>
      </c>
      <c r="I8" s="87">
        <f t="shared" si="3"/>
        <v>124.02000000000157</v>
      </c>
      <c r="J8" s="87">
        <f t="shared" si="4"/>
        <v>83.379999999998432</v>
      </c>
      <c r="K8" s="87">
        <f t="shared" si="5"/>
        <v>40.2025072324004</v>
      </c>
      <c r="L8" s="2">
        <f>VLOOKUP(A8,'Lignin measurement Plates'!D$182:F$231,2,FALSE)</f>
        <v>8.739079285840004E-2</v>
      </c>
      <c r="M8" s="2">
        <f t="shared" si="6"/>
        <v>40.2898980252588</v>
      </c>
      <c r="N8" s="2" t="str">
        <f>VLOOKUP(A8,Hoja2!A$2:B$872,2,FALSE)</f>
        <v>10-P6S2C1FS -b</v>
      </c>
      <c r="O8" s="2" t="str">
        <f>IF(LEN('LIGNIN BILBAO'!N8)&gt;6,RIGHT(LEFT('LIGNIN BILBAO'!N8,11),2),RIGHT((LEFT(N8,4)),2))</f>
        <v>FS</v>
      </c>
      <c r="P8" s="2" t="str">
        <f>IF(LEN('LIGNIN BILBAO'!$N8)&gt;6,LEFT(N8,2),1)</f>
        <v>10</v>
      </c>
      <c r="Q8" s="2" t="str">
        <f>IF(LEN('LIGNIN BILBAO'!$N8)&gt;6,RIGHT(LEFT('LIGNIN BILBAO'!$N8,9),1),RIGHT(N8,1))</f>
        <v>1</v>
      </c>
      <c r="R8" s="2"/>
      <c r="S8" s="2"/>
      <c r="T8" s="2"/>
      <c r="U8" s="2"/>
      <c r="V8">
        <f t="shared" si="7"/>
        <v>355</v>
      </c>
    </row>
    <row r="9" spans="1:32" x14ac:dyDescent="0.3">
      <c r="A9">
        <v>368</v>
      </c>
      <c r="B9" s="2">
        <v>11.4946</v>
      </c>
      <c r="C9">
        <v>109.6</v>
      </c>
      <c r="D9">
        <f>VLOOKUP(A9,'Lignin measurement Plates'!B$72:B$121,1,FALSE)</f>
        <v>368</v>
      </c>
      <c r="E9" s="86">
        <f>VLOOKUP(A9,'Dried samples '!E$2:F$51,2,FALSE)</f>
        <v>11.556100000000001</v>
      </c>
      <c r="F9" s="89">
        <f t="shared" si="0"/>
        <v>61.500000000000554</v>
      </c>
      <c r="G9" s="89">
        <f t="shared" si="1"/>
        <v>48.09999999999944</v>
      </c>
      <c r="H9" s="4">
        <f t="shared" si="2"/>
        <v>11.550020000000002</v>
      </c>
      <c r="I9" s="87">
        <f t="shared" si="3"/>
        <v>55.420000000001579</v>
      </c>
      <c r="J9" s="87">
        <f t="shared" si="4"/>
        <v>54.179999999998415</v>
      </c>
      <c r="K9" s="87">
        <f t="shared" si="5"/>
        <v>49.434306569341622</v>
      </c>
      <c r="L9" s="2">
        <f>VLOOKUP(A9,'Lignin measurement Plates'!D$182:F$231,2,FALSE)</f>
        <v>1.6370865152424394E-2</v>
      </c>
      <c r="M9" s="2">
        <f t="shared" si="6"/>
        <v>49.450677434494047</v>
      </c>
      <c r="N9" s="2" t="str">
        <f>VLOOKUP(A9,Hoja2!A$2:B$872,2,FALSE)</f>
        <v>10-P6S3C2AA</v>
      </c>
      <c r="O9" s="2" t="str">
        <f>IF(LEN('LIGNIN BILBAO'!N9)&gt;6,RIGHT(LEFT('LIGNIN BILBAO'!N9,11),2),RIGHT((LEFT(N9,4)),2))</f>
        <v>AA</v>
      </c>
      <c r="P9" s="2" t="str">
        <f>IF(LEN('LIGNIN BILBAO'!$N9)&gt;6,LEFT(N9,2),1)</f>
        <v>10</v>
      </c>
      <c r="Q9" s="2" t="str">
        <f>IF(LEN('LIGNIN BILBAO'!$N9)&gt;6,RIGHT(LEFT('LIGNIN BILBAO'!$N9,9),1),RIGHT(N9,1))</f>
        <v>2</v>
      </c>
      <c r="R9" s="2"/>
      <c r="S9" s="2"/>
      <c r="T9" s="2"/>
      <c r="U9" s="2"/>
      <c r="V9">
        <f t="shared" si="7"/>
        <v>368</v>
      </c>
    </row>
    <row r="10" spans="1:32" x14ac:dyDescent="0.3">
      <c r="A10">
        <v>142</v>
      </c>
      <c r="B10" s="2">
        <v>11.449299999999999</v>
      </c>
      <c r="C10">
        <v>104.2</v>
      </c>
      <c r="D10">
        <f>VLOOKUP(A10,'Lignin measurement Plates'!B$72:B$121,1,FALSE)</f>
        <v>142</v>
      </c>
      <c r="E10" s="86">
        <f>VLOOKUP(A10,'Dried samples '!E$2:F$51,2,FALSE)</f>
        <v>11.5116</v>
      </c>
      <c r="F10" s="89">
        <f t="shared" si="0"/>
        <v>62.300000000000466</v>
      </c>
      <c r="G10" s="89">
        <f t="shared" si="1"/>
        <v>41.899999999999537</v>
      </c>
      <c r="H10" s="4">
        <f t="shared" si="2"/>
        <v>11.505520000000001</v>
      </c>
      <c r="I10" s="87">
        <f t="shared" si="3"/>
        <v>56.220000000001491</v>
      </c>
      <c r="J10" s="87">
        <f t="shared" si="4"/>
        <v>47.979999999998512</v>
      </c>
      <c r="K10" s="87">
        <f t="shared" si="5"/>
        <v>46.04606525911565</v>
      </c>
      <c r="L10" s="2">
        <f>VLOOKUP(A10,'Lignin measurement Plates'!D$182:F$231,2,FALSE)</f>
        <v>3.330318285252426E-2</v>
      </c>
      <c r="M10" s="2">
        <f t="shared" si="6"/>
        <v>46.079368441968171</v>
      </c>
      <c r="N10" s="2" t="str">
        <f>VLOOKUP(A10,Hoja2!A$2:B$872,2,FALSE)</f>
        <v>10-P3S1C4AA</v>
      </c>
      <c r="O10" s="2" t="str">
        <f>IF(LEN('LIGNIN BILBAO'!N10)&gt;6,RIGHT(LEFT('LIGNIN BILBAO'!N10,11),2),RIGHT((LEFT(N10,4)),2))</f>
        <v>AA</v>
      </c>
      <c r="P10" s="2" t="str">
        <f>IF(LEN('LIGNIN BILBAO'!$N10)&gt;6,LEFT(N10,2),1)</f>
        <v>10</v>
      </c>
      <c r="Q10" s="2" t="str">
        <f>IF(LEN('LIGNIN BILBAO'!$N10)&gt;6,RIGHT(LEFT('LIGNIN BILBAO'!$N10,9),1),RIGHT(N10,1))</f>
        <v>4</v>
      </c>
      <c r="R10" s="2"/>
      <c r="S10" s="2"/>
      <c r="T10" s="2"/>
      <c r="U10" s="2"/>
      <c r="V10">
        <f t="shared" si="7"/>
        <v>142</v>
      </c>
    </row>
    <row r="11" spans="1:32" x14ac:dyDescent="0.3">
      <c r="A11">
        <v>385</v>
      </c>
      <c r="B11" s="2">
        <v>11.427199999999999</v>
      </c>
      <c r="C11">
        <v>112</v>
      </c>
      <c r="D11">
        <f>VLOOKUP(A11,'Lignin measurement Plates'!B$72:B$121,1,FALSE)</f>
        <v>385</v>
      </c>
      <c r="E11" s="86">
        <f>VLOOKUP(A11,'Dried samples '!E$2:F$51,2,FALSE)</f>
        <v>11.4893</v>
      </c>
      <c r="F11" s="89">
        <f t="shared" si="0"/>
        <v>62.100000000000932</v>
      </c>
      <c r="G11" s="89">
        <f t="shared" si="1"/>
        <v>49.899999999999068</v>
      </c>
      <c r="H11" s="4">
        <f t="shared" si="2"/>
        <v>11.483220000000001</v>
      </c>
      <c r="I11" s="87">
        <f t="shared" si="3"/>
        <v>56.020000000001957</v>
      </c>
      <c r="J11" s="87">
        <f t="shared" si="4"/>
        <v>55.979999999998043</v>
      </c>
      <c r="K11" s="87">
        <f t="shared" si="5"/>
        <v>49.982142857141113</v>
      </c>
      <c r="L11" s="2">
        <f>VLOOKUP(A11,'Lignin measurement Plates'!D$182:F$231,2,FALSE)</f>
        <v>1.5227860085463521E-2</v>
      </c>
      <c r="M11" s="2">
        <f t="shared" si="6"/>
        <v>49.997370717226573</v>
      </c>
      <c r="N11" s="2" t="str">
        <f>VLOOKUP(A11,Hoja2!A$2:B$872,2,FALSE)</f>
        <v>10-P6S4C1AA -b</v>
      </c>
      <c r="O11" s="2" t="str">
        <f>IF(LEN('LIGNIN BILBAO'!N11)&gt;6,RIGHT(LEFT('LIGNIN BILBAO'!N11,11),2),RIGHT((LEFT(N11,4)),2))</f>
        <v>AA</v>
      </c>
      <c r="P11" s="2" t="str">
        <f>IF(LEN('LIGNIN BILBAO'!$N11)&gt;6,LEFT(N11,2),1)</f>
        <v>10</v>
      </c>
      <c r="Q11" s="2" t="str">
        <f>IF(LEN('LIGNIN BILBAO'!$N11)&gt;6,RIGHT(LEFT('LIGNIN BILBAO'!$N11,9),1),RIGHT(N11,1))</f>
        <v>1</v>
      </c>
      <c r="R11" s="2"/>
      <c r="S11" s="2"/>
      <c r="T11" s="2"/>
      <c r="U11" s="2"/>
      <c r="V11">
        <f t="shared" si="7"/>
        <v>385</v>
      </c>
    </row>
    <row r="12" spans="1:32" x14ac:dyDescent="0.3">
      <c r="A12">
        <v>331</v>
      </c>
      <c r="B12" s="2">
        <v>11.5023</v>
      </c>
      <c r="C12">
        <v>118.2</v>
      </c>
      <c r="D12">
        <f>VLOOKUP(A12,'Lignin measurement Plates'!B$72:B$121,1,FALSE)</f>
        <v>331</v>
      </c>
      <c r="E12" s="86">
        <f>VLOOKUP(A12,'Dried samples '!E$2:F$51,2,FALSE)</f>
        <v>11.566599999999999</v>
      </c>
      <c r="F12" s="89">
        <f t="shared" si="0"/>
        <v>64.299999999999358</v>
      </c>
      <c r="G12" s="89">
        <f t="shared" si="1"/>
        <v>53.900000000000645</v>
      </c>
      <c r="H12" s="4">
        <f t="shared" si="2"/>
        <v>11.56052</v>
      </c>
      <c r="I12" s="87">
        <f t="shared" si="3"/>
        <v>58.220000000000383</v>
      </c>
      <c r="J12" s="87">
        <f t="shared" si="4"/>
        <v>59.97999999999962</v>
      </c>
      <c r="K12" s="87">
        <f t="shared" si="5"/>
        <v>50.744500846023364</v>
      </c>
      <c r="L12" s="2">
        <f>VLOOKUP(A12,'Lignin measurement Plates'!D$182:F$231,2,FALSE)</f>
        <v>1.3511648396010005E-2</v>
      </c>
      <c r="M12" s="2">
        <f t="shared" si="6"/>
        <v>50.758012494419376</v>
      </c>
      <c r="N12" s="2" t="str">
        <f>VLOOKUP(A12,Hoja2!A$2:B$872,2,FALSE)</f>
        <v>10-P6S1C1AA -b</v>
      </c>
      <c r="O12" s="2" t="str">
        <f>IF(LEN('LIGNIN BILBAO'!N12)&gt;6,RIGHT(LEFT('LIGNIN BILBAO'!N12,11),2),RIGHT((LEFT(N12,4)),2))</f>
        <v>AA</v>
      </c>
      <c r="P12" s="2" t="str">
        <f>IF(LEN('LIGNIN BILBAO'!$N12)&gt;6,LEFT(N12,2),1)</f>
        <v>10</v>
      </c>
      <c r="Q12" s="2" t="str">
        <f>IF(LEN('LIGNIN BILBAO'!$N12)&gt;6,RIGHT(LEFT('LIGNIN BILBAO'!$N12,9),1),RIGHT(N12,1))</f>
        <v>1</v>
      </c>
      <c r="R12" s="2"/>
      <c r="S12" s="2"/>
      <c r="T12" s="2"/>
      <c r="U12" s="2"/>
      <c r="V12">
        <f t="shared" si="7"/>
        <v>331</v>
      </c>
    </row>
    <row r="13" spans="1:32" x14ac:dyDescent="0.3">
      <c r="A13">
        <v>127</v>
      </c>
      <c r="B13" s="2">
        <v>11.460699999999999</v>
      </c>
      <c r="C13">
        <v>110.4</v>
      </c>
      <c r="D13">
        <f>VLOOKUP(A13,'Lignin measurement Plates'!B$72:B$121,1,FALSE)</f>
        <v>127</v>
      </c>
      <c r="E13" s="86">
        <f>VLOOKUP(A13,'Dried samples '!E$2:F$51,2,FALSE)</f>
        <v>11.5242</v>
      </c>
      <c r="F13" s="89">
        <f t="shared" si="0"/>
        <v>63.500000000001222</v>
      </c>
      <c r="G13" s="89">
        <f t="shared" si="1"/>
        <v>46.899999999998784</v>
      </c>
      <c r="H13" s="4">
        <f t="shared" si="2"/>
        <v>11.518120000000001</v>
      </c>
      <c r="I13" s="87">
        <f t="shared" si="3"/>
        <v>57.420000000002247</v>
      </c>
      <c r="J13" s="87">
        <f t="shared" si="4"/>
        <v>52.979999999997759</v>
      </c>
      <c r="K13" s="87">
        <f t="shared" si="5"/>
        <v>47.989130434780577</v>
      </c>
      <c r="L13" s="2">
        <f>VLOOKUP(A13,'Lignin measurement Plates'!D$182:F$231,2,FALSE)</f>
        <v>1.5939692700667394E-2</v>
      </c>
      <c r="M13" s="2">
        <f t="shared" si="6"/>
        <v>48.005070127481247</v>
      </c>
      <c r="N13" s="2" t="str">
        <f>VLOOKUP(A13,Hoja2!A$2:B$872,2,FALSE)</f>
        <v>10-P1S5C1AA</v>
      </c>
      <c r="O13" s="2" t="str">
        <f>IF(LEN('LIGNIN BILBAO'!N13)&gt;6,RIGHT(LEFT('LIGNIN BILBAO'!N13,11),2),RIGHT((LEFT(N13,4)),2))</f>
        <v>AA</v>
      </c>
      <c r="P13" s="2" t="str">
        <f>IF(LEN('LIGNIN BILBAO'!$N13)&gt;6,LEFT(N13,2),1)</f>
        <v>10</v>
      </c>
      <c r="Q13" s="2" t="str">
        <f>IF(LEN('LIGNIN BILBAO'!$N13)&gt;6,RIGHT(LEFT('LIGNIN BILBAO'!$N13,9),1),RIGHT(N13,1))</f>
        <v>1</v>
      </c>
      <c r="R13" s="2"/>
      <c r="S13" s="2"/>
      <c r="T13" s="2"/>
      <c r="U13" s="2"/>
      <c r="V13">
        <f t="shared" si="7"/>
        <v>127</v>
      </c>
    </row>
    <row r="14" spans="1:32" x14ac:dyDescent="0.3">
      <c r="A14">
        <v>146</v>
      </c>
      <c r="B14" s="2">
        <v>11.4411</v>
      </c>
      <c r="C14">
        <v>115.5</v>
      </c>
      <c r="D14">
        <f>VLOOKUP(A14,'Lignin measurement Plates'!B$72:B$121,1,FALSE)</f>
        <v>146</v>
      </c>
      <c r="E14" s="86">
        <f>VLOOKUP(A14,'Dried samples '!E$2:F$51,2,FALSE)</f>
        <v>11.556800000000001</v>
      </c>
      <c r="F14" s="89">
        <f t="shared" si="0"/>
        <v>115.70000000000036</v>
      </c>
      <c r="G14" s="89">
        <f t="shared" si="1"/>
        <v>-0.20000000000035811</v>
      </c>
      <c r="H14" s="4">
        <f t="shared" si="2"/>
        <v>11.550720000000002</v>
      </c>
      <c r="I14" s="87">
        <f t="shared" si="3"/>
        <v>109.62000000000138</v>
      </c>
      <c r="J14" s="87">
        <f t="shared" si="4"/>
        <v>5.879999999998617</v>
      </c>
      <c r="K14" s="87">
        <f t="shared" si="5"/>
        <v>5.0909090909078936</v>
      </c>
      <c r="L14" s="2">
        <f>VLOOKUP(A14,'Lignin measurement Plates'!D$182:F$231,2,FALSE)</f>
        <v>2.1424097426246808E-2</v>
      </c>
      <c r="M14" s="2">
        <f t="shared" si="6"/>
        <v>5.1123331883341407</v>
      </c>
      <c r="N14" s="2" t="str">
        <f>VLOOKUP(A14,Hoja2!A$2:B$872,2,FALSE)</f>
        <v>25-P3S2C1AA</v>
      </c>
      <c r="O14" s="2" t="str">
        <f>IF(LEN('LIGNIN BILBAO'!N14)&gt;6,RIGHT(LEFT('LIGNIN BILBAO'!N14,11),2),RIGHT((LEFT(N14,4)),2))</f>
        <v>AA</v>
      </c>
      <c r="P14" s="2" t="str">
        <f>IF(LEN('LIGNIN BILBAO'!$N14)&gt;6,LEFT(N14,2),1)</f>
        <v>25</v>
      </c>
      <c r="Q14" s="2" t="str">
        <f>IF(LEN('LIGNIN BILBAO'!$N14)&gt;6,RIGHT(LEFT('LIGNIN BILBAO'!$N14,9),1),RIGHT(N14,1))</f>
        <v>1</v>
      </c>
      <c r="R14" s="2"/>
      <c r="S14" s="2"/>
      <c r="T14" s="2"/>
      <c r="U14" s="2"/>
      <c r="V14">
        <f t="shared" si="7"/>
        <v>146</v>
      </c>
      <c r="Z14">
        <v>1023</v>
      </c>
      <c r="AA14">
        <v>11.5091</v>
      </c>
      <c r="AB14">
        <v>144.4</v>
      </c>
      <c r="AC14">
        <v>1023</v>
      </c>
      <c r="AD14">
        <v>11.676</v>
      </c>
      <c r="AE14">
        <v>166.90000000000003</v>
      </c>
      <c r="AF14">
        <v>-22.500000000000028</v>
      </c>
    </row>
    <row r="15" spans="1:32" x14ac:dyDescent="0.3">
      <c r="A15">
        <v>7</v>
      </c>
      <c r="B15" s="2">
        <v>11.483000000000001</v>
      </c>
      <c r="C15">
        <v>109.5</v>
      </c>
      <c r="D15">
        <f>VLOOKUP(A15,'Lignin measurement Plates'!B$72:B$121,1,FALSE)</f>
        <v>7</v>
      </c>
      <c r="E15" s="86">
        <f>VLOOKUP(A15,'Dried samples '!E$2:F$51,2,FALSE)</f>
        <v>11.5268</v>
      </c>
      <c r="F15" s="89">
        <f t="shared" si="0"/>
        <v>43.799999999999173</v>
      </c>
      <c r="G15" s="89">
        <f t="shared" si="1"/>
        <v>65.700000000000827</v>
      </c>
      <c r="H15" s="4">
        <f t="shared" si="2"/>
        <v>11.520720000000001</v>
      </c>
      <c r="I15" s="87">
        <f t="shared" si="3"/>
        <v>37.720000000000198</v>
      </c>
      <c r="J15" s="87">
        <f t="shared" si="4"/>
        <v>71.779999999999802</v>
      </c>
      <c r="K15" s="87">
        <f t="shared" si="5"/>
        <v>65.552511415524933</v>
      </c>
      <c r="L15" s="2">
        <f>VLOOKUP(A15,'Lignin measurement Plates'!D$182:F$231,2,FALSE)</f>
        <v>1.4540160647497254E-2</v>
      </c>
      <c r="M15" s="2">
        <f t="shared" si="6"/>
        <v>65.567051576172432</v>
      </c>
      <c r="N15" s="2" t="str">
        <f>VLOOKUP(A15,Hoja2!A$2:B$872,2,FALSE)</f>
        <v>10-P1S1C1AA</v>
      </c>
      <c r="O15" s="2" t="str">
        <f>IF(LEN('LIGNIN BILBAO'!N15)&gt;6,RIGHT(LEFT('LIGNIN BILBAO'!N15,11),2),RIGHT((LEFT(N15,4)),2))</f>
        <v>AA</v>
      </c>
      <c r="P15" s="2" t="str">
        <f>IF(LEN('LIGNIN BILBAO'!$N15)&gt;6,LEFT(N15,2),1)</f>
        <v>10</v>
      </c>
      <c r="Q15" s="2" t="str">
        <f>IF(LEN('LIGNIN BILBAO'!$N15)&gt;6,RIGHT(LEFT('LIGNIN BILBAO'!$N15,9),1),RIGHT(N15,1))</f>
        <v>1</v>
      </c>
      <c r="R15" s="2"/>
      <c r="S15" s="2"/>
      <c r="T15" s="2"/>
      <c r="U15" s="2"/>
      <c r="V15">
        <f t="shared" si="7"/>
        <v>7</v>
      </c>
      <c r="Z15">
        <v>75</v>
      </c>
      <c r="AA15">
        <v>11.512499999999999</v>
      </c>
      <c r="AB15">
        <v>107.2</v>
      </c>
      <c r="AC15">
        <v>75</v>
      </c>
      <c r="AD15">
        <v>11.6677</v>
      </c>
      <c r="AE15">
        <v>155.20000000000067</v>
      </c>
      <c r="AF15">
        <v>-48.000000000000668</v>
      </c>
    </row>
    <row r="16" spans="1:32" x14ac:dyDescent="0.3">
      <c r="A16">
        <v>176</v>
      </c>
      <c r="B16" s="1">
        <v>11.4049</v>
      </c>
      <c r="C16">
        <v>137.6</v>
      </c>
      <c r="D16">
        <f>VLOOKUP(A16,'Lignin measurement Plates'!B$72:B$121,1,FALSE)</f>
        <v>176</v>
      </c>
      <c r="E16" s="86">
        <f>VLOOKUP(A16,'Dried samples '!E$2:F$51,2,FALSE)</f>
        <v>11.5654</v>
      </c>
      <c r="F16" s="89">
        <f t="shared" si="0"/>
        <v>160.50000000000074</v>
      </c>
      <c r="G16" s="89">
        <f t="shared" si="1"/>
        <v>-22.900000000000745</v>
      </c>
      <c r="H16" s="4">
        <f t="shared" si="2"/>
        <v>11.559320000000001</v>
      </c>
      <c r="I16" s="87">
        <f t="shared" si="3"/>
        <v>154.42000000000178</v>
      </c>
      <c r="J16" s="87">
        <f t="shared" si="4"/>
        <v>-16.820000000001784</v>
      </c>
      <c r="K16" s="87">
        <f t="shared" si="5"/>
        <v>-12.223837209303623</v>
      </c>
      <c r="L16" s="2">
        <f>VLOOKUP(A16,'Lignin measurement Plates'!D$182:F$231,2,FALSE)</f>
        <v>4.2772702847931214E-2</v>
      </c>
      <c r="M16" s="2"/>
      <c r="N16" s="2" t="str">
        <f>VLOOKUP(A16,Hoja2!A$2:B$872,2,FALSE)</f>
        <v>10-P3S4C1AA</v>
      </c>
      <c r="O16" s="2" t="str">
        <f>IF(LEN('LIGNIN BILBAO'!N16)&gt;6,RIGHT(LEFT('LIGNIN BILBAO'!N16,11),2),RIGHT((LEFT(N16,4)),2))</f>
        <v>AA</v>
      </c>
      <c r="P16" s="2" t="str">
        <f>IF(LEN('LIGNIN BILBAO'!$N16)&gt;6,LEFT(N16,2),1)</f>
        <v>10</v>
      </c>
      <c r="Q16" s="2" t="str">
        <f>IF(LEN('LIGNIN BILBAO'!$N16)&gt;6,RIGHT(LEFT('LIGNIN BILBAO'!$N16,9),1),RIGHT(N16,1))</f>
        <v>1</v>
      </c>
      <c r="R16" s="2"/>
      <c r="S16" s="2"/>
      <c r="T16" s="2"/>
      <c r="U16" s="2"/>
      <c r="V16">
        <f t="shared" si="7"/>
        <v>176</v>
      </c>
      <c r="Z16">
        <v>396</v>
      </c>
      <c r="AA16">
        <v>11.460900000000001</v>
      </c>
      <c r="AB16">
        <v>159.1</v>
      </c>
      <c r="AC16">
        <v>396</v>
      </c>
      <c r="AD16">
        <v>11.637</v>
      </c>
      <c r="AE16">
        <v>176.09999999999991</v>
      </c>
      <c r="AF16">
        <v>-16.999999999999915</v>
      </c>
    </row>
    <row r="17" spans="1:32" x14ac:dyDescent="0.3">
      <c r="A17">
        <v>708</v>
      </c>
      <c r="B17" s="2">
        <v>11.4801</v>
      </c>
      <c r="C17">
        <v>124</v>
      </c>
      <c r="D17">
        <f>VLOOKUP(A17,'Lignin measurement Plates'!B$72:B$121,1,FALSE)</f>
        <v>708</v>
      </c>
      <c r="E17" s="86">
        <f>VLOOKUP(A17,'Dried samples '!E$2:F$51,2,FALSE)</f>
        <v>11.578200000000001</v>
      </c>
      <c r="F17" s="89">
        <f t="shared" si="0"/>
        <v>98.10000000000052</v>
      </c>
      <c r="G17" s="89">
        <f t="shared" si="1"/>
        <v>25.89999999999948</v>
      </c>
      <c r="H17" s="4">
        <f t="shared" si="2"/>
        <v>11.572120000000002</v>
      </c>
      <c r="I17" s="87">
        <f t="shared" si="3"/>
        <v>92.020000000001545</v>
      </c>
      <c r="J17" s="87">
        <f t="shared" si="4"/>
        <v>31.979999999998455</v>
      </c>
      <c r="K17" s="87">
        <f t="shared" si="5"/>
        <v>25.790322580643917</v>
      </c>
      <c r="L17" s="2">
        <f>VLOOKUP(A17,'Lignin measurement Plates'!D$182:F$231,2,FALSE)</f>
        <v>2.6156823999121757E-2</v>
      </c>
      <c r="M17" s="2">
        <f t="shared" si="6"/>
        <v>25.81647940464304</v>
      </c>
      <c r="N17" s="2" t="str">
        <f>VLOOKUP(A17,Hoja2!A$2:B$872,2,FALSE)</f>
        <v>10-P2S4C1AA</v>
      </c>
      <c r="O17" s="2" t="str">
        <f>IF(LEN('LIGNIN BILBAO'!N17)&gt;6,RIGHT(LEFT('LIGNIN BILBAO'!N17,11),2),RIGHT((LEFT(N17,4)),2))</f>
        <v>AA</v>
      </c>
      <c r="P17" s="2" t="str">
        <f>IF(LEN('LIGNIN BILBAO'!$N17)&gt;6,LEFT(N17,2),1)</f>
        <v>10</v>
      </c>
      <c r="Q17" s="2" t="str">
        <f>IF(LEN('LIGNIN BILBAO'!$N17)&gt;6,RIGHT(LEFT('LIGNIN BILBAO'!$N17,9),1),RIGHT(N17,1))</f>
        <v>1</v>
      </c>
      <c r="R17" s="2"/>
      <c r="S17" s="2"/>
      <c r="T17" s="2"/>
      <c r="U17" s="2"/>
      <c r="V17">
        <f t="shared" si="7"/>
        <v>708</v>
      </c>
    </row>
    <row r="18" spans="1:32" x14ac:dyDescent="0.3">
      <c r="A18">
        <v>189</v>
      </c>
      <c r="B18" s="2">
        <v>11.480499999999999</v>
      </c>
      <c r="C18">
        <v>166.4</v>
      </c>
      <c r="D18">
        <f>VLOOKUP(A18,'Lignin measurement Plates'!B$72:B$121,1,FALSE)</f>
        <v>189</v>
      </c>
      <c r="E18" s="86">
        <f>VLOOKUP(A18,'Dried samples '!E$2:F$51,2,FALSE)</f>
        <v>11.618499999999999</v>
      </c>
      <c r="F18" s="89">
        <f t="shared" si="0"/>
        <v>137.99999999999989</v>
      </c>
      <c r="G18" s="89">
        <f t="shared" si="1"/>
        <v>28.400000000000119</v>
      </c>
      <c r="H18" s="4">
        <f t="shared" si="2"/>
        <v>11.61242</v>
      </c>
      <c r="I18" s="87">
        <f t="shared" si="3"/>
        <v>131.92000000000093</v>
      </c>
      <c r="J18" s="87">
        <f t="shared" si="4"/>
        <v>34.47999999999908</v>
      </c>
      <c r="K18" s="87">
        <f t="shared" si="5"/>
        <v>20.721153846153292</v>
      </c>
      <c r="L18" s="2">
        <f>VLOOKUP(A18,'Lignin measurement Plates'!D$182:F$231,2,FALSE)</f>
        <v>1.7921850673059694E-2</v>
      </c>
      <c r="M18" s="2">
        <f t="shared" si="6"/>
        <v>20.739075696826351</v>
      </c>
      <c r="N18" s="2" t="str">
        <f>VLOOKUP(A18,Hoja2!A$2:B$872,2,FALSE)</f>
        <v>10-P3S5C2AA</v>
      </c>
      <c r="O18" s="2" t="str">
        <f>IF(LEN('LIGNIN BILBAO'!N18)&gt;6,RIGHT(LEFT('LIGNIN BILBAO'!N18,11),2),RIGHT((LEFT(N18,4)),2))</f>
        <v>AA</v>
      </c>
      <c r="P18" s="2" t="str">
        <f>IF(LEN('LIGNIN BILBAO'!$N18)&gt;6,LEFT(N18,2),1)</f>
        <v>10</v>
      </c>
      <c r="Q18" s="2" t="str">
        <f>IF(LEN('LIGNIN BILBAO'!$N18)&gt;6,RIGHT(LEFT('LIGNIN BILBAO'!$N18,9),1),RIGHT(N18,1))</f>
        <v>2</v>
      </c>
      <c r="R18" s="2"/>
      <c r="S18" s="2"/>
      <c r="T18" s="2"/>
      <c r="U18" s="2"/>
      <c r="V18">
        <f t="shared" si="7"/>
        <v>189</v>
      </c>
    </row>
    <row r="19" spans="1:32" x14ac:dyDescent="0.3">
      <c r="A19">
        <v>1047</v>
      </c>
      <c r="B19" s="2">
        <v>11.404999999999999</v>
      </c>
      <c r="C19">
        <v>122.5</v>
      </c>
      <c r="D19">
        <f>VLOOKUP(A19,'Lignin measurement Plates'!B$72:B$121,1,FALSE)</f>
        <v>1047</v>
      </c>
      <c r="E19" s="86">
        <f>VLOOKUP(A19,'Dried samples '!E$2:F$51,2,FALSE)</f>
        <v>11.5905</v>
      </c>
      <c r="F19" s="89">
        <f t="shared" si="0"/>
        <v>185.50000000000111</v>
      </c>
      <c r="G19" s="89">
        <f t="shared" si="1"/>
        <v>-63.000000000001108</v>
      </c>
      <c r="H19" s="4">
        <f t="shared" si="2"/>
        <v>11.584420000000001</v>
      </c>
      <c r="I19" s="87">
        <f t="shared" si="3"/>
        <v>179.42000000000212</v>
      </c>
      <c r="J19" s="87">
        <f t="shared" si="4"/>
        <v>-56.920000000002119</v>
      </c>
      <c r="K19" s="87">
        <f t="shared" si="5"/>
        <v>-46.465306122450713</v>
      </c>
      <c r="L19" s="2">
        <f>VLOOKUP(A19,'Lignin measurement Plates'!D$182:F$231,2,FALSE)</f>
        <v>9.5164694572079239E-2</v>
      </c>
      <c r="M19" s="2"/>
      <c r="N19" s="2" t="str">
        <f>VLOOKUP(A19,Hoja2!A$2:B$872,2,FALSE)</f>
        <v>64FS2</v>
      </c>
      <c r="O19" s="2" t="str">
        <f>IF(LEN('LIGNIN BILBAO'!N19)&gt;6,RIGHT(LEFT('LIGNIN BILBAO'!N19,11),2),RIGHT((LEFT(N19,4)),2))</f>
        <v>FS</v>
      </c>
      <c r="P19" s="90">
        <f>IF(LEN('LIGNIN BILBAO'!$N19)&gt;6,LEFT(N19,2),1)</f>
        <v>1</v>
      </c>
      <c r="Q19" s="2" t="str">
        <f>IF(LEN('LIGNIN BILBAO'!$N19)&gt;6,RIGHT(LEFT('LIGNIN BILBAO'!$N19,9),1),RIGHT(N19,1))</f>
        <v>2</v>
      </c>
      <c r="R19" s="2"/>
      <c r="S19" s="2"/>
      <c r="T19" s="2"/>
      <c r="U19" s="2"/>
      <c r="V19">
        <f t="shared" si="7"/>
        <v>1047</v>
      </c>
      <c r="Z19">
        <v>1023</v>
      </c>
      <c r="AA19">
        <v>11.5091</v>
      </c>
      <c r="AB19">
        <v>144.4</v>
      </c>
      <c r="AC19">
        <v>1023</v>
      </c>
      <c r="AD19">
        <v>11.632400000000001</v>
      </c>
      <c r="AE19">
        <v>123.30000000000041</v>
      </c>
      <c r="AF19">
        <v>21.099999999999596</v>
      </c>
    </row>
    <row r="20" spans="1:32" x14ac:dyDescent="0.3">
      <c r="A20">
        <v>1070</v>
      </c>
      <c r="B20" s="2">
        <v>11.503</v>
      </c>
      <c r="C20">
        <v>150.5</v>
      </c>
      <c r="D20">
        <f>VLOOKUP(A20,'Lignin measurement Plates'!B$72:B$121,1,FALSE)</f>
        <v>1070</v>
      </c>
      <c r="E20" s="86">
        <f>VLOOKUP(A20,'Dried samples '!E$2:F$51,2,FALSE)</f>
        <v>11.654500000000001</v>
      </c>
      <c r="F20" s="89">
        <f t="shared" si="0"/>
        <v>151.5000000000004</v>
      </c>
      <c r="G20" s="89">
        <f t="shared" si="1"/>
        <v>-1.0000000000003979</v>
      </c>
      <c r="H20" s="4">
        <f t="shared" si="2"/>
        <v>11.648420000000002</v>
      </c>
      <c r="I20" s="87">
        <f t="shared" si="3"/>
        <v>145.42000000000144</v>
      </c>
      <c r="J20" s="87">
        <f t="shared" si="4"/>
        <v>5.079999999998563</v>
      </c>
      <c r="K20" s="87">
        <f t="shared" si="5"/>
        <v>3.3754152823910721</v>
      </c>
      <c r="L20" s="2">
        <f>VLOOKUP(A20,'Lignin measurement Plates'!D$182:F$231,2,FALSE)</f>
        <v>8.7416391596939688E-2</v>
      </c>
      <c r="M20" s="2">
        <f t="shared" si="6"/>
        <v>3.4628316739880116</v>
      </c>
      <c r="N20" s="2" t="str">
        <f>VLOOKUP(A20,Hoja2!A$2:B$872,2,FALSE)</f>
        <v>33FS1</v>
      </c>
      <c r="O20" s="2" t="str">
        <f>IF(LEN('LIGNIN BILBAO'!N20)&gt;6,RIGHT(LEFT('LIGNIN BILBAO'!N20,11),2),RIGHT((LEFT(N20,4)),2))</f>
        <v>FS</v>
      </c>
      <c r="P20" s="90">
        <f>IF(LEN('LIGNIN BILBAO'!$N20)&gt;6,LEFT(N20,2),1)</f>
        <v>1</v>
      </c>
      <c r="Q20" s="2" t="str">
        <f>IF(LEN('LIGNIN BILBAO'!$N20)&gt;6,RIGHT(LEFT('LIGNIN BILBAO'!$N20,9),1),RIGHT(N20,1))</f>
        <v>1</v>
      </c>
      <c r="R20" s="2"/>
      <c r="S20" s="2"/>
      <c r="T20" s="2"/>
      <c r="U20" s="2"/>
      <c r="V20">
        <f t="shared" si="7"/>
        <v>1070</v>
      </c>
      <c r="Z20">
        <v>75</v>
      </c>
      <c r="AA20">
        <v>11.512499999999999</v>
      </c>
      <c r="AB20">
        <v>107.2</v>
      </c>
      <c r="AC20">
        <v>75</v>
      </c>
      <c r="AD20">
        <v>11.622</v>
      </c>
      <c r="AE20">
        <v>109.5000000000006</v>
      </c>
      <c r="AF20">
        <v>-2.300000000000594</v>
      </c>
    </row>
    <row r="21" spans="1:32" x14ac:dyDescent="0.3">
      <c r="A21">
        <v>1048</v>
      </c>
      <c r="B21" s="2">
        <v>11.5105</v>
      </c>
      <c r="C21">
        <v>136.19999999999999</v>
      </c>
      <c r="D21">
        <f>VLOOKUP(A21,'Lignin measurement Plates'!B$72:B$121,1,FALSE)</f>
        <v>1048</v>
      </c>
      <c r="E21" s="86">
        <f>VLOOKUP(A21,'Dried samples '!E$2:F$51,2,FALSE)</f>
        <v>11.565799999999999</v>
      </c>
      <c r="F21" s="89">
        <f t="shared" si="0"/>
        <v>55.299999999999017</v>
      </c>
      <c r="G21" s="89">
        <f t="shared" si="1"/>
        <v>80.900000000000972</v>
      </c>
      <c r="H21" s="4">
        <f t="shared" si="2"/>
        <v>11.55972</v>
      </c>
      <c r="I21" s="87">
        <f t="shared" si="3"/>
        <v>49.220000000000041</v>
      </c>
      <c r="J21" s="87">
        <f t="shared" si="4"/>
        <v>86.979999999999947</v>
      </c>
      <c r="K21" s="87">
        <f t="shared" si="5"/>
        <v>63.861967694566779</v>
      </c>
      <c r="L21" s="2">
        <f>VLOOKUP(A21,'Lignin measurement Plates'!D$182:F$231,2,FALSE)</f>
        <v>9.3952508966936812E-2</v>
      </c>
      <c r="M21" s="2">
        <f t="shared" si="6"/>
        <v>63.955920203533715</v>
      </c>
      <c r="N21" s="2" t="str">
        <f>VLOOKUP(A21,Hoja2!A$2:B$872,2,FALSE)</f>
        <v>64FS4</v>
      </c>
      <c r="O21" s="2" t="str">
        <f>IF(LEN('LIGNIN BILBAO'!N21)&gt;6,RIGHT(LEFT('LIGNIN BILBAO'!N21,11),2),RIGHT((LEFT(N21,4)),2))</f>
        <v>FS</v>
      </c>
      <c r="P21" s="90">
        <f>IF(LEN('LIGNIN BILBAO'!$N21)&gt;6,LEFT(N21,2),1)</f>
        <v>1</v>
      </c>
      <c r="Q21" s="2" t="str">
        <f>IF(LEN('LIGNIN BILBAO'!$N21)&gt;6,RIGHT(LEFT('LIGNIN BILBAO'!$N21,9),1),RIGHT(N21,1))</f>
        <v>4</v>
      </c>
      <c r="R21" s="2"/>
      <c r="S21" s="2"/>
      <c r="T21" s="2"/>
      <c r="U21" s="2"/>
      <c r="V21">
        <f t="shared" si="7"/>
        <v>1048</v>
      </c>
      <c r="Z21">
        <v>362</v>
      </c>
      <c r="AA21">
        <v>11.4815</v>
      </c>
      <c r="AB21">
        <v>109.2</v>
      </c>
      <c r="AC21">
        <v>362</v>
      </c>
      <c r="AD21">
        <v>11.5474</v>
      </c>
      <c r="AE21">
        <v>65.899999999999181</v>
      </c>
      <c r="AF21">
        <v>43.300000000000821</v>
      </c>
    </row>
    <row r="22" spans="1:32" x14ac:dyDescent="0.3">
      <c r="A22">
        <v>1089</v>
      </c>
      <c r="B22" s="2">
        <v>11.4655</v>
      </c>
      <c r="C22">
        <v>141.5</v>
      </c>
      <c r="D22">
        <f>VLOOKUP(A22,'Lignin measurement Plates'!B$72:B$121,1,FALSE)</f>
        <v>1089</v>
      </c>
      <c r="E22" s="86">
        <f>VLOOKUP(A22,'Dried samples '!E$2:F$51,2,FALSE)</f>
        <v>11.592599999999999</v>
      </c>
      <c r="F22" s="89">
        <f t="shared" si="0"/>
        <v>127.09999999999866</v>
      </c>
      <c r="G22" s="89">
        <f t="shared" si="1"/>
        <v>14.400000000001342</v>
      </c>
      <c r="H22" s="4">
        <f t="shared" si="2"/>
        <v>11.58652</v>
      </c>
      <c r="I22" s="87">
        <f t="shared" si="3"/>
        <v>121.01999999999968</v>
      </c>
      <c r="J22" s="87">
        <f t="shared" si="4"/>
        <v>20.480000000000317</v>
      </c>
      <c r="K22" s="87">
        <f t="shared" si="5"/>
        <v>14.47349823321577</v>
      </c>
      <c r="L22" s="2">
        <f>VLOOKUP(A22,'Lignin measurement Plates'!D$182:F$231,2,FALSE)</f>
        <v>8.5974471974171948E-2</v>
      </c>
      <c r="M22" s="2">
        <f t="shared" si="6"/>
        <v>14.559472705189942</v>
      </c>
      <c r="N22" s="2" t="str">
        <f>VLOOKUP(A22,Hoja2!A$2:B$872,2,FALSE)</f>
        <v>65FS2</v>
      </c>
      <c r="O22" s="2" t="str">
        <f>IF(LEN('LIGNIN BILBAO'!N22)&gt;6,RIGHT(LEFT('LIGNIN BILBAO'!N22,11),2),RIGHT((LEFT(N22,4)),2))</f>
        <v>FS</v>
      </c>
      <c r="P22" s="90">
        <f>IF(LEN('LIGNIN BILBAO'!$N22)&gt;6,LEFT(N22,2),1)</f>
        <v>1</v>
      </c>
      <c r="Q22" s="2" t="str">
        <f>IF(LEN('LIGNIN BILBAO'!$N22)&gt;6,RIGHT(LEFT('LIGNIN BILBAO'!$N22,9),1),RIGHT(N22,1))</f>
        <v>2</v>
      </c>
      <c r="R22" s="2"/>
      <c r="S22" s="2"/>
      <c r="T22" s="2"/>
      <c r="U22" s="2"/>
      <c r="V22">
        <f t="shared" si="7"/>
        <v>1089</v>
      </c>
    </row>
    <row r="23" spans="1:32" x14ac:dyDescent="0.3">
      <c r="A23">
        <v>1023</v>
      </c>
      <c r="B23" s="2">
        <v>11.5091</v>
      </c>
      <c r="C23">
        <v>144.4</v>
      </c>
      <c r="D23">
        <f>VLOOKUP(A23,'Lignin measurement Plates'!B$72:B$121,1,FALSE)</f>
        <v>1023</v>
      </c>
      <c r="E23" s="86">
        <f>VLOOKUP(A23,'Dried samples '!E$2:F$51,2,FALSE)</f>
        <v>11.628299999999999</v>
      </c>
      <c r="F23" s="89">
        <f t="shared" si="0"/>
        <v>119.19999999999931</v>
      </c>
      <c r="G23" s="89">
        <f t="shared" si="1"/>
        <v>25.200000000000699</v>
      </c>
      <c r="H23" s="4">
        <f t="shared" si="2"/>
        <v>11.62222</v>
      </c>
      <c r="I23" s="87">
        <f t="shared" si="3"/>
        <v>113.12000000000033</v>
      </c>
      <c r="J23" s="87">
        <f t="shared" si="4"/>
        <v>31.279999999999674</v>
      </c>
      <c r="K23" s="87">
        <f t="shared" si="5"/>
        <v>21.662049861495618</v>
      </c>
      <c r="L23" s="2">
        <f>VLOOKUP(A23,'Lignin measurement Plates'!D$182:F$231,2,FALSE)</f>
        <v>9.6570961610309883E-2</v>
      </c>
      <c r="M23" s="2">
        <f t="shared" si="6"/>
        <v>21.758620823105929</v>
      </c>
      <c r="N23" s="2" t="str">
        <f>VLOOKUP(A23,Hoja2!A$2:B$872,2,FALSE)</f>
        <v>31FS2</v>
      </c>
      <c r="O23" s="2" t="str">
        <f>IF(LEN('LIGNIN BILBAO'!N23)&gt;6,RIGHT(LEFT('LIGNIN BILBAO'!N23,11),2),RIGHT((LEFT(N23,4)),2))</f>
        <v>FS</v>
      </c>
      <c r="P23" s="90">
        <f>IF(LEN('LIGNIN BILBAO'!$N23)&gt;6,LEFT(N23,2),1)</f>
        <v>1</v>
      </c>
      <c r="Q23" s="2" t="str">
        <f>IF(LEN('LIGNIN BILBAO'!$N23)&gt;6,RIGHT(LEFT('LIGNIN BILBAO'!$N23,9),1),RIGHT(N23,1))</f>
        <v>2</v>
      </c>
      <c r="R23" s="2"/>
      <c r="S23" s="2"/>
      <c r="T23" s="2"/>
      <c r="U23" s="2"/>
      <c r="V23">
        <f t="shared" si="7"/>
        <v>1023</v>
      </c>
    </row>
    <row r="24" spans="1:32" x14ac:dyDescent="0.3">
      <c r="A24">
        <v>1072</v>
      </c>
      <c r="B24" s="2">
        <v>11.4125</v>
      </c>
      <c r="C24">
        <v>115.7</v>
      </c>
      <c r="D24">
        <f>VLOOKUP(A24,'Lignin measurement Plates'!B$72:B$121,1,FALSE)</f>
        <v>1072</v>
      </c>
      <c r="E24" s="86">
        <f>VLOOKUP(A24,'Dried samples '!E$2:F$51,2,FALSE)</f>
        <v>11.5024</v>
      </c>
      <c r="F24" s="89">
        <f t="shared" si="0"/>
        <v>89.900000000000091</v>
      </c>
      <c r="G24" s="89">
        <f t="shared" si="1"/>
        <v>25.799999999999912</v>
      </c>
      <c r="H24" s="4">
        <f t="shared" si="2"/>
        <v>11.496320000000001</v>
      </c>
      <c r="I24" s="87">
        <f t="shared" si="3"/>
        <v>83.820000000001116</v>
      </c>
      <c r="J24" s="87">
        <f t="shared" si="4"/>
        <v>31.879999999998887</v>
      </c>
      <c r="K24" s="87">
        <f t="shared" si="5"/>
        <v>27.554019014692209</v>
      </c>
      <c r="L24" s="2">
        <f>VLOOKUP(A24,'Lignin measurement Plates'!D$182:F$231,2,FALSE)</f>
        <v>8.3290257450579594E-2</v>
      </c>
      <c r="M24" s="2">
        <f t="shared" si="6"/>
        <v>27.637309272142787</v>
      </c>
      <c r="N24" s="2" t="str">
        <f>VLOOKUP(A24,Hoja2!A$2:B$872,2,FALSE)</f>
        <v>33FS4</v>
      </c>
      <c r="O24" s="2" t="str">
        <f>IF(LEN('LIGNIN BILBAO'!N24)&gt;6,RIGHT(LEFT('LIGNIN BILBAO'!N24,11),2),RIGHT((LEFT(N24,4)),2))</f>
        <v>FS</v>
      </c>
      <c r="P24" s="90">
        <f>IF(LEN('LIGNIN BILBAO'!$N24)&gt;6,LEFT(N24,2),1)</f>
        <v>1</v>
      </c>
      <c r="Q24" s="2" t="str">
        <f>IF(LEN('LIGNIN BILBAO'!$N24)&gt;6,RIGHT(LEFT('LIGNIN BILBAO'!$N24,9),1),RIGHT(N24,1))</f>
        <v>4</v>
      </c>
      <c r="R24" s="2"/>
      <c r="S24" s="2"/>
      <c r="T24" s="2"/>
      <c r="U24" s="2"/>
      <c r="V24">
        <f t="shared" si="7"/>
        <v>1072</v>
      </c>
    </row>
    <row r="25" spans="1:32" x14ac:dyDescent="0.3">
      <c r="A25">
        <v>1018</v>
      </c>
      <c r="B25" s="2">
        <v>11.4642</v>
      </c>
      <c r="C25">
        <v>105.1</v>
      </c>
      <c r="D25">
        <f>VLOOKUP(A25,'Lignin measurement Plates'!B$72:B$121,1,FALSE)</f>
        <v>1018</v>
      </c>
      <c r="E25" s="86">
        <f>VLOOKUP(A25,'Dried samples '!E$2:F$51,2,FALSE)</f>
        <v>11.511799999999999</v>
      </c>
      <c r="F25" s="89">
        <f t="shared" si="0"/>
        <v>47.599999999999199</v>
      </c>
      <c r="G25" s="89">
        <f t="shared" si="1"/>
        <v>57.500000000000796</v>
      </c>
      <c r="H25" s="4">
        <f t="shared" si="2"/>
        <v>11.50572</v>
      </c>
      <c r="I25" s="87">
        <f t="shared" si="3"/>
        <v>41.520000000000223</v>
      </c>
      <c r="J25" s="87">
        <f t="shared" si="4"/>
        <v>63.579999999999771</v>
      </c>
      <c r="K25" s="87">
        <f t="shared" si="5"/>
        <v>60.494766888677233</v>
      </c>
      <c r="L25" s="2">
        <f>VLOOKUP(A25,'Lignin measurement Plates'!D$182:F$231,2,FALSE)</f>
        <v>9.7600078258502893E-2</v>
      </c>
      <c r="M25" s="2">
        <f t="shared" si="6"/>
        <v>60.592366966935735</v>
      </c>
      <c r="N25" s="2" t="str">
        <f>VLOOKUP(A25,Hoja2!A$2:B$872,2,FALSE)</f>
        <v>15FS4</v>
      </c>
      <c r="O25" s="2" t="str">
        <f>IF(LEN('LIGNIN BILBAO'!N25)&gt;6,RIGHT(LEFT('LIGNIN BILBAO'!N25,11),2),RIGHT((LEFT(N25,4)),2))</f>
        <v>FS</v>
      </c>
      <c r="P25" s="90">
        <f>IF(LEN('LIGNIN BILBAO'!$N25)&gt;6,LEFT(N25,2),1)</f>
        <v>1</v>
      </c>
      <c r="Q25" s="2" t="str">
        <f>IF(LEN('LIGNIN BILBAO'!$N25)&gt;6,RIGHT(LEFT('LIGNIN BILBAO'!$N25,9),1),RIGHT(N25,1))</f>
        <v>4</v>
      </c>
      <c r="R25" s="2"/>
      <c r="S25" s="2"/>
      <c r="T25" s="2"/>
      <c r="U25" s="2"/>
      <c r="V25">
        <f t="shared" si="7"/>
        <v>1018</v>
      </c>
    </row>
    <row r="26" spans="1:32" x14ac:dyDescent="0.3">
      <c r="A26">
        <v>1032</v>
      </c>
      <c r="B26" s="2">
        <v>11.4968</v>
      </c>
      <c r="C26">
        <v>151.30000000000001</v>
      </c>
      <c r="D26">
        <f>VLOOKUP(A26,'Lignin measurement Plates'!B$72:B$121,1,FALSE)</f>
        <v>1032</v>
      </c>
      <c r="E26" s="86">
        <f>VLOOKUP(A26,'Dried samples '!E$2:F$51,2,FALSE)</f>
        <v>11.6089</v>
      </c>
      <c r="F26" s="89">
        <f t="shared" si="0"/>
        <v>112.09999999999987</v>
      </c>
      <c r="G26" s="89">
        <f t="shared" si="1"/>
        <v>39.200000000000145</v>
      </c>
      <c r="H26" s="4">
        <f t="shared" si="2"/>
        <v>11.602820000000001</v>
      </c>
      <c r="I26" s="87">
        <f t="shared" si="3"/>
        <v>106.02000000000089</v>
      </c>
      <c r="J26" s="87">
        <f t="shared" si="4"/>
        <v>45.27999999999912</v>
      </c>
      <c r="K26" s="87">
        <f t="shared" si="5"/>
        <v>29.927296761400608</v>
      </c>
      <c r="L26" s="2">
        <f>VLOOKUP(A26,'Lignin measurement Plates'!D$182:F$231,2,FALSE)</f>
        <v>1.6680606396601707E-2</v>
      </c>
      <c r="M26" s="2">
        <f t="shared" si="6"/>
        <v>29.94397736779721</v>
      </c>
      <c r="N26" s="2" t="str">
        <f>VLOOKUP(A26,Hoja2!A$2:B$872,2,FALSE)</f>
        <v>35AA2</v>
      </c>
      <c r="O26" s="2" t="str">
        <f>IF(LEN('LIGNIN BILBAO'!N26)&gt;6,RIGHT(LEFT('LIGNIN BILBAO'!N26,11),2),RIGHT((LEFT(N26,4)),2))</f>
        <v>AA</v>
      </c>
      <c r="P26" s="90">
        <f>IF(LEN('LIGNIN BILBAO'!$N26)&gt;6,LEFT(N26,2),1)</f>
        <v>1</v>
      </c>
      <c r="Q26" s="2" t="str">
        <f>IF(LEN('LIGNIN BILBAO'!$N26)&gt;6,RIGHT(LEFT('LIGNIN BILBAO'!$N26,9),1),RIGHT(N26,1))</f>
        <v>2</v>
      </c>
      <c r="R26" s="2"/>
      <c r="S26" s="2"/>
      <c r="T26" s="2"/>
      <c r="U26" s="2"/>
      <c r="V26">
        <f t="shared" si="7"/>
        <v>1032</v>
      </c>
    </row>
    <row r="27" spans="1:32" x14ac:dyDescent="0.3">
      <c r="A27">
        <v>1007</v>
      </c>
      <c r="B27" s="2">
        <v>11.404500000000001</v>
      </c>
      <c r="C27">
        <v>107.3</v>
      </c>
      <c r="D27">
        <f>VLOOKUP(A27,'Lignin measurement Plates'!B$72:B$121,1,FALSE)</f>
        <v>1007</v>
      </c>
      <c r="E27" s="86">
        <f>VLOOKUP(A27,'Dried samples '!E$2:F$51,2,FALSE)</f>
        <v>11.560700000000001</v>
      </c>
      <c r="F27" s="89">
        <f t="shared" si="0"/>
        <v>156.2000000000001</v>
      </c>
      <c r="G27" s="89">
        <f t="shared" si="1"/>
        <v>-48.900000000000105</v>
      </c>
      <c r="H27" s="4">
        <f t="shared" si="2"/>
        <v>11.554620000000002</v>
      </c>
      <c r="I27" s="87">
        <f t="shared" si="3"/>
        <v>150.12000000000114</v>
      </c>
      <c r="J27" s="87">
        <f t="shared" si="4"/>
        <v>-42.820000000001144</v>
      </c>
      <c r="K27" s="87">
        <f t="shared" si="5"/>
        <v>-39.906803355080285</v>
      </c>
      <c r="L27" s="2">
        <f>VLOOKUP(A27,'Lignin measurement Plates'!D$182:F$231,2,FALSE)</f>
        <v>3.1008792334738709E-2</v>
      </c>
      <c r="M27" s="2"/>
      <c r="N27" s="2" t="str">
        <f>VLOOKUP(A27,Hoja2!A$2:B$872,2,FALSE)</f>
        <v>12AA1</v>
      </c>
      <c r="O27" s="2" t="str">
        <f>IF(LEN('LIGNIN BILBAO'!N27)&gt;6,RIGHT(LEFT('LIGNIN BILBAO'!N27,11),2),RIGHT((LEFT(N27,4)),2))</f>
        <v>AA</v>
      </c>
      <c r="P27" s="90">
        <f>IF(LEN('LIGNIN BILBAO'!$N27)&gt;6,LEFT(N27,2),1)</f>
        <v>1</v>
      </c>
      <c r="Q27" s="2" t="str">
        <f>IF(LEN('LIGNIN BILBAO'!$N27)&gt;6,RIGHT(LEFT('LIGNIN BILBAO'!$N27,9),1),RIGHT(N27,1))</f>
        <v>1</v>
      </c>
      <c r="R27" s="2"/>
      <c r="S27" s="2"/>
      <c r="T27" s="2"/>
      <c r="U27" s="2"/>
      <c r="V27">
        <f t="shared" si="7"/>
        <v>1007</v>
      </c>
    </row>
    <row r="28" spans="1:32" x14ac:dyDescent="0.3">
      <c r="A28">
        <v>1055</v>
      </c>
      <c r="B28" s="2">
        <v>11.483499999999999</v>
      </c>
      <c r="C28">
        <v>116.4</v>
      </c>
      <c r="D28">
        <f>VLOOKUP(A28,'Lignin measurement Plates'!B$72:B$121,1,FALSE)</f>
        <v>1055</v>
      </c>
      <c r="E28" s="86">
        <f>VLOOKUP(A28,'Dried samples '!E$2:F$51,2,FALSE)</f>
        <v>11.5633</v>
      </c>
      <c r="F28" s="89">
        <f t="shared" si="0"/>
        <v>79.800000000000537</v>
      </c>
      <c r="G28" s="89">
        <f t="shared" si="1"/>
        <v>36.599999999999469</v>
      </c>
      <c r="H28" s="4">
        <f t="shared" si="2"/>
        <v>11.557220000000001</v>
      </c>
      <c r="I28" s="87">
        <f t="shared" si="3"/>
        <v>73.720000000001562</v>
      </c>
      <c r="J28" s="87">
        <f t="shared" si="4"/>
        <v>42.679999999998444</v>
      </c>
      <c r="K28" s="87">
        <f t="shared" si="5"/>
        <v>36.666666666665328</v>
      </c>
      <c r="L28" s="2">
        <f>VLOOKUP(A28,'Lignin measurement Plates'!D$182:F$231,2,FALSE)</f>
        <v>2.2698262336634342E-2</v>
      </c>
      <c r="M28" s="2">
        <f t="shared" si="6"/>
        <v>36.689364929001961</v>
      </c>
      <c r="N28" s="2" t="str">
        <f>VLOOKUP(A28,Hoja2!A$2:B$872,2,FALSE)</f>
        <v>14AA1</v>
      </c>
      <c r="O28" s="2" t="str">
        <f>IF(LEN('LIGNIN BILBAO'!N28)&gt;6,RIGHT(LEFT('LIGNIN BILBAO'!N28,11),2),RIGHT((LEFT(N28,4)),2))</f>
        <v>AA</v>
      </c>
      <c r="P28" s="90">
        <f>IF(LEN('LIGNIN BILBAO'!$N28)&gt;6,LEFT(N28,2),1)</f>
        <v>1</v>
      </c>
      <c r="Q28" s="2" t="str">
        <f>IF(LEN('LIGNIN BILBAO'!$N28)&gt;6,RIGHT(LEFT('LIGNIN BILBAO'!$N28,9),1),RIGHT(N28,1))</f>
        <v>1</v>
      </c>
      <c r="R28" s="2"/>
      <c r="S28" s="2"/>
      <c r="T28" s="2"/>
      <c r="U28" s="2"/>
      <c r="V28">
        <f t="shared" si="7"/>
        <v>1055</v>
      </c>
    </row>
    <row r="29" spans="1:32" x14ac:dyDescent="0.3">
      <c r="A29">
        <v>1039</v>
      </c>
      <c r="B29" s="2">
        <v>11.403499999999999</v>
      </c>
      <c r="C29">
        <v>122.1</v>
      </c>
      <c r="D29">
        <f>VLOOKUP(A29,'Lignin measurement Plates'!B$72:B$121,1,FALSE)</f>
        <v>1039</v>
      </c>
      <c r="E29" s="86">
        <f>VLOOKUP(A29,'Dried samples '!E$2:F$51,2,FALSE)</f>
        <v>11.488799999999999</v>
      </c>
      <c r="F29" s="89">
        <f t="shared" si="0"/>
        <v>85.300000000000153</v>
      </c>
      <c r="G29" s="89">
        <f t="shared" si="1"/>
        <v>36.799999999999841</v>
      </c>
      <c r="H29" s="4">
        <f t="shared" si="2"/>
        <v>11.48272</v>
      </c>
      <c r="I29" s="87">
        <f t="shared" si="3"/>
        <v>79.220000000001178</v>
      </c>
      <c r="J29" s="87">
        <f t="shared" si="4"/>
        <v>42.879999999998816</v>
      </c>
      <c r="K29" s="87">
        <f t="shared" si="5"/>
        <v>35.118755118754152</v>
      </c>
      <c r="L29" s="2">
        <f>VLOOKUP(A29,'Lignin measurement Plates'!D$182:F$231,2,FALSE)</f>
        <v>3.2942404570561475E-2</v>
      </c>
      <c r="M29" s="2">
        <f t="shared" si="6"/>
        <v>35.151697523324714</v>
      </c>
      <c r="N29" s="2" t="str">
        <f>VLOOKUP(A29,Hoja2!A$2:B$872,2,FALSE)</f>
        <v>63AA4</v>
      </c>
      <c r="O29" s="2" t="str">
        <f>IF(LEN('LIGNIN BILBAO'!N29)&gt;6,RIGHT(LEFT('LIGNIN BILBAO'!N29,11),2),RIGHT((LEFT(N29,4)),2))</f>
        <v>AA</v>
      </c>
      <c r="P29" s="90">
        <f>IF(LEN('LIGNIN BILBAO'!$N29)&gt;6,LEFT(N29,2),1)</f>
        <v>1</v>
      </c>
      <c r="Q29" s="2" t="str">
        <f>IF(LEN('LIGNIN BILBAO'!$N29)&gt;6,RIGHT(LEFT('LIGNIN BILBAO'!$N29,9),1),RIGHT(N29,1))</f>
        <v>4</v>
      </c>
      <c r="R29" s="2"/>
      <c r="S29" s="2"/>
      <c r="T29" s="2"/>
      <c r="U29" s="2"/>
      <c r="V29">
        <f t="shared" si="7"/>
        <v>1039</v>
      </c>
    </row>
    <row r="30" spans="1:32" x14ac:dyDescent="0.3">
      <c r="A30">
        <v>1019</v>
      </c>
      <c r="B30" s="2">
        <v>11.5084</v>
      </c>
      <c r="C30">
        <v>133</v>
      </c>
      <c r="D30">
        <f>VLOOKUP(A30,'Lignin measurement Plates'!B$72:B$121,1,FALSE)</f>
        <v>1019</v>
      </c>
      <c r="E30" s="86">
        <f>VLOOKUP(A30,'Dried samples '!E$2:F$51,2,FALSE)</f>
        <v>11.757999999999999</v>
      </c>
      <c r="F30" s="89">
        <f t="shared" si="0"/>
        <v>249.59999999999917</v>
      </c>
      <c r="G30" s="89">
        <f t="shared" si="1"/>
        <v>-116.59999999999917</v>
      </c>
      <c r="H30" s="4">
        <f t="shared" si="2"/>
        <v>11.75192</v>
      </c>
      <c r="I30" s="87">
        <f t="shared" si="3"/>
        <v>243.52000000000018</v>
      </c>
      <c r="J30" s="87">
        <f t="shared" si="4"/>
        <v>-110.52000000000018</v>
      </c>
      <c r="K30" s="87">
        <f t="shared" si="5"/>
        <v>-83.097744360902396</v>
      </c>
      <c r="L30" s="2">
        <f>VLOOKUP(A30,'Lignin measurement Plates'!D$182:F$231,2,FALSE)</f>
        <v>2.3460262693272674E-2</v>
      </c>
      <c r="M30" s="2"/>
      <c r="N30" s="2" t="str">
        <f>VLOOKUP(A30,Hoja2!A$2:B$872,2,FALSE)</f>
        <v>31AA1</v>
      </c>
      <c r="O30" s="2" t="str">
        <f>IF(LEN('LIGNIN BILBAO'!N30)&gt;6,RIGHT(LEFT('LIGNIN BILBAO'!N30,11),2),RIGHT((LEFT(N30,4)),2))</f>
        <v>AA</v>
      </c>
      <c r="P30" s="90">
        <f>IF(LEN('LIGNIN BILBAO'!$N30)&gt;6,LEFT(N30,2),1)</f>
        <v>1</v>
      </c>
      <c r="Q30" s="2" t="str">
        <f>IF(LEN('LIGNIN BILBAO'!$N30)&gt;6,RIGHT(LEFT('LIGNIN BILBAO'!$N30,9),1),RIGHT(N30,1))</f>
        <v>1</v>
      </c>
      <c r="R30" s="2"/>
      <c r="S30" s="2"/>
      <c r="T30" s="2"/>
      <c r="U30" s="2"/>
      <c r="V30">
        <f t="shared" si="7"/>
        <v>1019</v>
      </c>
    </row>
    <row r="31" spans="1:32" x14ac:dyDescent="0.3">
      <c r="A31">
        <v>1063</v>
      </c>
      <c r="B31" s="2">
        <v>11.4651</v>
      </c>
      <c r="C31">
        <v>109.6</v>
      </c>
      <c r="D31">
        <f>VLOOKUP(A31,'Lignin measurement Plates'!B$72:B$121,1,FALSE)</f>
        <v>1063</v>
      </c>
      <c r="E31" s="86">
        <f>VLOOKUP(A31,'Dried samples '!E$2:F$51,2,FALSE)</f>
        <v>11.6638</v>
      </c>
      <c r="F31" s="89">
        <f t="shared" si="0"/>
        <v>198.70000000000056</v>
      </c>
      <c r="G31" s="89">
        <f t="shared" si="1"/>
        <v>-89.100000000000563</v>
      </c>
      <c r="H31" s="4">
        <f t="shared" si="2"/>
        <v>11.657720000000001</v>
      </c>
      <c r="I31" s="87">
        <f t="shared" si="3"/>
        <v>192.62000000000157</v>
      </c>
      <c r="J31" s="87">
        <f t="shared" si="4"/>
        <v>-83.020000000001573</v>
      </c>
      <c r="K31" s="87">
        <f t="shared" si="5"/>
        <v>-75.748175182483195</v>
      </c>
      <c r="L31" s="2">
        <f>VLOOKUP(A31,'Lignin measurement Plates'!D$182:F$231,2,FALSE)</f>
        <v>3.197715693234545E-2</v>
      </c>
      <c r="M31" s="2"/>
      <c r="N31" s="2" t="str">
        <f>VLOOKUP(A31,Hoja2!A$2:B$872,2,FALSE)</f>
        <v>32AA4</v>
      </c>
      <c r="O31" s="2" t="str">
        <f>IF(LEN('LIGNIN BILBAO'!N31)&gt;6,RIGHT(LEFT('LIGNIN BILBAO'!N31,11),2),RIGHT((LEFT(N31,4)),2))</f>
        <v>AA</v>
      </c>
      <c r="P31" s="90">
        <f>IF(LEN('LIGNIN BILBAO'!$N31)&gt;6,LEFT(N31,2),1)</f>
        <v>1</v>
      </c>
      <c r="Q31" s="2" t="str">
        <f>IF(LEN('LIGNIN BILBAO'!$N31)&gt;6,RIGHT(LEFT('LIGNIN BILBAO'!$N31,9),1),RIGHT(N31,1))</f>
        <v>4</v>
      </c>
      <c r="R31" s="2"/>
      <c r="S31" s="2"/>
      <c r="T31" s="2"/>
      <c r="U31" s="2"/>
      <c r="V31" t="e">
        <f t="shared" si="7"/>
        <v>#N/A</v>
      </c>
      <c r="X31" t="s">
        <v>945</v>
      </c>
      <c r="Y31" t="e">
        <f>VLOOKUP(AC31,A2:A51,1,FALSE)</f>
        <v>#N/A</v>
      </c>
      <c r="Z31">
        <v>1040</v>
      </c>
      <c r="AA31" t="str">
        <f>VLOOKUP(AC31,Hoja2!A$2:B$872,2,FALSE)</f>
        <v>35FS4</v>
      </c>
      <c r="AC31">
        <v>1036</v>
      </c>
    </row>
    <row r="32" spans="1:32" x14ac:dyDescent="0.3">
      <c r="A32">
        <v>1086</v>
      </c>
      <c r="B32" s="2">
        <v>11.4947</v>
      </c>
      <c r="C32">
        <v>118.4</v>
      </c>
      <c r="D32">
        <f>VLOOKUP(A32,'Lignin measurement Plates'!B$72:B$121,1,FALSE)</f>
        <v>1086</v>
      </c>
      <c r="E32" s="86">
        <f>VLOOKUP(A32,'Dried samples '!E$2:F$51,2,FALSE)</f>
        <v>11.6021</v>
      </c>
      <c r="F32" s="89">
        <f t="shared" si="0"/>
        <v>107.40000000000016</v>
      </c>
      <c r="G32" s="89">
        <f t="shared" si="1"/>
        <v>10.999999999999844</v>
      </c>
      <c r="H32" s="4">
        <f t="shared" si="2"/>
        <v>11.596020000000001</v>
      </c>
      <c r="I32" s="87">
        <f t="shared" si="3"/>
        <v>101.32000000000119</v>
      </c>
      <c r="J32" s="87">
        <f t="shared" si="4"/>
        <v>17.079999999998819</v>
      </c>
      <c r="K32" s="87">
        <f t="shared" si="5"/>
        <v>14.425675675674675</v>
      </c>
      <c r="L32" s="2">
        <f>VLOOKUP(A32,'Lignin measurement Plates'!D$182:F$231,2,FALSE)</f>
        <v>1.5279008186047412E-2</v>
      </c>
      <c r="M32" s="2">
        <f t="shared" si="6"/>
        <v>14.440954683860722</v>
      </c>
      <c r="N32" s="2" t="str">
        <f>VLOOKUP(A32,Hoja2!A$2:B$872,2,FALSE)</f>
        <v>65AA2</v>
      </c>
      <c r="O32" s="2" t="str">
        <f>IF(LEN('LIGNIN BILBAO'!N32)&gt;6,RIGHT(LEFT('LIGNIN BILBAO'!N32,11),2),RIGHT((LEFT(N32,4)),2))</f>
        <v>AA</v>
      </c>
      <c r="P32" s="90">
        <f>IF(LEN('LIGNIN BILBAO'!$N32)&gt;6,LEFT(N32,2),1)</f>
        <v>1</v>
      </c>
      <c r="Q32" s="2" t="str">
        <f>IF(LEN('LIGNIN BILBAO'!$N32)&gt;6,RIGHT(LEFT('LIGNIN BILBAO'!$N32,9),1),RIGHT(N32,1))</f>
        <v>2</v>
      </c>
      <c r="R32" s="2"/>
      <c r="S32" s="2"/>
      <c r="T32" s="2"/>
      <c r="U32" s="2"/>
      <c r="V32">
        <f t="shared" si="7"/>
        <v>1086</v>
      </c>
      <c r="Z32">
        <v>1018</v>
      </c>
      <c r="AA32" t="str">
        <f>VLOOKUP(Z32,Hoja2!A$2:B$872,2,FALSE)</f>
        <v>15FS4</v>
      </c>
    </row>
    <row r="33" spans="1:27" x14ac:dyDescent="0.3">
      <c r="A33">
        <v>1025</v>
      </c>
      <c r="B33" s="2">
        <v>11.491400000000001</v>
      </c>
      <c r="C33">
        <v>105.1</v>
      </c>
      <c r="D33">
        <f>VLOOKUP(A33,'Lignin measurement Plates'!B$72:B$121,1,FALSE)</f>
        <v>1025</v>
      </c>
      <c r="E33" s="86">
        <f>VLOOKUP(A33,'Dried samples '!E$2:F$51,2,FALSE)</f>
        <v>11.6068</v>
      </c>
      <c r="F33" s="89">
        <f t="shared" si="0"/>
        <v>115.39999999999928</v>
      </c>
      <c r="G33" s="89">
        <f t="shared" si="1"/>
        <v>-10.299999999999287</v>
      </c>
      <c r="H33" s="4">
        <f t="shared" si="2"/>
        <v>11.600720000000001</v>
      </c>
      <c r="I33" s="87">
        <f t="shared" si="3"/>
        <v>109.32000000000031</v>
      </c>
      <c r="J33" s="87">
        <f t="shared" si="4"/>
        <v>-4.2200000000003115</v>
      </c>
      <c r="K33" s="87">
        <f t="shared" si="5"/>
        <v>-4.0152235965749874</v>
      </c>
      <c r="L33" s="2">
        <f>VLOOKUP(A33,'Lignin measurement Plates'!D$182:F$231,2,FALSE)</f>
        <v>2.0542447994821848E-2</v>
      </c>
      <c r="M33" s="2"/>
      <c r="N33" s="2" t="str">
        <f>VLOOKUP(A33,Hoja2!A$2:B$872,2,FALSE)</f>
        <v>34AA1</v>
      </c>
      <c r="O33" s="2" t="str">
        <f>IF(LEN('LIGNIN BILBAO'!N33)&gt;6,RIGHT(LEFT('LIGNIN BILBAO'!N33,11),2),RIGHT((LEFT(N33,4)),2))</f>
        <v>AA</v>
      </c>
      <c r="P33" s="90">
        <f>IF(LEN('LIGNIN BILBAO'!$N33)&gt;6,LEFT(N33,2),1)</f>
        <v>1</v>
      </c>
      <c r="Q33" s="2" t="str">
        <f>IF(LEN('LIGNIN BILBAO'!$N33)&gt;6,RIGHT(LEFT('LIGNIN BILBAO'!$N33,9),1),RIGHT(N33,1))</f>
        <v>1</v>
      </c>
      <c r="R33" s="2"/>
      <c r="S33" s="2"/>
      <c r="T33" s="2"/>
      <c r="U33" s="2"/>
      <c r="V33">
        <f t="shared" si="7"/>
        <v>1025</v>
      </c>
      <c r="Z33">
        <v>125</v>
      </c>
      <c r="AA33" t="str">
        <f>VLOOKUP(Z33,Hoja2!A$2:B$872,2,FALSE)</f>
        <v>25-P1S5C2FS</v>
      </c>
    </row>
    <row r="34" spans="1:27" x14ac:dyDescent="0.3">
      <c r="A34">
        <v>1027</v>
      </c>
      <c r="B34" s="2">
        <v>11.416</v>
      </c>
      <c r="C34">
        <v>116.3</v>
      </c>
      <c r="D34">
        <f>VLOOKUP(A34,'Lignin measurement Plates'!B$72:B$121,1,FALSE)</f>
        <v>1027</v>
      </c>
      <c r="E34" s="86">
        <f>VLOOKUP(A34,'Dried samples '!E$2:F$51,2,FALSE)</f>
        <v>11.5128</v>
      </c>
      <c r="F34" s="89">
        <f t="shared" si="0"/>
        <v>96.8</v>
      </c>
      <c r="G34" s="89">
        <f t="shared" si="1"/>
        <v>19.5</v>
      </c>
      <c r="H34" s="4">
        <f t="shared" si="2"/>
        <v>11.506720000000001</v>
      </c>
      <c r="I34" s="87">
        <f t="shared" si="3"/>
        <v>90.720000000001022</v>
      </c>
      <c r="J34" s="87">
        <f t="shared" si="4"/>
        <v>25.579999999998975</v>
      </c>
      <c r="K34" s="87">
        <f t="shared" si="5"/>
        <v>21.994840928631966</v>
      </c>
      <c r="L34" s="2">
        <f>VLOOKUP(A34,'Lignin measurement Plates'!D$182:F$231,2,FALSE)</f>
        <v>2.5430349995356559E-2</v>
      </c>
      <c r="M34" s="2">
        <f t="shared" si="6"/>
        <v>22.020271278627323</v>
      </c>
      <c r="N34" s="2" t="str">
        <f>VLOOKUP(A34,Hoja2!A$2:B$872,2,FALSE)</f>
        <v>34AA4</v>
      </c>
      <c r="O34" s="2" t="str">
        <f>IF(LEN('LIGNIN BILBAO'!N34)&gt;6,RIGHT(LEFT('LIGNIN BILBAO'!N34,11),2),RIGHT((LEFT(N34,4)),2))</f>
        <v>AA</v>
      </c>
      <c r="P34" s="90">
        <f>IF(LEN('LIGNIN BILBAO'!$N34)&gt;6,LEFT(N34,2),1)</f>
        <v>1</v>
      </c>
      <c r="Q34" s="2" t="str">
        <f>IF(LEN('LIGNIN BILBAO'!$N34)&gt;6,RIGHT(LEFT('LIGNIN BILBAO'!$N34,9),1),RIGHT(N34,1))</f>
        <v>4</v>
      </c>
      <c r="R34" s="2"/>
      <c r="S34" s="2"/>
      <c r="T34" s="2"/>
      <c r="U34" s="2"/>
      <c r="V34">
        <f t="shared" si="7"/>
        <v>1027</v>
      </c>
      <c r="Z34">
        <v>396</v>
      </c>
      <c r="AA34" t="str">
        <f>VLOOKUP(Z34,Hoja2!A$2:B$872,2,FALSE)</f>
        <v>25-P6S5C1AA</v>
      </c>
    </row>
    <row r="35" spans="1:27" x14ac:dyDescent="0.3">
      <c r="A35">
        <v>1003</v>
      </c>
      <c r="B35" s="2">
        <v>11.4923</v>
      </c>
      <c r="C35">
        <v>106.7</v>
      </c>
      <c r="D35">
        <f>VLOOKUP(A35,'Lignin measurement Plates'!B$72:B$121,1,FALSE)</f>
        <v>1003</v>
      </c>
      <c r="E35" s="86">
        <f>VLOOKUP(A35,'Dried samples '!E$2:F$51,2,FALSE)</f>
        <v>11.6046</v>
      </c>
      <c r="F35" s="89">
        <f t="shared" si="0"/>
        <v>112.2999999999994</v>
      </c>
      <c r="G35" s="89">
        <f t="shared" si="1"/>
        <v>-5.5999999999993975</v>
      </c>
      <c r="H35" s="4">
        <f t="shared" si="2"/>
        <v>11.598520000000001</v>
      </c>
      <c r="I35" s="87">
        <f t="shared" si="3"/>
        <v>106.22000000000043</v>
      </c>
      <c r="J35" s="87">
        <f t="shared" si="4"/>
        <v>0.47999999999957765</v>
      </c>
      <c r="K35" s="87">
        <f t="shared" si="5"/>
        <v>0.44985941893118803</v>
      </c>
      <c r="L35" s="2">
        <f>VLOOKUP(A35,'Lignin measurement Plates'!D$182:F$231,2,FALSE)</f>
        <v>2.9982033086449842E-2</v>
      </c>
      <c r="M35" s="2">
        <f t="shared" si="6"/>
        <v>0.47984145201763789</v>
      </c>
      <c r="N35" s="2" t="str">
        <f>VLOOKUP(A35,Hoja2!A$2:B$872,2,FALSE)</f>
        <v>11AA4</v>
      </c>
      <c r="O35" s="2" t="str">
        <f>IF(LEN('LIGNIN BILBAO'!N35)&gt;6,RIGHT(LEFT('LIGNIN BILBAO'!N35,11),2),RIGHT((LEFT(N35,4)),2))</f>
        <v>AA</v>
      </c>
      <c r="P35" s="90">
        <f>IF(LEN('LIGNIN BILBAO'!$N35)&gt;6,LEFT(N35,2),1)</f>
        <v>1</v>
      </c>
      <c r="Q35" s="2" t="str">
        <f>IF(LEN('LIGNIN BILBAO'!$N35)&gt;6,RIGHT(LEFT('LIGNIN BILBAO'!$N35,9),1),RIGHT(N35,1))</f>
        <v>4</v>
      </c>
      <c r="R35" s="2"/>
      <c r="S35" s="2"/>
      <c r="T35" s="2"/>
      <c r="U35" s="2"/>
      <c r="V35">
        <f t="shared" si="7"/>
        <v>1003</v>
      </c>
      <c r="Z35">
        <v>157</v>
      </c>
      <c r="AA35" t="str">
        <f>VLOOKUP(Z35,Hoja2!A$2:B$872,2,FALSE)</f>
        <v>10-P3S2C4FS</v>
      </c>
    </row>
    <row r="36" spans="1:27" x14ac:dyDescent="0.3">
      <c r="A36">
        <v>40</v>
      </c>
      <c r="B36" s="2">
        <v>11.4656</v>
      </c>
      <c r="C36">
        <v>103.1</v>
      </c>
      <c r="D36">
        <f>VLOOKUP(A36,'Lignin measurement Plates'!B$72:B$121,1,FALSE)</f>
        <v>40</v>
      </c>
      <c r="E36" s="86">
        <f>VLOOKUP(A36,'Dried samples '!E$2:F$51,2,FALSE)</f>
        <v>11.6922</v>
      </c>
      <c r="F36" s="89">
        <f t="shared" si="0"/>
        <v>226.59999999999945</v>
      </c>
      <c r="G36" s="89">
        <f t="shared" si="1"/>
        <v>-123.49999999999946</v>
      </c>
      <c r="H36" s="4">
        <f t="shared" si="2"/>
        <v>11.686120000000001</v>
      </c>
      <c r="I36" s="87">
        <f t="shared" si="3"/>
        <v>220.52000000000049</v>
      </c>
      <c r="J36" s="87">
        <f t="shared" si="4"/>
        <v>-117.4200000000005</v>
      </c>
      <c r="K36" s="87">
        <f t="shared" si="5"/>
        <v>-113.88942774005868</v>
      </c>
      <c r="L36" s="2">
        <f>VLOOKUP(A36,'Lignin measurement Plates'!D$182:F$231,2,FALSE)</f>
        <v>0.10523063206460376</v>
      </c>
      <c r="M36" s="2"/>
      <c r="N36" s="2" t="str">
        <f>VLOOKUP(A36,Hoja2!A$2:B$872,2,FALSE)</f>
        <v>25-P1S2C1FS</v>
      </c>
      <c r="O36" s="2" t="str">
        <f>IF(LEN('LIGNIN BILBAO'!N36)&gt;6,RIGHT(LEFT('LIGNIN BILBAO'!N36,11),2),RIGHT((LEFT(N36,4)),2))</f>
        <v>FS</v>
      </c>
      <c r="P36" s="2" t="str">
        <f>IF(LEN('LIGNIN BILBAO'!$N36)&gt;6,LEFT(N36,2),1)</f>
        <v>25</v>
      </c>
      <c r="Q36" s="2" t="str">
        <f>IF(LEN('LIGNIN BILBAO'!$N36)&gt;6,RIGHT(LEFT('LIGNIN BILBAO'!$N36,9),1),RIGHT(N36,1))</f>
        <v>1</v>
      </c>
      <c r="R36" s="2"/>
      <c r="S36" s="2"/>
      <c r="T36" s="2"/>
      <c r="U36" s="2"/>
      <c r="V36">
        <f t="shared" si="7"/>
        <v>40</v>
      </c>
      <c r="Z36">
        <v>1032</v>
      </c>
      <c r="AA36" t="str">
        <f>VLOOKUP(Z36,Hoja2!A$2:B$872,2,FALSE)</f>
        <v>35AA2</v>
      </c>
    </row>
    <row r="37" spans="1:27" x14ac:dyDescent="0.3">
      <c r="A37">
        <v>149</v>
      </c>
      <c r="B37" s="2">
        <v>11.5657</v>
      </c>
      <c r="C37">
        <v>103.6</v>
      </c>
      <c r="D37">
        <f>VLOOKUP(A37,'Lignin measurement Plates'!B$72:B$121,1,FALSE)</f>
        <v>149</v>
      </c>
      <c r="E37" s="86">
        <f>VLOOKUP(A37,'Dried samples '!E$2:F$51,2,FALSE)</f>
        <v>11.7691</v>
      </c>
      <c r="F37" s="89">
        <f t="shared" si="0"/>
        <v>203.40000000000026</v>
      </c>
      <c r="G37" s="89">
        <f t="shared" si="1"/>
        <v>-99.800000000000267</v>
      </c>
      <c r="H37" s="4">
        <f t="shared" si="2"/>
        <v>11.763020000000001</v>
      </c>
      <c r="I37" s="87">
        <f t="shared" si="3"/>
        <v>197.32000000000127</v>
      </c>
      <c r="J37" s="87">
        <f t="shared" si="4"/>
        <v>-93.720000000001278</v>
      </c>
      <c r="K37" s="87">
        <f t="shared" si="5"/>
        <v>-90.463320463321708</v>
      </c>
      <c r="L37" s="2">
        <f>VLOOKUP(A37,'Lignin measurement Plates'!D$182:F$231,2,FALSE)</f>
        <v>7.6793520318506878E-2</v>
      </c>
      <c r="M37" s="2"/>
      <c r="N37" s="2" t="str">
        <f>VLOOKUP(A37,Hoja2!A$2:B$872,2,FALSE)</f>
        <v>25-P3S2C1FS</v>
      </c>
      <c r="O37" s="2" t="str">
        <f>IF(LEN('LIGNIN BILBAO'!N37)&gt;6,RIGHT(LEFT('LIGNIN BILBAO'!N37,11),2),RIGHT((LEFT(N37,4)),2))</f>
        <v>FS</v>
      </c>
      <c r="P37" s="2" t="str">
        <f>IF(LEN('LIGNIN BILBAO'!$N37)&gt;6,LEFT(N37,2),1)</f>
        <v>25</v>
      </c>
      <c r="Q37" s="2" t="str">
        <f>IF(LEN('LIGNIN BILBAO'!$N37)&gt;6,RIGHT(LEFT('LIGNIN BILBAO'!$N37,9),1),RIGHT(N37,1))</f>
        <v>1</v>
      </c>
      <c r="R37" s="2"/>
      <c r="S37" s="2"/>
      <c r="T37" s="2"/>
      <c r="U37" s="2"/>
      <c r="V37">
        <f t="shared" si="7"/>
        <v>149</v>
      </c>
      <c r="Z37">
        <v>142</v>
      </c>
      <c r="AA37" t="str">
        <f>VLOOKUP(Z37,Hoja2!A$2:B$872,2,FALSE)</f>
        <v>10-P3S1C4AA</v>
      </c>
    </row>
    <row r="38" spans="1:27" x14ac:dyDescent="0.3">
      <c r="A38">
        <v>150</v>
      </c>
      <c r="B38" s="2">
        <v>11.509399999999999</v>
      </c>
      <c r="C38">
        <v>105.9</v>
      </c>
      <c r="D38">
        <f>VLOOKUP(A38,'Lignin measurement Plates'!B$72:B$121,1,FALSE)</f>
        <v>150</v>
      </c>
      <c r="E38" s="86">
        <f>VLOOKUP(A38,'Dried samples '!E$2:F$51,2,FALSE)</f>
        <v>11.6914</v>
      </c>
      <c r="F38" s="89">
        <f t="shared" si="0"/>
        <v>182.0000000000004</v>
      </c>
      <c r="G38" s="89">
        <f t="shared" si="1"/>
        <v>-76.100000000000392</v>
      </c>
      <c r="H38" s="4">
        <f t="shared" si="2"/>
        <v>11.685320000000001</v>
      </c>
      <c r="I38" s="87">
        <f t="shared" si="3"/>
        <v>175.92000000000141</v>
      </c>
      <c r="J38" s="87">
        <f t="shared" si="4"/>
        <v>-70.020000000001403</v>
      </c>
      <c r="K38" s="87">
        <f t="shared" si="5"/>
        <v>-66.118980169973</v>
      </c>
      <c r="L38" s="2">
        <f>VLOOKUP(A38,'Lignin measurement Plates'!D$182:F$231,2,FALSE)</f>
        <v>9.5838760489189059E-2</v>
      </c>
      <c r="M38" s="2"/>
      <c r="N38" s="2" t="str">
        <f>VLOOKUP(A38,Hoja2!A$2:B$872,2,FALSE)</f>
        <v>25-P3S2C2FS</v>
      </c>
      <c r="O38" s="2" t="str">
        <f>IF(LEN('LIGNIN BILBAO'!N38)&gt;6,RIGHT(LEFT('LIGNIN BILBAO'!N38,11),2),RIGHT((LEFT(N38,4)),2))</f>
        <v>FS</v>
      </c>
      <c r="P38" s="2" t="str">
        <f>IF(LEN('LIGNIN BILBAO'!$N38)&gt;6,LEFT(N38,2),1)</f>
        <v>25</v>
      </c>
      <c r="Q38" s="2" t="str">
        <f>IF(LEN('LIGNIN BILBAO'!$N38)&gt;6,RIGHT(LEFT('LIGNIN BILBAO'!$N38,9),1),RIGHT(N38,1))</f>
        <v>2</v>
      </c>
      <c r="R38" s="2"/>
      <c r="S38" s="2"/>
      <c r="T38" s="2"/>
      <c r="U38" s="2"/>
      <c r="V38">
        <f t="shared" si="7"/>
        <v>150</v>
      </c>
      <c r="Z38">
        <v>84</v>
      </c>
      <c r="AA38" t="str">
        <f>VLOOKUP(Z38,Hoja2!A$2:B$872,2,FALSE)</f>
        <v>10-P1S3C4FS</v>
      </c>
    </row>
    <row r="39" spans="1:27" x14ac:dyDescent="0.3">
      <c r="A39">
        <v>382</v>
      </c>
      <c r="B39" s="2">
        <v>11.414199999999999</v>
      </c>
      <c r="C39">
        <v>117.4</v>
      </c>
      <c r="D39">
        <f>VLOOKUP(A39,'Lignin measurement Plates'!B$72:B$121,1,FALSE)</f>
        <v>382</v>
      </c>
      <c r="E39" s="86">
        <f>VLOOKUP(A39,'Dried samples '!E$2:F$51,2,FALSE)</f>
        <v>11.605399999999999</v>
      </c>
      <c r="F39" s="89">
        <f t="shared" si="0"/>
        <v>191.20000000000027</v>
      </c>
      <c r="G39" s="89">
        <f t="shared" si="1"/>
        <v>-73.800000000000267</v>
      </c>
      <c r="H39" s="4">
        <f t="shared" si="2"/>
        <v>11.599320000000001</v>
      </c>
      <c r="I39" s="87">
        <f t="shared" si="3"/>
        <v>185.12000000000128</v>
      </c>
      <c r="J39" s="87">
        <f t="shared" si="4"/>
        <v>-67.720000000001278</v>
      </c>
      <c r="K39" s="87">
        <f t="shared" si="5"/>
        <v>-57.683134582624596</v>
      </c>
      <c r="L39" s="2">
        <f>VLOOKUP(A39,'Lignin measurement Plates'!D$182:F$231,2,FALSE)</f>
        <v>8.5946965431992525E-2</v>
      </c>
      <c r="M39" s="2"/>
      <c r="N39" s="2" t="str">
        <f>VLOOKUP(A39,Hoja2!A$2:B$872,2,FALSE)</f>
        <v>25-P6S4C2FS</v>
      </c>
      <c r="O39" s="2" t="str">
        <f>IF(LEN('LIGNIN BILBAO'!N39)&gt;6,RIGHT(LEFT('LIGNIN BILBAO'!N39,11),2),RIGHT((LEFT(N39,4)),2))</f>
        <v>FS</v>
      </c>
      <c r="P39" s="2" t="str">
        <f>IF(LEN('LIGNIN BILBAO'!$N39)&gt;6,LEFT(N39,2),1)</f>
        <v>25</v>
      </c>
      <c r="Q39" s="2" t="str">
        <f>IF(LEN('LIGNIN BILBAO'!$N39)&gt;6,RIGHT(LEFT('LIGNIN BILBAO'!$N39,9),1),RIGHT(N39,1))</f>
        <v>2</v>
      </c>
      <c r="R39" s="2"/>
      <c r="S39" s="2"/>
      <c r="T39" s="2"/>
      <c r="U39" s="2"/>
      <c r="V39" t="e">
        <f t="shared" si="7"/>
        <v>#N/A</v>
      </c>
      <c r="Z39">
        <v>7</v>
      </c>
      <c r="AA39" t="str">
        <f>VLOOKUP(Z39,Hoja2!A$2:B$872,2,FALSE)</f>
        <v>10-P1S1C1AA</v>
      </c>
    </row>
    <row r="40" spans="1:27" x14ac:dyDescent="0.3">
      <c r="A40">
        <v>125</v>
      </c>
      <c r="B40" s="2">
        <v>11.482799999999999</v>
      </c>
      <c r="C40">
        <v>105.5</v>
      </c>
      <c r="D40">
        <f>VLOOKUP(A40,'Lignin measurement Plates'!B$72:B$121,1,FALSE)</f>
        <v>125</v>
      </c>
      <c r="E40" s="86">
        <f>VLOOKUP(A40,'Dried samples '!E$2:F$51,2,FALSE)</f>
        <v>11.620799999999999</v>
      </c>
      <c r="F40" s="89">
        <f t="shared" si="0"/>
        <v>137.99999999999989</v>
      </c>
      <c r="G40" s="89">
        <f t="shared" si="1"/>
        <v>-32.499999999999886</v>
      </c>
      <c r="H40" s="4">
        <f t="shared" si="2"/>
        <v>11.61472</v>
      </c>
      <c r="I40" s="87">
        <f t="shared" si="3"/>
        <v>131.92000000000093</v>
      </c>
      <c r="J40" s="87">
        <f t="shared" si="4"/>
        <v>-26.420000000000925</v>
      </c>
      <c r="K40" s="87">
        <f t="shared" si="5"/>
        <v>-25.042654028436896</v>
      </c>
      <c r="L40" s="2">
        <f>VLOOKUP(A40,'Lignin measurement Plates'!D$182:F$231,2,FALSE)</f>
        <v>0.10031373168207822</v>
      </c>
      <c r="M40" s="2"/>
      <c r="N40" s="2" t="str">
        <f>VLOOKUP(A40,Hoja2!A$2:B$872,2,FALSE)</f>
        <v>25-P1S5C2FS</v>
      </c>
      <c r="O40" s="2" t="str">
        <f>IF(LEN('LIGNIN BILBAO'!N40)&gt;6,RIGHT(LEFT('LIGNIN BILBAO'!N40,11),2),RIGHT((LEFT(N40,4)),2))</f>
        <v>FS</v>
      </c>
      <c r="P40" s="2" t="str">
        <f>IF(LEN('LIGNIN BILBAO'!$N40)&gt;6,LEFT(N40,2),1)</f>
        <v>25</v>
      </c>
      <c r="Q40" s="2" t="str">
        <f>IF(LEN('LIGNIN BILBAO'!$N40)&gt;6,RIGHT(LEFT('LIGNIN BILBAO'!$N40,9),1),RIGHT(N40,1))</f>
        <v>2</v>
      </c>
      <c r="R40" s="2"/>
      <c r="S40" s="2"/>
      <c r="T40" s="2"/>
      <c r="U40" s="2"/>
      <c r="V40">
        <f t="shared" si="7"/>
        <v>125</v>
      </c>
      <c r="Z40">
        <v>120</v>
      </c>
      <c r="AA40" t="str">
        <f>VLOOKUP(Z40,Hoja2!A$2:B$872,2,FALSE)</f>
        <v>10-P1S4C4FS</v>
      </c>
    </row>
    <row r="41" spans="1:27" x14ac:dyDescent="0.3">
      <c r="A41">
        <v>162</v>
      </c>
      <c r="B41" s="2">
        <v>11.561199999999999</v>
      </c>
      <c r="C41">
        <v>113.1</v>
      </c>
      <c r="D41">
        <f>VLOOKUP(A41,'Lignin measurement Plates'!B$72:B$121,1,FALSE)</f>
        <v>162</v>
      </c>
      <c r="E41" s="86">
        <f>VLOOKUP(A41,'Dried samples '!E$2:F$51,2,FALSE)</f>
        <v>11.744300000000001</v>
      </c>
      <c r="F41" s="89">
        <f t="shared" si="0"/>
        <v>183.10000000000139</v>
      </c>
      <c r="G41" s="89">
        <f t="shared" si="1"/>
        <v>-70.000000000001393</v>
      </c>
      <c r="H41" s="4">
        <f t="shared" si="2"/>
        <v>11.738220000000002</v>
      </c>
      <c r="I41" s="87">
        <f t="shared" si="3"/>
        <v>177.0200000000024</v>
      </c>
      <c r="J41" s="87">
        <f t="shared" si="4"/>
        <v>-63.920000000002403</v>
      </c>
      <c r="K41" s="87">
        <f t="shared" si="5"/>
        <v>-56.516357206014511</v>
      </c>
      <c r="L41" s="2">
        <f>VLOOKUP(A41,'Lignin measurement Plates'!D$182:F$231,2,FALSE)</f>
        <v>9.6798082723336107E-2</v>
      </c>
      <c r="M41" s="2"/>
      <c r="N41" s="2" t="str">
        <f>VLOOKUP(A41,Hoja2!A$2:B$872,2,FALSE)</f>
        <v>25-P3S3C2FS</v>
      </c>
      <c r="O41" s="2" t="str">
        <f>IF(LEN('LIGNIN BILBAO'!N41)&gt;6,RIGHT(LEFT('LIGNIN BILBAO'!N41,11),2),RIGHT((LEFT(N41,4)),2))</f>
        <v>FS</v>
      </c>
      <c r="P41" s="2" t="str">
        <f>IF(LEN('LIGNIN BILBAO'!$N41)&gt;6,LEFT(N41,2),1)</f>
        <v>25</v>
      </c>
      <c r="Q41" s="2" t="str">
        <f>IF(LEN('LIGNIN BILBAO'!$N41)&gt;6,RIGHT(LEFT('LIGNIN BILBAO'!$N41,9),1),RIGHT(N41,1))</f>
        <v>2</v>
      </c>
      <c r="R41" s="2"/>
      <c r="S41" s="2"/>
      <c r="T41" s="2"/>
      <c r="U41" s="2"/>
      <c r="V41">
        <f t="shared" si="7"/>
        <v>162</v>
      </c>
      <c r="Z41">
        <v>708</v>
      </c>
      <c r="AA41" t="str">
        <f>VLOOKUP(Z41,Hoja2!A$2:B$872,2,FALSE)</f>
        <v>10-P2S4C1AA</v>
      </c>
    </row>
    <row r="42" spans="1:27" x14ac:dyDescent="0.3">
      <c r="A42">
        <v>171</v>
      </c>
      <c r="B42" s="2">
        <v>11.4802</v>
      </c>
      <c r="C42">
        <v>106</v>
      </c>
      <c r="D42">
        <f>VLOOKUP(A42,'Lignin measurement Plates'!B$72:B$121,1,FALSE)</f>
        <v>171</v>
      </c>
      <c r="E42" s="86">
        <f>VLOOKUP(A42,'Dried samples '!E$2:F$51,2,FALSE)</f>
        <v>11.6533</v>
      </c>
      <c r="F42" s="89">
        <f t="shared" si="0"/>
        <v>173.0999999999998</v>
      </c>
      <c r="G42" s="89">
        <f t="shared" si="1"/>
        <v>-67.099999999999795</v>
      </c>
      <c r="H42" s="4">
        <f t="shared" si="2"/>
        <v>11.647220000000001</v>
      </c>
      <c r="I42" s="87">
        <f t="shared" si="3"/>
        <v>167.02000000000083</v>
      </c>
      <c r="J42" s="87">
        <f t="shared" si="4"/>
        <v>-61.020000000000834</v>
      </c>
      <c r="K42" s="87">
        <f t="shared" si="5"/>
        <v>-57.566037735849839</v>
      </c>
      <c r="L42" s="2">
        <f>VLOOKUP(A42,'Lignin measurement Plates'!D$182:F$231,2,FALSE)</f>
        <v>1.5950307368392591E-2</v>
      </c>
      <c r="M42" s="2"/>
      <c r="N42" s="2" t="str">
        <f>VLOOKUP(A42,Hoja2!A$2:B$872,2,FALSE)</f>
        <v>25-P3S4C2AA</v>
      </c>
      <c r="O42" s="2" t="str">
        <f>IF(LEN('LIGNIN BILBAO'!N42)&gt;6,RIGHT(LEFT('LIGNIN BILBAO'!N42,11),2),RIGHT((LEFT(N42,4)),2))</f>
        <v>AA</v>
      </c>
      <c r="P42" s="2" t="str">
        <f>IF(LEN('LIGNIN BILBAO'!$N42)&gt;6,LEFT(N42,2),1)</f>
        <v>25</v>
      </c>
      <c r="Q42" s="2" t="str">
        <f>IF(LEN('LIGNIN BILBAO'!$N42)&gt;6,RIGHT(LEFT('LIGNIN BILBAO'!$N42,9),1),RIGHT(N42,1))</f>
        <v>2</v>
      </c>
      <c r="R42" s="2"/>
      <c r="S42" s="2"/>
      <c r="T42" s="2"/>
      <c r="U42" s="2"/>
      <c r="V42">
        <f t="shared" si="7"/>
        <v>171</v>
      </c>
      <c r="Z42">
        <v>331</v>
      </c>
      <c r="AA42" t="str">
        <f>VLOOKUP(Z42,Hoja2!A$2:B$872,2,FALSE)</f>
        <v>10-P6S1C1AA -b</v>
      </c>
    </row>
    <row r="43" spans="1:27" x14ac:dyDescent="0.3">
      <c r="A43">
        <v>362</v>
      </c>
      <c r="B43" s="2">
        <v>11.4815</v>
      </c>
      <c r="C43">
        <v>109.2</v>
      </c>
      <c r="D43">
        <f>VLOOKUP(A43,'Lignin measurement Plates'!B$72:B$121,1,FALSE)</f>
        <v>362</v>
      </c>
      <c r="E43" s="86">
        <f>VLOOKUP(A43,'Dried samples '!E$2:F$51,2,FALSE)</f>
        <v>11.5488</v>
      </c>
      <c r="F43" s="89">
        <f t="shared" si="0"/>
        <v>67.299999999999471</v>
      </c>
      <c r="G43" s="89">
        <f t="shared" si="1"/>
        <v>41.900000000000531</v>
      </c>
      <c r="H43" s="4">
        <f t="shared" si="2"/>
        <v>11.542720000000001</v>
      </c>
      <c r="I43" s="87">
        <f t="shared" si="3"/>
        <v>61.220000000000496</v>
      </c>
      <c r="J43" s="87">
        <f t="shared" si="4"/>
        <v>47.979999999999507</v>
      </c>
      <c r="K43" s="87">
        <f t="shared" si="5"/>
        <v>43.937728937728487</v>
      </c>
      <c r="L43" s="2">
        <f>VLOOKUP(A43,'Lignin measurement Plates'!D$182:F$231,2,FALSE)</f>
        <v>5.7959307395094598E-2</v>
      </c>
      <c r="M43" s="2">
        <f t="shared" si="6"/>
        <v>43.995688245123581</v>
      </c>
      <c r="N43" s="2" t="str">
        <f>VLOOKUP(A43,Hoja2!A$2:B$872,2,FALSE)</f>
        <v>25-P6S3C4AA</v>
      </c>
      <c r="O43" s="2" t="str">
        <f>IF(LEN('LIGNIN BILBAO'!N43)&gt;6,RIGHT(LEFT('LIGNIN BILBAO'!N43,11),2),RIGHT((LEFT(N43,4)),2))</f>
        <v>AA</v>
      </c>
      <c r="P43" s="2" t="str">
        <f>IF(LEN('LIGNIN BILBAO'!$N43)&gt;6,LEFT(N43,2),1)</f>
        <v>25</v>
      </c>
      <c r="Q43" s="2" t="str">
        <f>IF(LEN('LIGNIN BILBAO'!$N43)&gt;6,RIGHT(LEFT('LIGNIN BILBAO'!$N43,9),1),RIGHT(N43,1))</f>
        <v>4</v>
      </c>
      <c r="R43" s="2"/>
      <c r="S43" s="2"/>
      <c r="T43" s="2"/>
      <c r="U43" s="2"/>
      <c r="V43">
        <f t="shared" si="7"/>
        <v>362</v>
      </c>
      <c r="Z43">
        <v>149</v>
      </c>
      <c r="AA43" t="str">
        <f>VLOOKUP(Z43,Hoja2!A$2:B$872,2,FALSE)</f>
        <v>25-P3S2C1FS</v>
      </c>
    </row>
    <row r="44" spans="1:27" x14ac:dyDescent="0.3">
      <c r="A44">
        <v>170</v>
      </c>
      <c r="B44" s="2">
        <v>11.402200000000001</v>
      </c>
      <c r="C44">
        <v>119.1</v>
      </c>
      <c r="D44">
        <f>VLOOKUP(A44,'Lignin measurement Plates'!B$72:B$121,1,FALSE)</f>
        <v>170</v>
      </c>
      <c r="E44" s="86">
        <f>VLOOKUP(A44,'Dried samples '!E$2:F$51,2,FALSE)</f>
        <v>11.4505</v>
      </c>
      <c r="F44" s="89">
        <f t="shared" si="0"/>
        <v>48.299999999999343</v>
      </c>
      <c r="G44" s="89">
        <f t="shared" si="1"/>
        <v>70.800000000000651</v>
      </c>
      <c r="H44" s="4">
        <f t="shared" si="2"/>
        <v>11.444420000000001</v>
      </c>
      <c r="I44" s="87">
        <f t="shared" si="3"/>
        <v>42.220000000000368</v>
      </c>
      <c r="J44" s="87">
        <f t="shared" si="4"/>
        <v>76.879999999999626</v>
      </c>
      <c r="K44" s="87">
        <f t="shared" si="5"/>
        <v>64.550797649034109</v>
      </c>
      <c r="L44" s="2">
        <f>VLOOKUP(A44,'Lignin measurement Plates'!D$182:F$231,2,FALSE)</f>
        <v>2.2183692157718201E-2</v>
      </c>
      <c r="M44" s="2">
        <f t="shared" si="6"/>
        <v>64.572981341191834</v>
      </c>
      <c r="N44" s="2" t="str">
        <f>VLOOKUP(A44,Hoja2!A$2:B$872,2,FALSE)</f>
        <v>25-P3S4C1AA</v>
      </c>
      <c r="O44" s="2" t="str">
        <f>IF(LEN('LIGNIN BILBAO'!N44)&gt;6,RIGHT(LEFT('LIGNIN BILBAO'!N44,11),2),RIGHT((LEFT(N44,4)),2))</f>
        <v>AA</v>
      </c>
      <c r="P44" s="2" t="str">
        <f>IF(LEN('LIGNIN BILBAO'!$N44)&gt;6,LEFT(N44,2),1)</f>
        <v>25</v>
      </c>
      <c r="Q44" s="2" t="str">
        <f>IF(LEN('LIGNIN BILBAO'!$N44)&gt;6,RIGHT(LEFT('LIGNIN BILBAO'!$N44,9),1),RIGHT(N44,1))</f>
        <v>1</v>
      </c>
      <c r="R44" s="2"/>
      <c r="S44" s="2"/>
      <c r="T44" s="2"/>
      <c r="U44" s="2"/>
      <c r="V44">
        <f t="shared" si="7"/>
        <v>170</v>
      </c>
      <c r="Z44">
        <v>361</v>
      </c>
      <c r="AA44" t="str">
        <f>VLOOKUP(Z44,Hoja2!A$2:B$872,2,FALSE)</f>
        <v>25-P6S3C2AA</v>
      </c>
    </row>
    <row r="45" spans="1:27" x14ac:dyDescent="0.3">
      <c r="A45">
        <v>3</v>
      </c>
      <c r="B45" s="2">
        <v>11.401999999999999</v>
      </c>
      <c r="C45">
        <v>124.2</v>
      </c>
      <c r="D45">
        <f>VLOOKUP(A45,'Lignin measurement Plates'!B$72:B$121,1,FALSE)</f>
        <v>3</v>
      </c>
      <c r="E45" s="86">
        <f>VLOOKUP(A45,'Dried samples '!E$2:F$51,2,FALSE)</f>
        <v>11.454700000000001</v>
      </c>
      <c r="F45" s="89">
        <f t="shared" si="0"/>
        <v>52.700000000001523</v>
      </c>
      <c r="G45" s="89">
        <f t="shared" si="1"/>
        <v>71.499999999998479</v>
      </c>
      <c r="H45" s="4">
        <f t="shared" si="2"/>
        <v>11.448620000000002</v>
      </c>
      <c r="I45" s="87">
        <f t="shared" si="3"/>
        <v>46.620000000002548</v>
      </c>
      <c r="J45" s="87">
        <f t="shared" si="4"/>
        <v>77.579999999997455</v>
      </c>
      <c r="K45" s="87">
        <f t="shared" si="5"/>
        <v>62.463768115939978</v>
      </c>
      <c r="L45" s="2">
        <f>VLOOKUP(A45,'Lignin measurement Plates'!D$182:F$231,2,FALSE)</f>
        <v>2.6789399496919993E-2</v>
      </c>
      <c r="M45" s="2">
        <f t="shared" si="6"/>
        <v>62.490557515436898</v>
      </c>
      <c r="N45" s="2" t="str">
        <f>VLOOKUP(A45,Hoja2!A$2:B$872,2,FALSE)</f>
        <v>25-P1S1C4AA</v>
      </c>
      <c r="O45" s="2" t="str">
        <f>IF(LEN('LIGNIN BILBAO'!N45)&gt;6,RIGHT(LEFT('LIGNIN BILBAO'!N45,11),2),RIGHT((LEFT(N45,4)),2))</f>
        <v>AA</v>
      </c>
      <c r="P45" s="2" t="str">
        <f>IF(LEN('LIGNIN BILBAO'!$N45)&gt;6,LEFT(N45,2),1)</f>
        <v>25</v>
      </c>
      <c r="Q45" s="2" t="str">
        <f>IF(LEN('LIGNIN BILBAO'!$N45)&gt;6,RIGHT(LEFT('LIGNIN BILBAO'!$N45,9),1),RIGHT(N45,1))</f>
        <v>4</v>
      </c>
      <c r="R45" s="2"/>
      <c r="S45" s="2"/>
      <c r="T45" s="2"/>
      <c r="U45" s="2"/>
      <c r="V45">
        <f t="shared" si="7"/>
        <v>3</v>
      </c>
      <c r="Z45">
        <v>75</v>
      </c>
      <c r="AA45" t="str">
        <f>VLOOKUP(Z45,Hoja2!A$2:B$872,2,FALSE)</f>
        <v>25-P1S3C4AA</v>
      </c>
    </row>
    <row r="46" spans="1:27" x14ac:dyDescent="0.3">
      <c r="A46">
        <v>361</v>
      </c>
      <c r="B46" s="2">
        <v>11.4885</v>
      </c>
      <c r="C46">
        <v>106.3</v>
      </c>
      <c r="D46">
        <f>VLOOKUP(A46,'Lignin measurement Plates'!B$72:B$121,1,FALSE)</f>
        <v>361</v>
      </c>
      <c r="E46" s="86">
        <f>VLOOKUP(A46,'Dried samples '!E$2:F$51,2,FALSE)</f>
        <v>11.5768</v>
      </c>
      <c r="F46" s="89">
        <f t="shared" si="0"/>
        <v>88.300000000000267</v>
      </c>
      <c r="G46" s="89">
        <f t="shared" si="1"/>
        <v>17.99999999999973</v>
      </c>
      <c r="H46" s="4">
        <f t="shared" si="2"/>
        <v>11.570720000000001</v>
      </c>
      <c r="I46" s="87">
        <f t="shared" si="3"/>
        <v>82.220000000001292</v>
      </c>
      <c r="J46" s="87">
        <f t="shared" si="4"/>
        <v>24.079999999998705</v>
      </c>
      <c r="K46" s="87">
        <f t="shared" si="5"/>
        <v>22.652869238004428</v>
      </c>
      <c r="L46" s="2">
        <f>VLOOKUP(A46,'Lignin measurement Plates'!D$182:F$231,2,FALSE)</f>
        <v>1.9846837151283572E-2</v>
      </c>
      <c r="M46" s="2">
        <f t="shared" si="6"/>
        <v>22.672716075155712</v>
      </c>
      <c r="N46" s="2" t="str">
        <f>VLOOKUP(A46,Hoja2!A$2:B$872,2,FALSE)</f>
        <v>25-P6S3C2AA</v>
      </c>
      <c r="O46" s="2" t="str">
        <f>IF(LEN('LIGNIN BILBAO'!N46)&gt;6,RIGHT(LEFT('LIGNIN BILBAO'!N46,11),2),RIGHT((LEFT(N46,4)),2))</f>
        <v>AA</v>
      </c>
      <c r="P46" s="2" t="str">
        <f>IF(LEN('LIGNIN BILBAO'!$N46)&gt;6,LEFT(N46,2),1)</f>
        <v>25</v>
      </c>
      <c r="Q46" s="2" t="str">
        <f>IF(LEN('LIGNIN BILBAO'!$N46)&gt;6,RIGHT(LEFT('LIGNIN BILBAO'!$N46,9),1),RIGHT(N46,1))</f>
        <v>2</v>
      </c>
      <c r="R46" s="2"/>
      <c r="S46" s="2"/>
      <c r="T46" s="2"/>
      <c r="U46" s="2"/>
      <c r="V46">
        <f t="shared" si="7"/>
        <v>361</v>
      </c>
      <c r="Z46">
        <v>127</v>
      </c>
      <c r="AA46" t="str">
        <f>VLOOKUP(Z46,Hoja2!A$2:B$872,2,FALSE)</f>
        <v>10-P1S5C1AA</v>
      </c>
    </row>
    <row r="47" spans="1:27" x14ac:dyDescent="0.3">
      <c r="A47">
        <v>326</v>
      </c>
      <c r="B47" s="1">
        <v>11.403600000000001</v>
      </c>
      <c r="C47">
        <v>119.4</v>
      </c>
      <c r="D47">
        <f>VLOOKUP(A47,'Lignin measurement Plates'!B$72:B$121,1,FALSE)</f>
        <v>326</v>
      </c>
      <c r="E47" s="86">
        <f>VLOOKUP(A47,'Dried samples '!E$2:F$51,2,FALSE)</f>
        <v>11.460599999999999</v>
      </c>
      <c r="F47" s="89">
        <f t="shared" si="0"/>
        <v>56.999999999998607</v>
      </c>
      <c r="G47" s="89">
        <f t="shared" si="1"/>
        <v>62.400000000001398</v>
      </c>
      <c r="H47" s="4">
        <f t="shared" si="2"/>
        <v>11.45452</v>
      </c>
      <c r="I47" s="87">
        <f t="shared" si="3"/>
        <v>50.919999999999632</v>
      </c>
      <c r="J47" s="87">
        <f t="shared" si="4"/>
        <v>68.480000000000373</v>
      </c>
      <c r="K47" s="87">
        <f t="shared" si="5"/>
        <v>57.353433835846204</v>
      </c>
      <c r="L47" s="2">
        <f>VLOOKUP(A47,'Lignin measurement Plates'!D$182:F$231,2,FALSE)</f>
        <v>3.8104667465334315E-2</v>
      </c>
      <c r="M47" s="2">
        <f t="shared" si="6"/>
        <v>57.391538503311537</v>
      </c>
      <c r="N47" s="2" t="str">
        <f>VLOOKUP(A47,Hoja2!A$2:B$872,2,FALSE)</f>
        <v>25-P6S1C4AA</v>
      </c>
      <c r="O47" s="2" t="str">
        <f>IF(LEN('LIGNIN BILBAO'!N47)&gt;6,RIGHT(LEFT('LIGNIN BILBAO'!N47,11),2),RIGHT((LEFT(N47,4)),2))</f>
        <v>AA</v>
      </c>
      <c r="P47" s="2" t="str">
        <f>IF(LEN('LIGNIN BILBAO'!$N47)&gt;6,LEFT(N47,2),1)</f>
        <v>25</v>
      </c>
      <c r="Q47" s="2" t="str">
        <f>IF(LEN('LIGNIN BILBAO'!$N47)&gt;6,RIGHT(LEFT('LIGNIN BILBAO'!$N47,9),1),RIGHT(N47,1))</f>
        <v>4</v>
      </c>
      <c r="R47" s="2"/>
      <c r="S47" s="2"/>
      <c r="T47" s="2"/>
      <c r="U47" s="2"/>
      <c r="V47">
        <f t="shared" si="7"/>
        <v>326</v>
      </c>
      <c r="Z47">
        <v>162</v>
      </c>
      <c r="AA47" t="str">
        <f>VLOOKUP(Z47,Hoja2!A$2:B$872,2,FALSE)</f>
        <v>25-P3S3C2FS</v>
      </c>
    </row>
    <row r="48" spans="1:27" x14ac:dyDescent="0.3">
      <c r="A48">
        <v>75</v>
      </c>
      <c r="B48" s="2">
        <v>11.512499999999999</v>
      </c>
      <c r="C48">
        <v>107.2</v>
      </c>
      <c r="D48">
        <f>VLOOKUP(A48,'Lignin measurement Plates'!B$72:B$121,1,FALSE)</f>
        <v>75</v>
      </c>
      <c r="E48" s="86">
        <f>VLOOKUP(A48,'Dried samples '!E$2:F$51,2,FALSE)</f>
        <v>11.6243</v>
      </c>
      <c r="F48" s="89">
        <f t="shared" si="0"/>
        <v>111.80000000000057</v>
      </c>
      <c r="G48" s="89">
        <f t="shared" si="1"/>
        <v>-4.6000000000005627</v>
      </c>
      <c r="H48" s="4">
        <f t="shared" si="2"/>
        <v>11.618220000000001</v>
      </c>
      <c r="I48" s="87">
        <f t="shared" si="3"/>
        <v>105.72000000000159</v>
      </c>
      <c r="J48" s="87">
        <f t="shared" si="4"/>
        <v>1.4799999999984124</v>
      </c>
      <c r="K48" s="87">
        <f t="shared" si="5"/>
        <v>1.380597014923892</v>
      </c>
      <c r="L48" s="2">
        <f>VLOOKUP(A48,'Lignin measurement Plates'!D$182:F$231,2,FALSE)</f>
        <v>3.2233245379764262E-2</v>
      </c>
      <c r="M48" s="2">
        <f t="shared" si="6"/>
        <v>1.4128302603036562</v>
      </c>
      <c r="N48" s="2" t="str">
        <f>VLOOKUP(A48,Hoja2!A$2:B$872,2,FALSE)</f>
        <v>25-P1S3C4AA</v>
      </c>
      <c r="O48" s="2" t="str">
        <f>IF(LEN('LIGNIN BILBAO'!N48)&gt;6,RIGHT(LEFT('LIGNIN BILBAO'!N48,11),2),RIGHT((LEFT(N48,4)),2))</f>
        <v>AA</v>
      </c>
      <c r="P48" s="2" t="str">
        <f>IF(LEN('LIGNIN BILBAO'!$N48)&gt;6,LEFT(N48,2),1)</f>
        <v>25</v>
      </c>
      <c r="Q48" s="2" t="str">
        <f>IF(LEN('LIGNIN BILBAO'!$N48)&gt;6,RIGHT(LEFT('LIGNIN BILBAO'!$N48,9),1),RIGHT(N48,1))</f>
        <v>4</v>
      </c>
      <c r="R48" s="2"/>
      <c r="S48" s="2"/>
      <c r="T48" s="2"/>
      <c r="U48" s="2"/>
      <c r="V48">
        <f t="shared" si="7"/>
        <v>75</v>
      </c>
      <c r="Z48">
        <v>1089</v>
      </c>
      <c r="AA48" t="str">
        <f>VLOOKUP(Z48,Hoja2!A$2:B$872,2,FALSE)</f>
        <v>65FS2</v>
      </c>
    </row>
    <row r="49" spans="1:27" x14ac:dyDescent="0.3">
      <c r="A49">
        <v>396</v>
      </c>
      <c r="B49" s="2">
        <v>11.460900000000001</v>
      </c>
      <c r="C49">
        <v>159.1</v>
      </c>
      <c r="D49">
        <f>VLOOKUP(A49,'Lignin measurement Plates'!B$72:B$121,1,FALSE)</f>
        <v>396</v>
      </c>
      <c r="E49" s="86">
        <f>VLOOKUP(A49,'Dried samples '!E$2:F$51,2,FALSE)</f>
        <v>11.5792</v>
      </c>
      <c r="F49" s="89">
        <f t="shared" si="0"/>
        <v>118.29999999999963</v>
      </c>
      <c r="G49" s="89">
        <f t="shared" si="1"/>
        <v>40.800000000000367</v>
      </c>
      <c r="H49" s="4">
        <f t="shared" si="2"/>
        <v>11.573120000000001</v>
      </c>
      <c r="I49" s="87">
        <f t="shared" si="3"/>
        <v>112.22000000000065</v>
      </c>
      <c r="J49" s="87">
        <f t="shared" si="4"/>
        <v>46.879999999999342</v>
      </c>
      <c r="K49" s="87">
        <f t="shared" si="5"/>
        <v>29.465744814581612</v>
      </c>
      <c r="L49" s="2">
        <f>VLOOKUP(A49,'Lignin measurement Plates'!D$182:F$231,2,FALSE)</f>
        <v>1.5614970155539741E-2</v>
      </c>
      <c r="M49" s="2">
        <f t="shared" si="6"/>
        <v>29.481359784737151</v>
      </c>
      <c r="N49" s="2" t="str">
        <f>VLOOKUP(A49,Hoja2!A$2:B$872,2,FALSE)</f>
        <v>25-P6S5C1AA</v>
      </c>
      <c r="O49" s="2" t="str">
        <f>IF(LEN('LIGNIN BILBAO'!N49)&gt;6,RIGHT(LEFT('LIGNIN BILBAO'!N49,11),2),RIGHT((LEFT(N49,4)),2))</f>
        <v>AA</v>
      </c>
      <c r="P49" s="2" t="str">
        <f>IF(LEN('LIGNIN BILBAO'!$N49)&gt;6,LEFT(N49,2),1)</f>
        <v>25</v>
      </c>
      <c r="Q49" s="2" t="str">
        <f>IF(LEN('LIGNIN BILBAO'!$N49)&gt;6,RIGHT(LEFT('LIGNIN BILBAO'!$N49,9),1),RIGHT(N49,1))</f>
        <v>1</v>
      </c>
      <c r="R49" s="2"/>
      <c r="S49" s="2"/>
      <c r="T49" s="2"/>
      <c r="U49" s="2"/>
      <c r="V49">
        <f t="shared" si="7"/>
        <v>396</v>
      </c>
      <c r="Z49">
        <v>1039</v>
      </c>
      <c r="AA49" t="str">
        <f>VLOOKUP(Z49,Hoja2!A$2:B$872,2,FALSE)</f>
        <v>63AA4</v>
      </c>
    </row>
    <row r="50" spans="1:27" x14ac:dyDescent="0.3">
      <c r="A50">
        <v>324</v>
      </c>
      <c r="B50" s="2">
        <v>11.5077</v>
      </c>
      <c r="C50">
        <v>156.80000000000001</v>
      </c>
      <c r="D50">
        <f>VLOOKUP(A50,'Lignin measurement Plates'!B$72:B$121,1,FALSE)</f>
        <v>324</v>
      </c>
      <c r="E50" s="86">
        <f>VLOOKUP(A50,'Dried samples '!E$2:F$51,2,FALSE)</f>
        <v>11.608000000000001</v>
      </c>
      <c r="F50" s="89">
        <f t="shared" si="0"/>
        <v>100.30000000000072</v>
      </c>
      <c r="G50" s="89">
        <f t="shared" si="1"/>
        <v>56.499999999999289</v>
      </c>
      <c r="H50" s="4">
        <f t="shared" si="2"/>
        <v>11.601920000000002</v>
      </c>
      <c r="I50" s="87">
        <f t="shared" si="3"/>
        <v>94.220000000001747</v>
      </c>
      <c r="J50" s="87">
        <f t="shared" si="4"/>
        <v>62.579999999998265</v>
      </c>
      <c r="K50" s="87">
        <f t="shared" si="5"/>
        <v>39.910714285713176</v>
      </c>
      <c r="L50" s="2">
        <f>VLOOKUP(A50,'Lignin measurement Plates'!D$182:F$231,2,FALSE)</f>
        <v>1.3297656515588502E-2</v>
      </c>
      <c r="M50" s="2">
        <f t="shared" si="6"/>
        <v>39.924011942228766</v>
      </c>
      <c r="N50" s="2" t="str">
        <f>VLOOKUP(A50,Hoja2!A$2:B$872,2,FALSE)</f>
        <v>25-P6S1C1AA</v>
      </c>
      <c r="O50" s="2" t="str">
        <f>IF(LEN('LIGNIN BILBAO'!N50)&gt;6,RIGHT(LEFT('LIGNIN BILBAO'!N50,11),2),RIGHT((LEFT(N50,4)),2))</f>
        <v>AA</v>
      </c>
      <c r="P50" s="2" t="str">
        <f>IF(LEN('LIGNIN BILBAO'!$N50)&gt;6,LEFT(N50,2),1)</f>
        <v>25</v>
      </c>
      <c r="Q50" s="2" t="str">
        <f>IF(LEN('LIGNIN BILBAO'!$N50)&gt;6,RIGHT(LEFT('LIGNIN BILBAO'!$N50,9),1),RIGHT(N50,1))</f>
        <v>1</v>
      </c>
      <c r="R50" s="2"/>
      <c r="S50" s="2"/>
      <c r="T50" s="2"/>
      <c r="U50" s="2"/>
      <c r="V50">
        <f t="shared" si="7"/>
        <v>324</v>
      </c>
      <c r="Z50">
        <v>1007</v>
      </c>
      <c r="AA50" t="str">
        <f>VLOOKUP(Z50,Hoja2!A$2:B$872,2,FALSE)</f>
        <v>12AA1</v>
      </c>
    </row>
    <row r="51" spans="1:27" x14ac:dyDescent="0.3">
      <c r="A51">
        <v>344</v>
      </c>
      <c r="B51" s="2">
        <v>11.498200000000001</v>
      </c>
      <c r="C51">
        <v>121.8</v>
      </c>
      <c r="D51">
        <f>VLOOKUP(A51,'Lignin measurement Plates'!B$72:B$121,1,FALSE)</f>
        <v>344</v>
      </c>
      <c r="E51" s="86">
        <f>VLOOKUP(A51,'Dried samples '!E$2:F$51,2,FALSE)</f>
        <v>11.622299999999999</v>
      </c>
      <c r="F51" s="89">
        <f t="shared" si="0"/>
        <v>124.09999999999854</v>
      </c>
      <c r="G51" s="89">
        <f t="shared" si="1"/>
        <v>-2.2999999999985477</v>
      </c>
      <c r="H51" s="4">
        <f t="shared" si="2"/>
        <v>11.61622</v>
      </c>
      <c r="I51" s="87">
        <f t="shared" si="3"/>
        <v>118.01999999999957</v>
      </c>
      <c r="J51" s="87">
        <f t="shared" si="4"/>
        <v>3.7800000000004275</v>
      </c>
      <c r="K51" s="87">
        <f t="shared" si="5"/>
        <v>3.1034482758624202</v>
      </c>
      <c r="L51" s="2">
        <f>VLOOKUP(A51,'Lignin measurement Plates'!D$182:F$231,2,FALSE)</f>
        <v>7.3210282093159301E-2</v>
      </c>
      <c r="M51" s="2">
        <f t="shared" si="6"/>
        <v>3.1766585579555797</v>
      </c>
      <c r="N51" s="2" t="str">
        <f>VLOOKUP(A51,Hoja2!A$2:B$872,2,FALSE)</f>
        <v>25-P6S2C4AA</v>
      </c>
      <c r="O51" s="2" t="str">
        <f>IF(LEN('LIGNIN BILBAO'!N51)&gt;6,RIGHT(LEFT('LIGNIN BILBAO'!N51,11),2),RIGHT((LEFT(N51,4)),2))</f>
        <v>AA</v>
      </c>
      <c r="P51" s="2" t="str">
        <f>IF(LEN('LIGNIN BILBAO'!$N51)&gt;6,LEFT(N51,2),1)</f>
        <v>25</v>
      </c>
      <c r="Q51" s="2" t="str">
        <f>IF(LEN('LIGNIN BILBAO'!$N51)&gt;6,RIGHT(LEFT('LIGNIN BILBAO'!$N51,9),1),RIGHT(N51,1))</f>
        <v>4</v>
      </c>
      <c r="R51" s="2"/>
      <c r="S51" s="2"/>
      <c r="T51" s="2"/>
      <c r="U51" s="2"/>
      <c r="V51">
        <f t="shared" si="7"/>
        <v>344</v>
      </c>
      <c r="Z51">
        <v>344</v>
      </c>
      <c r="AA51" t="str">
        <f>VLOOKUP(Z51,Hoja2!A$2:B$872,2,FALSE)</f>
        <v>25-P6S2C4AA</v>
      </c>
    </row>
    <row r="52" spans="1:27" x14ac:dyDescent="0.3">
      <c r="Z52">
        <v>1047</v>
      </c>
      <c r="AA52" t="str">
        <f>VLOOKUP(Z52,Hoja2!A$2:B$872,2,FALSE)</f>
        <v>64FS2</v>
      </c>
    </row>
    <row r="53" spans="1:27" x14ac:dyDescent="0.3">
      <c r="Z53">
        <v>409</v>
      </c>
      <c r="AA53" t="str">
        <f>VLOOKUP(Z53,Hoja2!A$2:B$872,2,FALSE)</f>
        <v>10-P6S5C1FS -b</v>
      </c>
    </row>
    <row r="54" spans="1:27" x14ac:dyDescent="0.3">
      <c r="Z54">
        <v>1055</v>
      </c>
      <c r="AA54" t="str">
        <f>VLOOKUP(Z54,Hoja2!A$2:B$872,2,FALSE)</f>
        <v>14AA1</v>
      </c>
    </row>
    <row r="55" spans="1:27" x14ac:dyDescent="0.3">
      <c r="Z55">
        <v>176</v>
      </c>
      <c r="AA55" t="str">
        <f>VLOOKUP(Z55,Hoja2!A$2:B$872,2,FALSE)</f>
        <v>10-P3S4C1AA</v>
      </c>
    </row>
    <row r="56" spans="1:27" x14ac:dyDescent="0.3">
      <c r="Z56">
        <v>150</v>
      </c>
      <c r="AA56" t="str">
        <f>VLOOKUP(Z56,Hoja2!A$2:B$872,2,FALSE)</f>
        <v>25-P3S2C2FS</v>
      </c>
    </row>
    <row r="57" spans="1:27" ht="15" thickBot="1" x14ac:dyDescent="0.35">
      <c r="Z57">
        <v>368</v>
      </c>
      <c r="AA57" t="str">
        <f>VLOOKUP(Z57,Hoja2!A$2:B$872,2,FALSE)</f>
        <v>10-P6S3C2AA</v>
      </c>
    </row>
    <row r="58" spans="1:27" ht="15" thickBot="1" x14ac:dyDescent="0.35">
      <c r="B58" s="84"/>
      <c r="C58" s="84" t="s">
        <v>946</v>
      </c>
      <c r="D58" s="84" t="s">
        <v>947</v>
      </c>
      <c r="E58" s="86" t="s">
        <v>953</v>
      </c>
      <c r="Z58">
        <v>324</v>
      </c>
      <c r="AA58" t="str">
        <f>VLOOKUP(Z58,Hoja2!A$2:B$872,2,FALSE)</f>
        <v>25-P6S1C1AA</v>
      </c>
    </row>
    <row r="59" spans="1:27" ht="15" thickBot="1" x14ac:dyDescent="0.35">
      <c r="B59" s="84" t="s">
        <v>948</v>
      </c>
      <c r="C59" s="85">
        <v>11.441700000000001</v>
      </c>
      <c r="D59" s="85">
        <v>11.448499999999999</v>
      </c>
      <c r="E59" s="86">
        <f>(D59-C59)</f>
        <v>6.7999999999983629E-3</v>
      </c>
      <c r="Z59">
        <v>1025</v>
      </c>
      <c r="AA59" t="str">
        <f>VLOOKUP(Z59,Hoja2!A$2:B$872,2,FALSE)</f>
        <v>34AA1</v>
      </c>
    </row>
    <row r="60" spans="1:27" ht="15" thickBot="1" x14ac:dyDescent="0.35">
      <c r="B60" s="84" t="s">
        <v>949</v>
      </c>
      <c r="C60" s="85">
        <v>11.5625</v>
      </c>
      <c r="D60" s="85">
        <v>11.5649</v>
      </c>
      <c r="E60" s="86">
        <f t="shared" ref="E60:E63" si="8">(D60-C60)</f>
        <v>2.3999999999997357E-3</v>
      </c>
      <c r="Z60">
        <v>3</v>
      </c>
      <c r="AA60" t="str">
        <f>VLOOKUP(Z60,Hoja2!A$2:B$872,2,FALSE)</f>
        <v>25-P1S1C4AA</v>
      </c>
    </row>
    <row r="61" spans="1:27" ht="15" thickBot="1" x14ac:dyDescent="0.35">
      <c r="B61" s="84" t="s">
        <v>950</v>
      </c>
      <c r="C61" s="85">
        <v>11.441700000000001</v>
      </c>
      <c r="D61" s="85">
        <v>11.4488</v>
      </c>
      <c r="E61" s="86">
        <f t="shared" si="8"/>
        <v>7.0999999999994401E-3</v>
      </c>
      <c r="Z61">
        <v>326</v>
      </c>
      <c r="AA61" t="str">
        <f>VLOOKUP(Z61,Hoja2!A$2:B$872,2,FALSE)</f>
        <v>25-P6S1C4AA</v>
      </c>
    </row>
    <row r="62" spans="1:27" ht="15" thickBot="1" x14ac:dyDescent="0.35">
      <c r="B62" s="84" t="s">
        <v>951</v>
      </c>
      <c r="C62" s="85">
        <v>11.4833</v>
      </c>
      <c r="D62" s="85">
        <v>11.488799999999999</v>
      </c>
      <c r="E62" s="86">
        <f t="shared" si="8"/>
        <v>5.4999999999996163E-3</v>
      </c>
      <c r="Z62">
        <v>1048</v>
      </c>
      <c r="AA62" t="str">
        <f>VLOOKUP(Z62,Hoja2!A$2:B$872,2,FALSE)</f>
        <v>64FS4</v>
      </c>
    </row>
    <row r="63" spans="1:27" ht="15" thickBot="1" x14ac:dyDescent="0.35">
      <c r="B63" s="84" t="s">
        <v>952</v>
      </c>
      <c r="C63" s="85">
        <v>11.4962</v>
      </c>
      <c r="D63" s="85">
        <v>11.504799999999999</v>
      </c>
      <c r="E63" s="86">
        <f t="shared" si="8"/>
        <v>8.5999999999994969E-3</v>
      </c>
      <c r="Z63">
        <v>1086</v>
      </c>
      <c r="AA63" t="str">
        <f>VLOOKUP(Z63,Hoja2!A$2:B$872,2,FALSE)</f>
        <v>65AA2</v>
      </c>
    </row>
    <row r="64" spans="1:27" x14ac:dyDescent="0.3">
      <c r="E64" s="86">
        <f>AVERAGE(E59:E63)</f>
        <v>6.0799999999993307E-3</v>
      </c>
      <c r="Z64">
        <v>118</v>
      </c>
      <c r="AA64" t="str">
        <f>VLOOKUP(Z64,Hoja2!A$2:B$872,2,FALSE)</f>
        <v>10-P1S4C1FS</v>
      </c>
    </row>
    <row r="65" spans="26:27" x14ac:dyDescent="0.3">
      <c r="Z65">
        <v>385</v>
      </c>
      <c r="AA65" t="str">
        <f>VLOOKUP(Z65,Hoja2!A$2:B$872,2,FALSE)</f>
        <v>10-P6S4C1AA -b</v>
      </c>
    </row>
    <row r="66" spans="26:27" x14ac:dyDescent="0.3">
      <c r="Z66">
        <v>189</v>
      </c>
      <c r="AA66" t="str">
        <f>VLOOKUP(Z66,Hoja2!A$2:B$872,2,FALSE)</f>
        <v>10-P3S5C2AA</v>
      </c>
    </row>
    <row r="67" spans="26:27" x14ac:dyDescent="0.3">
      <c r="Z67">
        <v>40</v>
      </c>
      <c r="AA67" t="str">
        <f>VLOOKUP(Z67,Hoja2!A$2:B$872,2,FALSE)</f>
        <v>25-P1S2C1FS</v>
      </c>
    </row>
    <row r="68" spans="26:27" x14ac:dyDescent="0.3">
      <c r="Z68">
        <v>355</v>
      </c>
      <c r="AA68" t="str">
        <f>VLOOKUP(Z68,Hoja2!A$2:B$872,2,FALSE)</f>
        <v>10-P6S2C1FS -b</v>
      </c>
    </row>
    <row r="69" spans="26:27" x14ac:dyDescent="0.3">
      <c r="Z69">
        <v>1019</v>
      </c>
      <c r="AA69" t="str">
        <f>VLOOKUP(Z69,Hoja2!A$2:B$872,2,FALSE)</f>
        <v>31AA1</v>
      </c>
    </row>
    <row r="70" spans="26:27" x14ac:dyDescent="0.3">
      <c r="Z70">
        <v>1070</v>
      </c>
      <c r="AA70" t="str">
        <f>VLOOKUP(Z70,Hoja2!A$2:B$872,2,FALSE)</f>
        <v>33FS1</v>
      </c>
    </row>
    <row r="71" spans="26:27" x14ac:dyDescent="0.3">
      <c r="Z71">
        <v>171</v>
      </c>
      <c r="AA71" t="str">
        <f>VLOOKUP(Z71,Hoja2!A$2:B$872,2,FALSE)</f>
        <v>25-P3S4C2AA</v>
      </c>
    </row>
    <row r="72" spans="26:27" x14ac:dyDescent="0.3">
      <c r="Z72">
        <v>146</v>
      </c>
      <c r="AA72" t="str">
        <f>VLOOKUP(Z72,Hoja2!A$2:B$872,2,FALSE)</f>
        <v>25-P3S2C1AA</v>
      </c>
    </row>
    <row r="73" spans="26:27" x14ac:dyDescent="0.3">
      <c r="Z73">
        <v>170</v>
      </c>
      <c r="AA73" t="str">
        <f>VLOOKUP(Z73,Hoja2!A$2:B$872,2,FALSE)</f>
        <v>25-P3S4C1AA</v>
      </c>
    </row>
    <row r="74" spans="26:27" x14ac:dyDescent="0.3">
      <c r="Z74">
        <v>362</v>
      </c>
      <c r="AA74" t="str">
        <f>VLOOKUP(Z74,Hoja2!A$2:B$872,2,FALSE)</f>
        <v>25-P6S3C4AA</v>
      </c>
    </row>
    <row r="75" spans="26:27" x14ac:dyDescent="0.3">
      <c r="Z75">
        <v>1027</v>
      </c>
      <c r="AA75" t="str">
        <f>VLOOKUP(Z75,Hoja2!A$2:B$872,2,FALSE)</f>
        <v>34AA4</v>
      </c>
    </row>
    <row r="76" spans="26:27" x14ac:dyDescent="0.3">
      <c r="Z76">
        <v>373</v>
      </c>
      <c r="AA76" t="str">
        <f>VLOOKUP(Z76,Hoja2!A$2:B$872,2,FALSE)</f>
        <v>10-P6S3C1FS -b</v>
      </c>
    </row>
    <row r="77" spans="26:27" x14ac:dyDescent="0.3">
      <c r="Z77">
        <v>1072</v>
      </c>
      <c r="AA77" t="str">
        <f>VLOOKUP(Z77,Hoja2!A$2:B$872,2,FALSE)</f>
        <v>33FS4</v>
      </c>
    </row>
    <row r="78" spans="26:27" x14ac:dyDescent="0.3">
      <c r="Z78">
        <v>1023</v>
      </c>
      <c r="AA78" t="str">
        <f>VLOOKUP(Z78,Hoja2!A$2:B$872,2,FALSE)</f>
        <v>31FS2</v>
      </c>
    </row>
    <row r="79" spans="26:27" x14ac:dyDescent="0.3">
      <c r="Z79">
        <v>1003</v>
      </c>
      <c r="AA79" t="str">
        <f>VLOOKUP(Z79,Hoja2!A$2:B$872,2,FALSE)</f>
        <v>11AA4</v>
      </c>
    </row>
    <row r="80" spans="26:27" x14ac:dyDescent="0.3">
      <c r="Z80">
        <v>383</v>
      </c>
      <c r="AA80" t="str">
        <f>VLOOKUP(Z80,Hoja2!A$2:B$872,2,FALSE)</f>
        <v>25-P6S4C4FS</v>
      </c>
    </row>
    <row r="81" spans="26:27" x14ac:dyDescent="0.3">
      <c r="Z81">
        <v>382</v>
      </c>
      <c r="AA81" t="str">
        <f>VLOOKUP(Z81,Hoja2!A$2:B$872,2,FALSE)</f>
        <v>25-P6S4C2FS</v>
      </c>
    </row>
    <row r="82" spans="26:27" x14ac:dyDescent="0.3">
      <c r="AA82" t="str">
        <f>VLOOKUP(Z82,Hoja2!A$2:B$872,2,FALSE)</f>
        <v>1-P1S4C2AA-Sp</v>
      </c>
    </row>
    <row r="83" spans="26:27" x14ac:dyDescent="0.3">
      <c r="AA83" t="str">
        <f>VLOOKUP(Z83,Hoja2!A$2:B$872,2,FALSE)</f>
        <v>1-P1S4C2AA-Sp</v>
      </c>
    </row>
    <row r="84" spans="26:27" x14ac:dyDescent="0.3">
      <c r="AA84" t="str">
        <f>VLOOKUP(Z84,Hoja2!A$2:B$872,2,FALSE)</f>
        <v>1-P1S4C2AA-Sp</v>
      </c>
    </row>
    <row r="85" spans="26:27" x14ac:dyDescent="0.3">
      <c r="AA85" t="str">
        <f>VLOOKUP(Z85,Hoja2!A$2:B$872,2,FALSE)</f>
        <v>1-P1S4C2AA-Sp</v>
      </c>
    </row>
    <row r="86" spans="26:27" x14ac:dyDescent="0.3">
      <c r="AA86" t="str">
        <f>VLOOKUP(Z86,Hoja2!A$2:B$872,2,FALSE)</f>
        <v>1-P1S4C2AA-Sp</v>
      </c>
    </row>
    <row r="87" spans="26:27" x14ac:dyDescent="0.3">
      <c r="AA87" t="str">
        <f>VLOOKUP(Z87,Hoja2!A$2:B$872,2,FALSE)</f>
        <v>1-P1S4C2AA-Sp</v>
      </c>
    </row>
    <row r="88" spans="26:27" x14ac:dyDescent="0.3">
      <c r="AA88" t="str">
        <f>VLOOKUP(Z88,Hoja2!A$2:B$872,2,FALSE)</f>
        <v>1-P1S4C2AA-Sp</v>
      </c>
    </row>
    <row r="89" spans="26:27" x14ac:dyDescent="0.3">
      <c r="AA89" t="str">
        <f>VLOOKUP(Z89,Hoja2!A$2:B$872,2,FALSE)</f>
        <v>1-P1S4C2AA-Sp</v>
      </c>
    </row>
    <row r="90" spans="26:27" x14ac:dyDescent="0.3">
      <c r="AA90" t="str">
        <f>VLOOKUP(Z90,Hoja2!A$2:B$872,2,FALSE)</f>
        <v>1-P1S4C2AA-Sp</v>
      </c>
    </row>
    <row r="91" spans="26:27" x14ac:dyDescent="0.3">
      <c r="AA91" t="str">
        <f>VLOOKUP(Z91,Hoja2!A$2:B$872,2,FALSE)</f>
        <v>1-P1S4C2AA-Sp</v>
      </c>
    </row>
    <row r="92" spans="26:27" x14ac:dyDescent="0.3">
      <c r="AA92" t="str">
        <f>VLOOKUP(Z92,Hoja2!A$2:B$872,2,FALSE)</f>
        <v>1-P1S4C2AA-Sp</v>
      </c>
    </row>
    <row r="93" spans="26:27" x14ac:dyDescent="0.3">
      <c r="AA93" t="str">
        <f>VLOOKUP(Z93,Hoja2!A$2:B$872,2,FALSE)</f>
        <v>1-P1S4C2AA-Sp</v>
      </c>
    </row>
    <row r="94" spans="26:27" x14ac:dyDescent="0.3">
      <c r="AA94" t="str">
        <f>VLOOKUP(Z94,Hoja2!A$2:B$872,2,FALSE)</f>
        <v>1-P1S4C2AA-Sp</v>
      </c>
    </row>
    <row r="95" spans="26:27" x14ac:dyDescent="0.3">
      <c r="AA95" t="str">
        <f>VLOOKUP(Z95,Hoja2!A$2:B$872,2,FALSE)</f>
        <v>1-P1S4C2AA-Sp</v>
      </c>
    </row>
    <row r="96" spans="26:27" x14ac:dyDescent="0.3">
      <c r="AA96" t="str">
        <f>VLOOKUP(Z96,Hoja2!A$2:B$872,2,FALSE)</f>
        <v>1-P1S4C2AA-Sp</v>
      </c>
    </row>
    <row r="97" spans="27:27" x14ac:dyDescent="0.3">
      <c r="AA97" t="str">
        <f>VLOOKUP(Z97,Hoja2!A$2:B$872,2,FALSE)</f>
        <v>1-P1S4C2AA-Sp</v>
      </c>
    </row>
    <row r="98" spans="27:27" x14ac:dyDescent="0.3">
      <c r="AA98" t="str">
        <f>VLOOKUP(Z98,Hoja2!A$2:B$872,2,FALSE)</f>
        <v>1-P1S4C2AA-Sp</v>
      </c>
    </row>
    <row r="99" spans="27:27" x14ac:dyDescent="0.3">
      <c r="AA99" t="str">
        <f>VLOOKUP(Z99,Hoja2!A$2:B$872,2,FALSE)</f>
        <v>1-P1S4C2AA-Sp</v>
      </c>
    </row>
    <row r="100" spans="27:27" x14ac:dyDescent="0.3">
      <c r="AA100" t="str">
        <f>VLOOKUP(Z100,Hoja2!A$2:B$872,2,FALSE)</f>
        <v>1-P1S4C2AA-Sp</v>
      </c>
    </row>
    <row r="101" spans="27:27" x14ac:dyDescent="0.3">
      <c r="AA101" t="str">
        <f>VLOOKUP(Z101,Hoja2!A$2:B$872,2,FALSE)</f>
        <v>1-P1S4C2AA-Sp</v>
      </c>
    </row>
    <row r="102" spans="27:27" x14ac:dyDescent="0.3">
      <c r="AA102" t="str">
        <f>VLOOKUP(Z102,Hoja2!A$2:B$872,2,FALSE)</f>
        <v>1-P1S4C2AA-Sp</v>
      </c>
    </row>
    <row r="103" spans="27:27" x14ac:dyDescent="0.3">
      <c r="AA103" t="str">
        <f>VLOOKUP(Z103,Hoja2!A$2:B$872,2,FALSE)</f>
        <v>1-P1S4C2AA-Sp</v>
      </c>
    </row>
    <row r="104" spans="27:27" x14ac:dyDescent="0.3">
      <c r="AA104" t="str">
        <f>VLOOKUP(Z104,Hoja2!A$2:B$872,2,FALSE)</f>
        <v>1-P1S4C2AA-Sp</v>
      </c>
    </row>
    <row r="105" spans="27:27" x14ac:dyDescent="0.3">
      <c r="AA105" t="str">
        <f>VLOOKUP(Z105,Hoja2!A$2:B$872,2,FALSE)</f>
        <v>1-P1S4C2AA-Sp</v>
      </c>
    </row>
    <row r="106" spans="27:27" x14ac:dyDescent="0.3">
      <c r="AA106" t="str">
        <f>VLOOKUP(Z106,Hoja2!A$2:B$872,2,FALSE)</f>
        <v>1-P1S4C2AA-Sp</v>
      </c>
    </row>
    <row r="107" spans="27:27" x14ac:dyDescent="0.3">
      <c r="AA107" t="str">
        <f>VLOOKUP(Z107,Hoja2!A$2:B$872,2,FALSE)</f>
        <v>1-P1S4C2AA-Sp</v>
      </c>
    </row>
    <row r="108" spans="27:27" x14ac:dyDescent="0.3">
      <c r="AA108" t="str">
        <f>VLOOKUP(Z108,Hoja2!A$2:B$872,2,FALSE)</f>
        <v>1-P1S4C2AA-Sp</v>
      </c>
    </row>
    <row r="109" spans="27:27" x14ac:dyDescent="0.3">
      <c r="AA109" t="str">
        <f>VLOOKUP(Z109,Hoja2!A$2:B$872,2,FALSE)</f>
        <v>1-P1S4C2AA-Sp</v>
      </c>
    </row>
    <row r="110" spans="27:27" x14ac:dyDescent="0.3">
      <c r="AA110" t="str">
        <f>VLOOKUP(Z110,Hoja2!A$2:B$872,2,FALSE)</f>
        <v>1-P1S4C2AA-Sp</v>
      </c>
    </row>
    <row r="111" spans="27:27" x14ac:dyDescent="0.3">
      <c r="AA111" t="str">
        <f>VLOOKUP(Z111,Hoja2!A$2:B$872,2,FALSE)</f>
        <v>1-P1S4C2AA-Sp</v>
      </c>
    </row>
    <row r="112" spans="27:27" x14ac:dyDescent="0.3">
      <c r="AA112" t="str">
        <f>VLOOKUP(Z112,Hoja2!A$2:B$872,2,FALSE)</f>
        <v>1-P1S4C2AA-Sp</v>
      </c>
    </row>
    <row r="113" spans="27:27" x14ac:dyDescent="0.3">
      <c r="AA113" t="str">
        <f>VLOOKUP(Z113,Hoja2!A$2:B$872,2,FALSE)</f>
        <v>1-P1S4C2AA-Sp</v>
      </c>
    </row>
    <row r="114" spans="27:27" x14ac:dyDescent="0.3">
      <c r="AA114" t="str">
        <f>VLOOKUP(Z114,Hoja2!A$2:B$872,2,FALSE)</f>
        <v>1-P1S4C2AA-Sp</v>
      </c>
    </row>
    <row r="115" spans="27:27" x14ac:dyDescent="0.3">
      <c r="AA115" t="str">
        <f>VLOOKUP(Z115,Hoja2!A86:B956,2,FALSE)</f>
        <v>1-P1S4C2AA-Sp</v>
      </c>
    </row>
    <row r="116" spans="27:27" x14ac:dyDescent="0.3">
      <c r="AA116" t="str">
        <f>VLOOKUP(Z116,Hoja2!A87:B957,2,FALSE)</f>
        <v>1-P1S4C2AA-Sp</v>
      </c>
    </row>
    <row r="117" spans="27:27" x14ac:dyDescent="0.3">
      <c r="AA117" t="str">
        <f>VLOOKUP(Z117,Hoja2!A88:B958,2,FALSE)</f>
        <v>1-P1S4C2AA-Sp</v>
      </c>
    </row>
    <row r="118" spans="27:27" x14ac:dyDescent="0.3">
      <c r="AA118" t="str">
        <f>VLOOKUP(Z118,Hoja2!A89:B959,2,FALSE)</f>
        <v>1-P1S4C2AA-Sp</v>
      </c>
    </row>
    <row r="119" spans="27:27" x14ac:dyDescent="0.3">
      <c r="AA119" t="str">
        <f>VLOOKUP(Z119,Hoja2!A90:B960,2,FALSE)</f>
        <v>1-P1S4C2AA-Sp</v>
      </c>
    </row>
    <row r="120" spans="27:27" x14ac:dyDescent="0.3">
      <c r="AA120" t="str">
        <f>VLOOKUP(Z120,Hoja2!A91:B961,2,FALSE)</f>
        <v>1-P1S4C2AA-Sp</v>
      </c>
    </row>
  </sheetData>
  <autoFilter ref="A1:Q51" xr:uid="{8D7EE541-CB7E-4297-AF1E-149BFD9A2CA7}"/>
  <conditionalFormatting sqref="G2:G51 J1:U1 J52:U1048576 J2:O51 Q2:U51">
    <cfRule type="cellIs" dxfId="10" priority="4" operator="lessThan">
      <formula>0</formula>
    </cfRule>
  </conditionalFormatting>
  <conditionalFormatting sqref="P2:P51">
    <cfRule type="cellIs" dxfId="9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749F-F13A-4E36-8501-F432A08440A4}">
  <dimension ref="A1:V62"/>
  <sheetViews>
    <sheetView workbookViewId="0">
      <selection activeCell="F31" sqref="F31"/>
    </sheetView>
  </sheetViews>
  <sheetFormatPr baseColWidth="10" defaultRowHeight="14.4" x14ac:dyDescent="0.3"/>
  <sheetData>
    <row r="1" spans="2:21" x14ac:dyDescent="0.3">
      <c r="B1" s="4"/>
    </row>
    <row r="2" spans="2:21" x14ac:dyDescent="0.3">
      <c r="B2" s="4"/>
    </row>
    <row r="3" spans="2:21" x14ac:dyDescent="0.3">
      <c r="B3" s="4"/>
    </row>
    <row r="4" spans="2:21" x14ac:dyDescent="0.3">
      <c r="B4" s="4" t="s">
        <v>963</v>
      </c>
      <c r="C4" s="4">
        <v>1</v>
      </c>
      <c r="D4" s="4">
        <v>10</v>
      </c>
      <c r="E4" s="4">
        <v>25</v>
      </c>
      <c r="F4" s="4" t="s">
        <v>970</v>
      </c>
      <c r="I4" s="4" t="s">
        <v>963</v>
      </c>
      <c r="J4" s="4">
        <v>1</v>
      </c>
      <c r="K4" s="4">
        <v>10</v>
      </c>
      <c r="L4" s="4">
        <v>25</v>
      </c>
      <c r="M4" s="4" t="s">
        <v>970</v>
      </c>
    </row>
    <row r="5" spans="2:21" x14ac:dyDescent="0.3">
      <c r="B5" s="4">
        <v>1</v>
      </c>
      <c r="C5">
        <v>4</v>
      </c>
      <c r="D5">
        <v>6</v>
      </c>
      <c r="E5">
        <v>4</v>
      </c>
      <c r="I5" s="4">
        <v>1</v>
      </c>
      <c r="J5">
        <f>5-C5</f>
        <v>1</v>
      </c>
      <c r="K5" s="96">
        <v>0</v>
      </c>
      <c r="L5">
        <f t="shared" ref="L5" si="0">5-E5</f>
        <v>1</v>
      </c>
      <c r="O5" t="s">
        <v>963</v>
      </c>
    </row>
    <row r="6" spans="2:21" x14ac:dyDescent="0.3">
      <c r="B6" s="4">
        <v>2</v>
      </c>
      <c r="C6">
        <v>2</v>
      </c>
      <c r="D6">
        <v>2</v>
      </c>
      <c r="E6">
        <v>2</v>
      </c>
      <c r="I6" s="4">
        <v>2</v>
      </c>
      <c r="J6">
        <f t="shared" ref="J6:J7" si="1">5-C6</f>
        <v>3</v>
      </c>
      <c r="K6">
        <f t="shared" ref="K6:K7" si="2">5-D6</f>
        <v>3</v>
      </c>
      <c r="L6">
        <f t="shared" ref="L6:L7" si="3">5-E6</f>
        <v>3</v>
      </c>
      <c r="P6">
        <v>1</v>
      </c>
      <c r="Q6" s="4" t="s">
        <v>972</v>
      </c>
      <c r="R6" s="4">
        <v>1079</v>
      </c>
    </row>
    <row r="7" spans="2:21" x14ac:dyDescent="0.3">
      <c r="B7" s="4">
        <v>4</v>
      </c>
      <c r="C7">
        <v>4</v>
      </c>
      <c r="D7">
        <v>1</v>
      </c>
      <c r="E7">
        <v>5</v>
      </c>
      <c r="I7" s="4">
        <v>4</v>
      </c>
      <c r="J7">
        <f t="shared" si="1"/>
        <v>1</v>
      </c>
      <c r="K7">
        <f t="shared" si="2"/>
        <v>4</v>
      </c>
      <c r="L7" s="97">
        <f t="shared" si="3"/>
        <v>0</v>
      </c>
      <c r="Q7" s="4" t="s">
        <v>973</v>
      </c>
      <c r="R7" s="4">
        <v>1062</v>
      </c>
      <c r="S7" s="4">
        <v>1050</v>
      </c>
      <c r="T7" s="4">
        <v>1020</v>
      </c>
    </row>
    <row r="8" spans="2:21" x14ac:dyDescent="0.3">
      <c r="B8" s="4" t="s">
        <v>921</v>
      </c>
      <c r="I8" s="4" t="s">
        <v>921</v>
      </c>
      <c r="Q8" s="4" t="s">
        <v>974</v>
      </c>
      <c r="R8" s="4">
        <v>1021</v>
      </c>
    </row>
    <row r="9" spans="2:21" x14ac:dyDescent="0.3">
      <c r="B9" s="4"/>
      <c r="I9" s="4"/>
      <c r="P9">
        <v>10</v>
      </c>
    </row>
    <row r="10" spans="2:21" x14ac:dyDescent="0.3">
      <c r="B10" s="4"/>
      <c r="I10" s="4"/>
      <c r="Q10" s="98" t="str">
        <f>_xlfn.CONCAT(1,"(",K5,")")</f>
        <v>1(0)</v>
      </c>
      <c r="R10" s="98"/>
    </row>
    <row r="11" spans="2:21" x14ac:dyDescent="0.3">
      <c r="B11" s="4" t="s">
        <v>964</v>
      </c>
      <c r="C11" s="4">
        <v>1</v>
      </c>
      <c r="D11" s="4">
        <v>10</v>
      </c>
      <c r="E11" s="4">
        <v>25</v>
      </c>
      <c r="I11" s="4" t="s">
        <v>964</v>
      </c>
      <c r="J11" s="4">
        <v>1</v>
      </c>
      <c r="K11" s="4">
        <v>10</v>
      </c>
      <c r="L11" s="4">
        <v>25</v>
      </c>
      <c r="P11" s="4"/>
      <c r="Q11" s="98" t="str">
        <f>_xlfn.CONCAT(2,"(",K6,")")</f>
        <v>2(3)</v>
      </c>
      <c r="R11" s="4">
        <v>333</v>
      </c>
      <c r="S11" s="4">
        <v>386</v>
      </c>
      <c r="T11" s="4">
        <v>119</v>
      </c>
    </row>
    <row r="12" spans="2:21" x14ac:dyDescent="0.3">
      <c r="B12" s="4">
        <v>1</v>
      </c>
      <c r="C12">
        <v>1</v>
      </c>
      <c r="D12">
        <v>4</v>
      </c>
      <c r="E12">
        <v>2</v>
      </c>
      <c r="I12" s="4">
        <v>1</v>
      </c>
      <c r="J12">
        <f>5-C12</f>
        <v>4</v>
      </c>
      <c r="K12">
        <f t="shared" ref="K12:K14" si="4">5-D12</f>
        <v>1</v>
      </c>
      <c r="L12">
        <f t="shared" ref="L12:L14" si="5">5-E12</f>
        <v>3</v>
      </c>
      <c r="Q12" s="98" t="str">
        <f>_xlfn.CONCAT(4,"(",K7,")")</f>
        <v>4(4)</v>
      </c>
      <c r="R12" s="95">
        <v>117</v>
      </c>
      <c r="S12" s="4">
        <v>406</v>
      </c>
      <c r="T12" s="4">
        <v>371</v>
      </c>
      <c r="U12" s="4">
        <v>81</v>
      </c>
    </row>
    <row r="13" spans="2:21" x14ac:dyDescent="0.3">
      <c r="B13" s="4">
        <v>2</v>
      </c>
      <c r="C13">
        <v>3</v>
      </c>
      <c r="D13">
        <v>0</v>
      </c>
      <c r="E13">
        <v>4</v>
      </c>
      <c r="I13" s="4">
        <v>2</v>
      </c>
      <c r="J13">
        <f t="shared" ref="J13:J14" si="6">5-C13</f>
        <v>2</v>
      </c>
      <c r="K13">
        <f t="shared" si="4"/>
        <v>5</v>
      </c>
      <c r="L13">
        <f t="shared" si="5"/>
        <v>1</v>
      </c>
      <c r="P13">
        <v>25</v>
      </c>
    </row>
    <row r="14" spans="2:21" x14ac:dyDescent="0.3">
      <c r="B14" s="4">
        <v>4</v>
      </c>
      <c r="C14">
        <v>3</v>
      </c>
      <c r="D14">
        <v>3</v>
      </c>
      <c r="E14">
        <v>0</v>
      </c>
      <c r="I14" s="4">
        <v>4</v>
      </c>
      <c r="J14">
        <f t="shared" si="6"/>
        <v>2</v>
      </c>
      <c r="K14">
        <f t="shared" si="4"/>
        <v>2</v>
      </c>
      <c r="L14">
        <f t="shared" si="5"/>
        <v>5</v>
      </c>
      <c r="Q14" s="4" t="s">
        <v>972</v>
      </c>
      <c r="R14" s="4">
        <v>73</v>
      </c>
    </row>
    <row r="15" spans="2:21" x14ac:dyDescent="0.3">
      <c r="B15" s="4"/>
      <c r="Q15" s="4" t="s">
        <v>973</v>
      </c>
      <c r="R15" s="4">
        <v>74</v>
      </c>
      <c r="S15" s="4">
        <v>135</v>
      </c>
      <c r="T15" s="4">
        <v>159</v>
      </c>
    </row>
    <row r="16" spans="2:21" x14ac:dyDescent="0.3">
      <c r="B16" s="4"/>
      <c r="Q16" s="4" t="s">
        <v>975</v>
      </c>
    </row>
    <row r="19" spans="1:22" x14ac:dyDescent="0.3">
      <c r="B19" t="s">
        <v>971</v>
      </c>
      <c r="L19">
        <f>SUM(J5:L7,J12:L14)</f>
        <v>41</v>
      </c>
      <c r="O19" t="s">
        <v>964</v>
      </c>
    </row>
    <row r="20" spans="1:22" x14ac:dyDescent="0.3">
      <c r="B20" t="s">
        <v>48</v>
      </c>
      <c r="P20">
        <v>1</v>
      </c>
      <c r="Q20" s="4" t="s">
        <v>976</v>
      </c>
      <c r="R20" s="4">
        <v>1022</v>
      </c>
      <c r="S20" s="4">
        <v>1040</v>
      </c>
      <c r="T20" s="4">
        <v>1058</v>
      </c>
      <c r="U20" s="4">
        <v>1034</v>
      </c>
    </row>
    <row r="21" spans="1:22" x14ac:dyDescent="0.3">
      <c r="I21">
        <v>1033</v>
      </c>
      <c r="Q21" s="4" t="s">
        <v>977</v>
      </c>
      <c r="R21" s="4">
        <v>1029</v>
      </c>
      <c r="S21" s="4">
        <v>1065</v>
      </c>
      <c r="T21" s="4"/>
    </row>
    <row r="22" spans="1:22" x14ac:dyDescent="0.3">
      <c r="A22" s="4">
        <v>1079</v>
      </c>
      <c r="B22" s="4"/>
      <c r="I22" t="str">
        <f>VLOOKUP(I21,Hoja2!A2:B872,2,FALSE)</f>
        <v>35AA4</v>
      </c>
      <c r="Q22" s="4" t="s">
        <v>978</v>
      </c>
      <c r="R22" s="4">
        <v>1090</v>
      </c>
      <c r="S22" s="4">
        <v>1012</v>
      </c>
    </row>
    <row r="23" spans="1:22" x14ac:dyDescent="0.3">
      <c r="A23" s="4">
        <v>1062</v>
      </c>
      <c r="B23" s="4"/>
      <c r="P23">
        <v>10</v>
      </c>
    </row>
    <row r="24" spans="1:22" x14ac:dyDescent="0.3">
      <c r="A24" s="4">
        <v>1021</v>
      </c>
      <c r="B24" s="4"/>
      <c r="Q24" s="4" t="s">
        <v>972</v>
      </c>
      <c r="R24" s="4">
        <v>337</v>
      </c>
    </row>
    <row r="25" spans="1:22" x14ac:dyDescent="0.3">
      <c r="A25" s="4">
        <v>333</v>
      </c>
      <c r="B25" s="4"/>
      <c r="E25" s="59"/>
      <c r="F25" s="112"/>
      <c r="G25" s="112"/>
      <c r="H25" s="112"/>
      <c r="I25" s="112"/>
      <c r="J25" s="112"/>
      <c r="K25" s="112"/>
      <c r="L25" s="112"/>
      <c r="M25" s="112"/>
      <c r="N25" s="112"/>
      <c r="Q25" s="4" t="s">
        <v>979</v>
      </c>
      <c r="R25" s="4">
        <v>339</v>
      </c>
      <c r="S25" s="4">
        <v>11</v>
      </c>
      <c r="T25" s="4">
        <v>180</v>
      </c>
      <c r="U25" s="4">
        <v>47</v>
      </c>
      <c r="V25" s="4">
        <v>131</v>
      </c>
    </row>
    <row r="26" spans="1:22" x14ac:dyDescent="0.3">
      <c r="A26" s="95">
        <v>117</v>
      </c>
      <c r="B26" s="95"/>
      <c r="E26" s="59"/>
      <c r="F26" s="112"/>
      <c r="G26" s="112"/>
      <c r="H26" s="112"/>
      <c r="I26" s="112"/>
      <c r="J26" s="112"/>
      <c r="K26" s="112"/>
      <c r="L26" s="112"/>
      <c r="M26" s="112"/>
      <c r="N26" s="112"/>
      <c r="Q26" s="4" t="s">
        <v>978</v>
      </c>
      <c r="R26" s="4">
        <v>341</v>
      </c>
      <c r="S26" s="4">
        <v>145</v>
      </c>
    </row>
    <row r="27" spans="1:22" x14ac:dyDescent="0.3">
      <c r="A27" s="4">
        <v>73</v>
      </c>
      <c r="B27" s="4"/>
      <c r="D27" s="4"/>
      <c r="E27" s="103"/>
      <c r="F27" s="59"/>
      <c r="G27" s="59"/>
      <c r="H27" s="59"/>
      <c r="I27" s="59"/>
      <c r="J27" s="59"/>
      <c r="K27" s="59"/>
      <c r="L27" s="59"/>
      <c r="M27" s="59"/>
      <c r="N27" s="59"/>
      <c r="P27">
        <v>25</v>
      </c>
    </row>
    <row r="28" spans="1:22" x14ac:dyDescent="0.3">
      <c r="A28" s="4">
        <v>74</v>
      </c>
      <c r="B28" s="4"/>
      <c r="E28" s="59"/>
      <c r="F28" s="59"/>
      <c r="G28" s="59"/>
      <c r="H28" s="59"/>
      <c r="I28" s="59"/>
      <c r="J28" s="59"/>
      <c r="K28" s="59"/>
      <c r="L28" s="59"/>
      <c r="M28" s="102"/>
      <c r="N28" s="59"/>
      <c r="Q28" s="4" t="s">
        <v>980</v>
      </c>
      <c r="R28" s="4">
        <v>185</v>
      </c>
      <c r="S28" s="4">
        <v>112</v>
      </c>
      <c r="T28" s="4">
        <v>124</v>
      </c>
    </row>
    <row r="29" spans="1:22" x14ac:dyDescent="0.3">
      <c r="A29" s="4">
        <v>1022</v>
      </c>
      <c r="B29" s="4"/>
      <c r="E29" s="59"/>
      <c r="F29" s="59"/>
      <c r="G29" s="59"/>
      <c r="H29" s="59"/>
      <c r="I29" s="59"/>
      <c r="J29" s="59"/>
      <c r="K29" s="59"/>
      <c r="L29" s="59"/>
      <c r="M29" s="102"/>
      <c r="N29" s="59"/>
      <c r="Q29" s="4" t="s">
        <v>981</v>
      </c>
      <c r="R29" s="4">
        <v>346</v>
      </c>
    </row>
    <row r="30" spans="1:22" x14ac:dyDescent="0.3">
      <c r="A30" s="4">
        <v>1029</v>
      </c>
      <c r="B30" s="4"/>
      <c r="E30" s="59"/>
      <c r="F30" s="59"/>
      <c r="G30" s="102"/>
      <c r="H30" s="59"/>
      <c r="I30" s="59"/>
      <c r="J30" s="102"/>
      <c r="K30" s="59"/>
      <c r="L30" s="59"/>
      <c r="M30" s="102"/>
      <c r="N30" s="59"/>
      <c r="Q30" s="4" t="s">
        <v>982</v>
      </c>
      <c r="R30" s="4">
        <v>151</v>
      </c>
      <c r="S30" s="4">
        <v>42</v>
      </c>
      <c r="T30" s="4">
        <v>144</v>
      </c>
      <c r="U30" s="4">
        <v>383</v>
      </c>
      <c r="V30" s="4">
        <v>329</v>
      </c>
    </row>
    <row r="31" spans="1:22" x14ac:dyDescent="0.3">
      <c r="A31" s="4">
        <v>1090</v>
      </c>
      <c r="B31" s="4"/>
      <c r="D31" s="4"/>
      <c r="E31" s="103"/>
      <c r="F31" s="59"/>
      <c r="G31" s="102"/>
      <c r="H31" s="59"/>
      <c r="I31" s="59"/>
      <c r="J31" s="102"/>
      <c r="K31" s="59"/>
      <c r="L31" s="59"/>
      <c r="M31" s="102"/>
      <c r="N31" s="59"/>
    </row>
    <row r="32" spans="1:22" x14ac:dyDescent="0.3">
      <c r="A32" s="4">
        <v>337</v>
      </c>
      <c r="D32" s="4"/>
      <c r="E32" s="103"/>
      <c r="F32" s="103"/>
      <c r="G32" s="59"/>
      <c r="H32" s="59"/>
      <c r="I32" s="59"/>
      <c r="J32" s="59"/>
      <c r="K32" s="59"/>
      <c r="L32" s="59"/>
      <c r="M32" s="59"/>
      <c r="N32" s="59"/>
    </row>
    <row r="33" spans="1:14" x14ac:dyDescent="0.3">
      <c r="A33" s="4">
        <v>339</v>
      </c>
      <c r="B33" s="4"/>
      <c r="E33" s="59"/>
      <c r="F33" s="59"/>
      <c r="G33" s="59"/>
      <c r="H33" s="59"/>
      <c r="I33" s="59"/>
      <c r="J33" s="59"/>
      <c r="K33" s="59"/>
      <c r="L33" s="59"/>
      <c r="M33" s="59"/>
      <c r="N33" s="59"/>
    </row>
    <row r="34" spans="1:14" x14ac:dyDescent="0.3">
      <c r="A34" s="4">
        <v>341</v>
      </c>
      <c r="B34" s="4"/>
      <c r="E34" s="59"/>
      <c r="F34" s="59"/>
      <c r="G34" s="59"/>
      <c r="H34" s="59"/>
      <c r="I34" s="59"/>
      <c r="J34" s="59"/>
      <c r="K34" s="59"/>
      <c r="L34" s="59"/>
      <c r="M34" s="59"/>
      <c r="N34" s="59"/>
    </row>
    <row r="35" spans="1:14" x14ac:dyDescent="0.3">
      <c r="A35" s="4">
        <v>185</v>
      </c>
      <c r="B35" s="4"/>
      <c r="D35" s="4"/>
      <c r="E35" s="103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1:14" x14ac:dyDescent="0.3">
      <c r="A36" s="4">
        <v>346</v>
      </c>
      <c r="E36" s="59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1:14" x14ac:dyDescent="0.3">
      <c r="A37" s="4">
        <v>151</v>
      </c>
      <c r="B37" s="4"/>
      <c r="E37" s="59"/>
      <c r="F37" s="59"/>
      <c r="G37" s="59"/>
      <c r="H37" s="59"/>
      <c r="I37" s="59"/>
      <c r="J37" s="59"/>
      <c r="K37" s="59"/>
      <c r="L37" s="59"/>
      <c r="M37" s="59"/>
      <c r="N37" s="59"/>
    </row>
    <row r="38" spans="1:14" x14ac:dyDescent="0.3">
      <c r="B38" s="4"/>
      <c r="E38" s="59"/>
      <c r="F38" s="59"/>
      <c r="G38" s="59"/>
      <c r="H38" s="59"/>
      <c r="I38" s="59"/>
      <c r="J38" s="59"/>
      <c r="K38" s="59"/>
      <c r="L38" s="59"/>
      <c r="M38" s="102"/>
      <c r="N38" s="59"/>
    </row>
    <row r="39" spans="1:14" x14ac:dyDescent="0.3">
      <c r="B39" s="4"/>
      <c r="E39" s="59"/>
      <c r="F39" s="59"/>
      <c r="G39" s="59"/>
      <c r="H39" s="59"/>
      <c r="I39" s="59"/>
      <c r="J39" s="59"/>
      <c r="K39" s="59"/>
      <c r="L39" s="59"/>
      <c r="M39" s="102"/>
      <c r="N39" s="59"/>
    </row>
    <row r="40" spans="1:14" x14ac:dyDescent="0.3">
      <c r="D40" s="4"/>
      <c r="E40" s="103"/>
      <c r="F40" s="59"/>
      <c r="G40" s="102"/>
      <c r="H40" s="59"/>
      <c r="I40" s="59"/>
      <c r="J40" s="102"/>
      <c r="K40" s="59"/>
      <c r="L40" s="59"/>
      <c r="M40" s="102"/>
      <c r="N40" s="59"/>
    </row>
    <row r="41" spans="1:14" x14ac:dyDescent="0.3">
      <c r="D41" s="4"/>
      <c r="E41" s="103"/>
      <c r="F41" s="59"/>
      <c r="G41" s="102"/>
      <c r="H41" s="59"/>
      <c r="I41" s="59"/>
      <c r="J41" s="102"/>
      <c r="K41" s="59"/>
      <c r="L41" s="59"/>
      <c r="M41" s="102"/>
      <c r="N41" s="59"/>
    </row>
    <row r="42" spans="1:14" x14ac:dyDescent="0.3">
      <c r="D42" s="4"/>
      <c r="E42" s="59"/>
      <c r="F42" s="103"/>
      <c r="G42" s="59"/>
      <c r="H42" s="59"/>
      <c r="I42" s="59"/>
      <c r="J42" s="59"/>
      <c r="K42" s="59"/>
      <c r="L42" s="59"/>
      <c r="M42" s="59"/>
      <c r="N42" s="59"/>
    </row>
    <row r="43" spans="1:14" x14ac:dyDescent="0.3">
      <c r="E43" s="59"/>
      <c r="F43" s="59"/>
      <c r="G43" s="59"/>
      <c r="H43" s="59"/>
      <c r="I43" s="59"/>
      <c r="J43" s="59"/>
      <c r="K43" s="59"/>
      <c r="L43" s="59"/>
      <c r="M43" s="59"/>
      <c r="N43" s="59"/>
    </row>
    <row r="44" spans="1:14" x14ac:dyDescent="0.3">
      <c r="E44" s="59"/>
      <c r="F44" s="59"/>
      <c r="G44" s="59"/>
      <c r="H44" s="59"/>
      <c r="I44" s="59"/>
      <c r="J44" s="59"/>
      <c r="K44" s="59"/>
      <c r="L44" s="59"/>
      <c r="M44" s="59"/>
      <c r="N44" s="59"/>
    </row>
    <row r="45" spans="1:14" x14ac:dyDescent="0.3">
      <c r="D45" s="4"/>
      <c r="E45" s="4"/>
      <c r="F45" s="4"/>
      <c r="G45" s="4"/>
    </row>
    <row r="46" spans="1:14" x14ac:dyDescent="0.3">
      <c r="D46" s="4"/>
    </row>
    <row r="48" spans="1:14" x14ac:dyDescent="0.3">
      <c r="D48" s="4"/>
      <c r="E48" s="4"/>
    </row>
    <row r="50" spans="4:7" x14ac:dyDescent="0.3">
      <c r="D50" s="4"/>
      <c r="E50" s="4"/>
      <c r="F50" s="4"/>
      <c r="G50" s="4"/>
    </row>
    <row r="51" spans="4:7" x14ac:dyDescent="0.3">
      <c r="F51" s="4"/>
    </row>
    <row r="52" spans="4:7" x14ac:dyDescent="0.3">
      <c r="F52" s="4"/>
    </row>
    <row r="53" spans="4:7" x14ac:dyDescent="0.3">
      <c r="F53" s="4"/>
    </row>
    <row r="54" spans="4:7" x14ac:dyDescent="0.3">
      <c r="F54" s="4"/>
    </row>
    <row r="55" spans="4:7" x14ac:dyDescent="0.3">
      <c r="F55" s="4"/>
    </row>
    <row r="56" spans="4:7" x14ac:dyDescent="0.3">
      <c r="F56" s="4"/>
    </row>
    <row r="57" spans="4:7" x14ac:dyDescent="0.3">
      <c r="F57" s="4"/>
    </row>
    <row r="58" spans="4:7" x14ac:dyDescent="0.3">
      <c r="F58" s="4"/>
    </row>
    <row r="59" spans="4:7" x14ac:dyDescent="0.3">
      <c r="F59" s="4"/>
    </row>
    <row r="62" spans="4:7" x14ac:dyDescent="0.3">
      <c r="F62">
        <f>COUNT(F26:F59)</f>
        <v>0</v>
      </c>
    </row>
  </sheetData>
  <mergeCells count="8">
    <mergeCell ref="F25:N25"/>
    <mergeCell ref="F35:N35"/>
    <mergeCell ref="F36:H36"/>
    <mergeCell ref="I36:K36"/>
    <mergeCell ref="L36:N36"/>
    <mergeCell ref="F26:H26"/>
    <mergeCell ref="I26:K26"/>
    <mergeCell ref="L26:N2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EAA8-890D-40C6-B687-71CE853C3DF4}">
  <dimension ref="A1:R115"/>
  <sheetViews>
    <sheetView topLeftCell="A17" workbookViewId="0">
      <selection sqref="A1:I3"/>
    </sheetView>
  </sheetViews>
  <sheetFormatPr baseColWidth="10" defaultRowHeight="14.4" x14ac:dyDescent="0.3"/>
  <cols>
    <col min="12" max="12" width="12.109375" customWidth="1"/>
    <col min="13" max="13" width="14.77734375" customWidth="1"/>
  </cols>
  <sheetData>
    <row r="1" spans="1:9" ht="15" thickBot="1" x14ac:dyDescent="0.35">
      <c r="A1" s="116" t="s">
        <v>983</v>
      </c>
      <c r="B1" s="117"/>
      <c r="C1" s="117"/>
      <c r="D1" s="117"/>
      <c r="E1" s="117"/>
      <c r="F1" s="117"/>
      <c r="G1" s="117"/>
      <c r="H1" s="117"/>
      <c r="I1" s="118"/>
    </row>
    <row r="2" spans="1:9" x14ac:dyDescent="0.3">
      <c r="A2" s="113">
        <v>1</v>
      </c>
      <c r="B2" s="114"/>
      <c r="C2" s="115"/>
      <c r="D2" s="113">
        <v>10</v>
      </c>
      <c r="E2" s="114"/>
      <c r="F2" s="115"/>
      <c r="G2" s="113">
        <v>25</v>
      </c>
      <c r="H2" s="114"/>
      <c r="I2" s="115"/>
    </row>
    <row r="3" spans="1:9" x14ac:dyDescent="0.3">
      <c r="A3" s="99">
        <v>1</v>
      </c>
      <c r="B3" s="59">
        <v>2</v>
      </c>
      <c r="C3" s="60">
        <v>4</v>
      </c>
      <c r="D3" s="99">
        <v>1</v>
      </c>
      <c r="E3" s="59">
        <v>2</v>
      </c>
      <c r="F3" s="60">
        <v>4</v>
      </c>
      <c r="G3" s="99">
        <v>1</v>
      </c>
      <c r="H3" s="59">
        <v>2</v>
      </c>
      <c r="I3" s="60">
        <v>4</v>
      </c>
    </row>
    <row r="4" spans="1:9" x14ac:dyDescent="0.3">
      <c r="A4" s="99">
        <v>1073</v>
      </c>
      <c r="B4" s="59">
        <v>1002</v>
      </c>
      <c r="C4" s="60">
        <v>1045</v>
      </c>
      <c r="D4" s="99">
        <v>43</v>
      </c>
      <c r="E4" s="59">
        <v>387</v>
      </c>
      <c r="F4" s="60">
        <v>353</v>
      </c>
      <c r="G4" s="99">
        <v>121</v>
      </c>
      <c r="H4" s="102">
        <v>325</v>
      </c>
      <c r="I4" s="60">
        <v>136</v>
      </c>
    </row>
    <row r="5" spans="1:9" x14ac:dyDescent="0.3">
      <c r="A5" s="99">
        <v>1043</v>
      </c>
      <c r="B5" s="59">
        <v>1044</v>
      </c>
      <c r="C5" s="60">
        <v>1009</v>
      </c>
      <c r="D5" s="99">
        <v>367</v>
      </c>
      <c r="E5" s="59">
        <v>165</v>
      </c>
      <c r="F5" s="60">
        <v>389</v>
      </c>
      <c r="G5" s="99">
        <v>363</v>
      </c>
      <c r="H5" s="102">
        <v>2</v>
      </c>
      <c r="I5" s="60">
        <v>123</v>
      </c>
    </row>
    <row r="6" spans="1:9" x14ac:dyDescent="0.3">
      <c r="A6" s="99">
        <v>1031</v>
      </c>
      <c r="B6" s="102">
        <v>1074</v>
      </c>
      <c r="C6" s="60">
        <v>1051</v>
      </c>
      <c r="D6" s="99">
        <v>188</v>
      </c>
      <c r="E6" s="102">
        <v>177</v>
      </c>
      <c r="F6" s="60">
        <v>388</v>
      </c>
      <c r="G6" s="99">
        <v>360</v>
      </c>
      <c r="H6" s="102">
        <v>183</v>
      </c>
      <c r="I6" s="60">
        <v>148</v>
      </c>
    </row>
    <row r="7" spans="1:9" x14ac:dyDescent="0.3">
      <c r="A7" s="99">
        <v>1001</v>
      </c>
      <c r="B7" s="102">
        <v>1038</v>
      </c>
      <c r="C7" s="60">
        <v>1075</v>
      </c>
      <c r="D7" s="99">
        <v>402</v>
      </c>
      <c r="E7" s="102">
        <v>80</v>
      </c>
      <c r="F7" s="60">
        <v>190</v>
      </c>
      <c r="G7" s="99">
        <v>378</v>
      </c>
      <c r="H7" s="102">
        <v>343</v>
      </c>
      <c r="I7" s="60">
        <v>172</v>
      </c>
    </row>
    <row r="8" spans="1:9" ht="15" thickBot="1" x14ac:dyDescent="0.35">
      <c r="A8" s="100">
        <v>1085</v>
      </c>
      <c r="B8" s="61">
        <v>1014</v>
      </c>
      <c r="C8" s="62">
        <v>1033</v>
      </c>
      <c r="D8" s="101">
        <v>384</v>
      </c>
      <c r="E8" s="61">
        <v>128</v>
      </c>
      <c r="F8" s="62">
        <v>166</v>
      </c>
      <c r="G8" s="101">
        <v>342</v>
      </c>
      <c r="H8" s="61">
        <v>379</v>
      </c>
      <c r="I8" s="62">
        <v>398</v>
      </c>
    </row>
    <row r="10" spans="1:9" ht="15" thickBot="1" x14ac:dyDescent="0.35"/>
    <row r="11" spans="1:9" ht="15" thickBot="1" x14ac:dyDescent="0.35">
      <c r="A11" s="116" t="s">
        <v>984</v>
      </c>
      <c r="B11" s="117"/>
      <c r="C11" s="117"/>
      <c r="D11" s="117"/>
      <c r="E11" s="117"/>
      <c r="F11" s="117"/>
      <c r="G11" s="117"/>
      <c r="H11" s="117"/>
      <c r="I11" s="118"/>
    </row>
    <row r="12" spans="1:9" x14ac:dyDescent="0.3">
      <c r="A12" s="113">
        <v>1</v>
      </c>
      <c r="B12" s="114"/>
      <c r="C12" s="115"/>
      <c r="D12" s="113">
        <v>10</v>
      </c>
      <c r="E12" s="114"/>
      <c r="F12" s="115"/>
      <c r="G12" s="113">
        <v>25</v>
      </c>
      <c r="H12" s="114"/>
      <c r="I12" s="115"/>
    </row>
    <row r="13" spans="1:9" x14ac:dyDescent="0.3">
      <c r="A13" s="99">
        <v>1</v>
      </c>
      <c r="B13" s="59">
        <v>2</v>
      </c>
      <c r="C13" s="60">
        <v>4</v>
      </c>
      <c r="D13" s="99">
        <v>1</v>
      </c>
      <c r="E13" s="59">
        <v>2</v>
      </c>
      <c r="F13" s="60">
        <v>4</v>
      </c>
      <c r="G13" s="99">
        <v>1</v>
      </c>
      <c r="H13" s="59">
        <v>2</v>
      </c>
      <c r="I13" s="60">
        <v>4</v>
      </c>
    </row>
    <row r="14" spans="1:9" x14ac:dyDescent="0.3">
      <c r="A14" s="99">
        <v>1052</v>
      </c>
      <c r="B14" s="59">
        <v>1083</v>
      </c>
      <c r="C14" s="60">
        <v>1006</v>
      </c>
      <c r="D14" s="99">
        <v>354</v>
      </c>
      <c r="E14" s="59">
        <v>192</v>
      </c>
      <c r="F14" s="60">
        <v>169</v>
      </c>
      <c r="G14" s="99">
        <v>381</v>
      </c>
      <c r="H14" s="102">
        <v>400</v>
      </c>
      <c r="I14" s="60">
        <v>114</v>
      </c>
    </row>
    <row r="15" spans="1:9" x14ac:dyDescent="0.3">
      <c r="A15" s="99">
        <v>1088</v>
      </c>
      <c r="B15" s="59">
        <v>1071</v>
      </c>
      <c r="C15" s="60">
        <v>1036</v>
      </c>
      <c r="D15" s="99">
        <v>143</v>
      </c>
      <c r="E15" s="59">
        <v>411</v>
      </c>
      <c r="F15" s="60">
        <v>132</v>
      </c>
      <c r="G15" s="99">
        <v>345</v>
      </c>
      <c r="H15" s="102">
        <v>328</v>
      </c>
      <c r="I15" s="60">
        <v>6</v>
      </c>
    </row>
    <row r="16" spans="1:9" x14ac:dyDescent="0.3">
      <c r="A16" s="99">
        <v>1046</v>
      </c>
      <c r="B16" s="102">
        <v>1005</v>
      </c>
      <c r="C16" s="60">
        <v>1084</v>
      </c>
      <c r="D16" s="99">
        <v>390</v>
      </c>
      <c r="E16" s="102">
        <v>392</v>
      </c>
      <c r="F16" s="60">
        <v>412</v>
      </c>
      <c r="G16" s="99">
        <v>161</v>
      </c>
      <c r="H16" s="102">
        <v>41</v>
      </c>
      <c r="I16" s="60">
        <v>175</v>
      </c>
    </row>
    <row r="17" spans="1:18" x14ac:dyDescent="0.3">
      <c r="A17" s="99">
        <v>1004</v>
      </c>
      <c r="B17" s="102">
        <v>1077</v>
      </c>
      <c r="C17" s="60">
        <v>1078</v>
      </c>
      <c r="D17" s="99">
        <v>372</v>
      </c>
      <c r="E17" s="102">
        <v>338</v>
      </c>
      <c r="F17" s="60">
        <v>395</v>
      </c>
      <c r="G17" s="99">
        <v>4</v>
      </c>
      <c r="H17" s="102">
        <v>138</v>
      </c>
      <c r="I17" s="60">
        <v>139</v>
      </c>
    </row>
    <row r="18" spans="1:18" ht="15" thickBot="1" x14ac:dyDescent="0.35">
      <c r="A18" s="100">
        <v>1010</v>
      </c>
      <c r="B18" s="61">
        <v>1011</v>
      </c>
      <c r="C18" s="62">
        <v>1030</v>
      </c>
      <c r="D18" s="101">
        <v>391</v>
      </c>
      <c r="E18" s="61">
        <v>375</v>
      </c>
      <c r="F18" s="62">
        <v>193</v>
      </c>
      <c r="G18" s="101">
        <v>381</v>
      </c>
      <c r="H18" s="61">
        <v>77</v>
      </c>
      <c r="I18" s="62">
        <v>78</v>
      </c>
    </row>
    <row r="20" spans="1:18" x14ac:dyDescent="0.3">
      <c r="A20" s="4" t="s">
        <v>985</v>
      </c>
      <c r="B20" s="4" t="s">
        <v>986</v>
      </c>
      <c r="C20" s="4" t="s">
        <v>48</v>
      </c>
      <c r="D20" s="4" t="s">
        <v>919</v>
      </c>
      <c r="E20" s="4" t="s">
        <v>923</v>
      </c>
      <c r="F20" s="4" t="s">
        <v>921</v>
      </c>
      <c r="G20" s="4" t="s">
        <v>988</v>
      </c>
      <c r="L20" t="s">
        <v>985</v>
      </c>
      <c r="M20" t="s">
        <v>986</v>
      </c>
      <c r="N20" t="s">
        <v>48</v>
      </c>
      <c r="O20" t="s">
        <v>919</v>
      </c>
      <c r="P20" t="s">
        <v>923</v>
      </c>
      <c r="Q20" t="s">
        <v>921</v>
      </c>
      <c r="R20" t="s">
        <v>988</v>
      </c>
    </row>
    <row r="21" spans="1:18" x14ac:dyDescent="0.3">
      <c r="A21">
        <v>1</v>
      </c>
      <c r="B21" t="s">
        <v>987</v>
      </c>
      <c r="D21" t="s">
        <v>989</v>
      </c>
      <c r="G21">
        <v>4.95</v>
      </c>
      <c r="L21">
        <v>65</v>
      </c>
      <c r="M21">
        <v>1043</v>
      </c>
      <c r="N21" t="s">
        <v>871</v>
      </c>
      <c r="O21" t="s">
        <v>963</v>
      </c>
      <c r="P21">
        <v>1</v>
      </c>
      <c r="Q21" t="s">
        <v>965</v>
      </c>
    </row>
    <row r="22" spans="1:18" x14ac:dyDescent="0.3">
      <c r="A22">
        <v>2</v>
      </c>
      <c r="B22">
        <v>1073</v>
      </c>
      <c r="C22" t="str">
        <f>VLOOKUP(B22,Hoja2!A$2:B$872,2,FALSE)</f>
        <v>61AA1</v>
      </c>
      <c r="D22" t="str">
        <f>IF(LEN('pH measurement'!C22)&gt;6,RIGHT(LEFT('pH measurement'!C22,11),2),RIGHT((LEFT(C22,4)),2))</f>
        <v>AA</v>
      </c>
      <c r="E22">
        <f>IF(LEN('pH measurement'!$C22)&gt;6,LEFT(C22,2),1)</f>
        <v>1</v>
      </c>
      <c r="F22" t="str">
        <f>IF(LEN('pH measurement'!$C22)&gt;6,RIGHT(LEFT('pH measurement'!$C22,9),1),RIGHT(C22,1))</f>
        <v>1</v>
      </c>
      <c r="G22">
        <v>4.5599999999999996</v>
      </c>
      <c r="L22">
        <v>67</v>
      </c>
      <c r="M22">
        <v>1031</v>
      </c>
      <c r="N22" t="s">
        <v>859</v>
      </c>
      <c r="O22" t="s">
        <v>963</v>
      </c>
      <c r="P22">
        <v>1</v>
      </c>
      <c r="Q22" t="s">
        <v>965</v>
      </c>
    </row>
    <row r="23" spans="1:18" x14ac:dyDescent="0.3">
      <c r="A23">
        <v>3</v>
      </c>
      <c r="B23">
        <v>172</v>
      </c>
      <c r="C23" t="str">
        <f>VLOOKUP(B23,Hoja2!A$2:B$872,2,FALSE)</f>
        <v>25-P3S4C4AA</v>
      </c>
      <c r="D23" t="str">
        <f>IF(LEN('pH measurement'!C23)&gt;6,RIGHT(LEFT('pH measurement'!C23,11),2),RIGHT((LEFT(C23,4)),2))</f>
        <v>AA</v>
      </c>
      <c r="E23" t="str">
        <f>IF(LEN('pH measurement'!$C23)&gt;6,LEFT(C23,2),1)</f>
        <v>25</v>
      </c>
      <c r="F23" t="str">
        <f>IF(LEN('pH measurement'!$C23)&gt;6,RIGHT(LEFT('pH measurement'!$C23,9),1),RIGHT(C23,1))</f>
        <v>4</v>
      </c>
      <c r="G23">
        <v>3.8</v>
      </c>
      <c r="L23">
        <v>66</v>
      </c>
      <c r="M23">
        <v>188</v>
      </c>
      <c r="N23" t="s">
        <v>193</v>
      </c>
      <c r="O23" t="s">
        <v>963</v>
      </c>
      <c r="P23" t="s">
        <v>991</v>
      </c>
      <c r="Q23" t="s">
        <v>965</v>
      </c>
    </row>
    <row r="24" spans="1:18" x14ac:dyDescent="0.3">
      <c r="A24">
        <v>4</v>
      </c>
      <c r="B24">
        <v>343</v>
      </c>
      <c r="C24" t="str">
        <f>VLOOKUP(B24,Hoja2!A$2:B$872,2,FALSE)</f>
        <v>25-P6S2C2AA</v>
      </c>
      <c r="D24" t="str">
        <f>IF(LEN('pH measurement'!C24)&gt;6,RIGHT(LEFT('pH measurement'!C24,11),2),RIGHT((LEFT(C24,4)),2))</f>
        <v>AA</v>
      </c>
      <c r="E24" t="str">
        <f>IF(LEN('pH measurement'!$C24)&gt;6,LEFT(C24,2),1)</f>
        <v>25</v>
      </c>
      <c r="F24" t="str">
        <f>IF(LEN('pH measurement'!$C24)&gt;6,RIGHT(LEFT('pH measurement'!$C24,9),1),RIGHT(C24,1))</f>
        <v>2</v>
      </c>
      <c r="G24">
        <v>4.88</v>
      </c>
      <c r="L24">
        <v>75</v>
      </c>
      <c r="M24">
        <v>43</v>
      </c>
      <c r="N24" t="s">
        <v>145</v>
      </c>
      <c r="O24" t="s">
        <v>963</v>
      </c>
      <c r="P24" t="s">
        <v>991</v>
      </c>
      <c r="Q24" t="s">
        <v>965</v>
      </c>
    </row>
    <row r="25" spans="1:18" x14ac:dyDescent="0.3">
      <c r="A25">
        <v>5</v>
      </c>
      <c r="B25">
        <v>77</v>
      </c>
      <c r="C25" t="str">
        <f>VLOOKUP(B25,Hoja2!A$2:B$872,2,FALSE)</f>
        <v>25-P1S3C2FS</v>
      </c>
      <c r="D25" t="str">
        <f>IF(LEN('pH measurement'!C25)&gt;6,RIGHT(LEFT('pH measurement'!C25,11),2),RIGHT((LEFT(C25,4)),2))</f>
        <v>FS</v>
      </c>
      <c r="E25" t="str">
        <f>IF(LEN('pH measurement'!$C25)&gt;6,LEFT(C25,2),1)</f>
        <v>25</v>
      </c>
      <c r="F25" t="str">
        <f>IF(LEN('pH measurement'!$C25)&gt;6,RIGHT(LEFT('pH measurement'!$C25,9),1),RIGHT(C25,1))</f>
        <v>2</v>
      </c>
      <c r="G25">
        <v>5.63</v>
      </c>
      <c r="L25">
        <v>81</v>
      </c>
      <c r="M25">
        <v>367</v>
      </c>
      <c r="N25" t="s">
        <v>241</v>
      </c>
      <c r="O25" t="s">
        <v>963</v>
      </c>
      <c r="P25" t="s">
        <v>991</v>
      </c>
      <c r="Q25" t="s">
        <v>965</v>
      </c>
    </row>
    <row r="26" spans="1:18" x14ac:dyDescent="0.3">
      <c r="A26">
        <v>6</v>
      </c>
      <c r="B26">
        <v>398</v>
      </c>
      <c r="C26" t="str">
        <f>VLOOKUP(B26,Hoja2!A$2:B$872,2,FALSE)</f>
        <v>25-P6S5C4AA</v>
      </c>
      <c r="D26" t="str">
        <f>IF(LEN('pH measurement'!C26)&gt;6,RIGHT(LEFT('pH measurement'!C26,11),2),RIGHT((LEFT(C26,4)),2))</f>
        <v>AA</v>
      </c>
      <c r="E26" t="str">
        <f>IF(LEN('pH measurement'!$C26)&gt;6,LEFT(C26,2),1)</f>
        <v>25</v>
      </c>
      <c r="F26" t="str">
        <f>IF(LEN('pH measurement'!$C26)&gt;6,RIGHT(LEFT('pH measurement'!$C26,9),1),RIGHT(C26,1))</f>
        <v>4</v>
      </c>
      <c r="G26">
        <v>3.7</v>
      </c>
      <c r="L26">
        <v>63</v>
      </c>
      <c r="M26">
        <v>390</v>
      </c>
      <c r="N26" t="s">
        <v>220</v>
      </c>
      <c r="O26" t="s">
        <v>964</v>
      </c>
      <c r="P26" t="s">
        <v>991</v>
      </c>
      <c r="Q26" t="s">
        <v>965</v>
      </c>
    </row>
    <row r="27" spans="1:18" x14ac:dyDescent="0.3">
      <c r="A27">
        <v>7</v>
      </c>
      <c r="B27">
        <v>1014</v>
      </c>
      <c r="C27" t="str">
        <f>VLOOKUP(B27,Hoja2!A$2:B$872,2,FALSE)</f>
        <v>15AA2</v>
      </c>
      <c r="D27" t="str">
        <f>IF(LEN('pH measurement'!C27)&gt;6,RIGHT(LEFT('pH measurement'!C27,11),2),RIGHT((LEFT(C27,4)),2))</f>
        <v>AA</v>
      </c>
      <c r="E27">
        <f>IF(LEN('pH measurement'!$C27)&gt;6,LEFT(C27,2),1)</f>
        <v>1</v>
      </c>
      <c r="F27" t="str">
        <f>IF(LEN('pH measurement'!$C27)&gt;6,RIGHT(LEFT('pH measurement'!$C27,9),1),RIGHT(C27,1))</f>
        <v>2</v>
      </c>
      <c r="G27">
        <v>5.39</v>
      </c>
      <c r="L27">
        <v>70</v>
      </c>
      <c r="M27">
        <v>372</v>
      </c>
      <c r="N27" t="s">
        <v>214</v>
      </c>
      <c r="O27" t="s">
        <v>964</v>
      </c>
      <c r="P27" t="s">
        <v>991</v>
      </c>
      <c r="Q27" t="s">
        <v>965</v>
      </c>
    </row>
    <row r="28" spans="1:18" x14ac:dyDescent="0.3">
      <c r="A28">
        <v>8</v>
      </c>
      <c r="B28">
        <v>379</v>
      </c>
      <c r="C28" t="str">
        <f>VLOOKUP(B28,Hoja2!A$2:B$872,2,FALSE)</f>
        <v>25-P6S4C2AA</v>
      </c>
      <c r="D28" t="str">
        <f>IF(LEN('pH measurement'!C28)&gt;6,RIGHT(LEFT('pH measurement'!C28,11),2),RIGHT((LEFT(C28,4)),2))</f>
        <v>AA</v>
      </c>
      <c r="E28" t="str">
        <f>IF(LEN('pH measurement'!$C28)&gt;6,LEFT(C28,2),1)</f>
        <v>25</v>
      </c>
      <c r="F28" t="str">
        <f>IF(LEN('pH measurement'!$C28)&gt;6,RIGHT(LEFT('pH measurement'!$C28,9),1),RIGHT(C28,1))</f>
        <v>2</v>
      </c>
      <c r="G28">
        <v>5.62</v>
      </c>
      <c r="L28">
        <v>83</v>
      </c>
      <c r="M28">
        <v>354</v>
      </c>
      <c r="N28" t="s">
        <v>208</v>
      </c>
      <c r="O28" t="s">
        <v>964</v>
      </c>
      <c r="P28" t="s">
        <v>991</v>
      </c>
      <c r="Q28" t="s">
        <v>965</v>
      </c>
    </row>
    <row r="29" spans="1:18" x14ac:dyDescent="0.3">
      <c r="A29">
        <v>9</v>
      </c>
      <c r="B29">
        <v>381</v>
      </c>
      <c r="C29" t="str">
        <f>VLOOKUP(B29,Hoja2!A$2:B$872,2,FALSE)</f>
        <v>25-P6S4C1FS</v>
      </c>
      <c r="D29" t="str">
        <f>IF(LEN('pH measurement'!C29)&gt;6,RIGHT(LEFT('pH measurement'!C29,11),2),RIGHT((LEFT(C29,4)),2))</f>
        <v>FS</v>
      </c>
      <c r="E29" t="str">
        <f>IF(LEN('pH measurement'!$C29)&gt;6,LEFT(C29,2),1)</f>
        <v>25</v>
      </c>
      <c r="F29" t="str">
        <f>IF(LEN('pH measurement'!$C29)&gt;6,RIGHT(LEFT('pH measurement'!$C29,9),1),RIGHT(C29,1))</f>
        <v>1</v>
      </c>
      <c r="G29">
        <v>5.55</v>
      </c>
      <c r="L29">
        <v>88</v>
      </c>
      <c r="M29">
        <v>143</v>
      </c>
      <c r="N29" t="s">
        <v>172</v>
      </c>
      <c r="O29" t="s">
        <v>964</v>
      </c>
      <c r="P29" t="s">
        <v>991</v>
      </c>
      <c r="Q29" t="s">
        <v>965</v>
      </c>
    </row>
    <row r="30" spans="1:18" x14ac:dyDescent="0.3">
      <c r="A30">
        <v>10</v>
      </c>
      <c r="B30">
        <v>1071</v>
      </c>
      <c r="C30" t="str">
        <f>VLOOKUP(B30,Hoja2!A$2:B$872,2,FALSE)</f>
        <v>33FS2</v>
      </c>
      <c r="D30" t="str">
        <f>IF(LEN('pH measurement'!C30)&gt;6,RIGHT(LEFT('pH measurement'!C30,11),2),RIGHT((LEFT(C30,4)),2))</f>
        <v>FS</v>
      </c>
      <c r="E30">
        <f>IF(LEN('pH measurement'!$C30)&gt;6,LEFT(C30,2),1)</f>
        <v>1</v>
      </c>
      <c r="F30" t="str">
        <f>IF(LEN('pH measurement'!$C30)&gt;6,RIGHT(LEFT('pH measurement'!$C30,9),1),RIGHT(C30,1))</f>
        <v>2</v>
      </c>
      <c r="G30">
        <v>5.86</v>
      </c>
      <c r="L30">
        <v>74</v>
      </c>
      <c r="M30">
        <v>121</v>
      </c>
      <c r="N30" t="s">
        <v>73</v>
      </c>
      <c r="O30" t="s">
        <v>963</v>
      </c>
      <c r="P30" t="s">
        <v>990</v>
      </c>
      <c r="Q30" t="s">
        <v>965</v>
      </c>
    </row>
    <row r="31" spans="1:18" x14ac:dyDescent="0.3">
      <c r="A31">
        <v>11</v>
      </c>
      <c r="B31">
        <v>1033</v>
      </c>
      <c r="C31" t="str">
        <f>VLOOKUP(B31,Hoja2!A$2:B$872,2,FALSE)</f>
        <v>35AA4</v>
      </c>
      <c r="D31" t="str">
        <f>IF(LEN('pH measurement'!C31)&gt;6,RIGHT(LEFT('pH measurement'!C31,11),2),RIGHT((LEFT(C31,4)),2))</f>
        <v>AA</v>
      </c>
      <c r="E31">
        <f>IF(LEN('pH measurement'!$C31)&gt;6,LEFT(C31,2),1)</f>
        <v>1</v>
      </c>
      <c r="F31" t="str">
        <f>IF(LEN('pH measurement'!$C31)&gt;6,RIGHT(LEFT('pH measurement'!$C31,9),1),RIGHT(C31,1))</f>
        <v>4</v>
      </c>
      <c r="G31">
        <v>4.9000000000000004</v>
      </c>
      <c r="L31">
        <v>53</v>
      </c>
      <c r="M31">
        <v>345</v>
      </c>
      <c r="N31" t="s">
        <v>118</v>
      </c>
      <c r="O31" t="s">
        <v>964</v>
      </c>
      <c r="P31" t="s">
        <v>990</v>
      </c>
      <c r="Q31" t="s">
        <v>965</v>
      </c>
    </row>
    <row r="32" spans="1:18" x14ac:dyDescent="0.3">
      <c r="A32">
        <v>12</v>
      </c>
      <c r="B32">
        <v>342</v>
      </c>
      <c r="C32" t="str">
        <f>VLOOKUP(B32,Hoja2!A$2:B$872,2,FALSE)</f>
        <v>25-P6S2C1AA</v>
      </c>
      <c r="D32" t="str">
        <f>IF(LEN('pH measurement'!C32)&gt;6,RIGHT(LEFT('pH measurement'!C32,11),2),RIGHT((LEFT(C32,4)),2))</f>
        <v>AA</v>
      </c>
      <c r="E32" t="str">
        <f>IF(LEN('pH measurement'!$C32)&gt;6,LEFT(C32,2),1)</f>
        <v>25</v>
      </c>
      <c r="F32" t="str">
        <f>IF(LEN('pH measurement'!$C32)&gt;6,RIGHT(LEFT('pH measurement'!$C32,9),1),RIGHT(C32,1))</f>
        <v>1</v>
      </c>
      <c r="G32">
        <v>5.85</v>
      </c>
      <c r="L32">
        <v>54</v>
      </c>
      <c r="M32">
        <v>161</v>
      </c>
      <c r="N32" t="s">
        <v>94</v>
      </c>
      <c r="O32" t="s">
        <v>964</v>
      </c>
      <c r="P32" t="s">
        <v>990</v>
      </c>
      <c r="Q32" t="s">
        <v>965</v>
      </c>
    </row>
    <row r="33" spans="1:17" x14ac:dyDescent="0.3">
      <c r="A33">
        <v>13</v>
      </c>
      <c r="B33">
        <v>1004</v>
      </c>
      <c r="C33" t="str">
        <f>VLOOKUP(B33,Hoja2!A$2:B$872,2,FALSE)</f>
        <v>11FS1</v>
      </c>
      <c r="D33" t="str">
        <f>IF(LEN('pH measurement'!C33)&gt;6,RIGHT(LEFT('pH measurement'!C33,11),2),RIGHT((LEFT(C33,4)),2))</f>
        <v>FS</v>
      </c>
      <c r="E33">
        <f>IF(LEN('pH measurement'!$C33)&gt;6,LEFT(C33,2),1)</f>
        <v>1</v>
      </c>
      <c r="F33" t="str">
        <f>IF(LEN('pH measurement'!$C33)&gt;6,RIGHT(LEFT('pH measurement'!$C33,9),1),RIGHT(C33,1))</f>
        <v>1</v>
      </c>
      <c r="G33">
        <v>5.15</v>
      </c>
      <c r="L33">
        <v>78</v>
      </c>
      <c r="M33">
        <v>381</v>
      </c>
      <c r="N33" t="s">
        <v>130</v>
      </c>
      <c r="O33" t="s">
        <v>964</v>
      </c>
      <c r="P33" t="s">
        <v>990</v>
      </c>
      <c r="Q33" t="s">
        <v>965</v>
      </c>
    </row>
    <row r="34" spans="1:17" x14ac:dyDescent="0.3">
      <c r="A34">
        <v>14</v>
      </c>
      <c r="B34">
        <v>1052</v>
      </c>
      <c r="C34" t="str">
        <f>VLOOKUP(B34,Hoja2!A$2:B$872,2,FALSE)</f>
        <v>13FS1</v>
      </c>
      <c r="D34" t="str">
        <f>IF(LEN('pH measurement'!C34)&gt;6,RIGHT(LEFT('pH measurement'!C34,11),2),RIGHT((LEFT(C34,4)),2))</f>
        <v>FS</v>
      </c>
      <c r="E34">
        <f>IF(LEN('pH measurement'!$C34)&gt;6,LEFT(C34,2),1)</f>
        <v>1</v>
      </c>
      <c r="F34" t="str">
        <f>IF(LEN('pH measurement'!$C34)&gt;6,RIGHT(LEFT('pH measurement'!$C34,9),1),RIGHT(C34,1))</f>
        <v>1</v>
      </c>
      <c r="G34">
        <v>5.36</v>
      </c>
      <c r="L34">
        <v>51</v>
      </c>
      <c r="M34">
        <v>1002</v>
      </c>
      <c r="N34" t="s">
        <v>830</v>
      </c>
      <c r="O34" t="s">
        <v>963</v>
      </c>
      <c r="P34">
        <v>1</v>
      </c>
      <c r="Q34" t="s">
        <v>966</v>
      </c>
    </row>
    <row r="35" spans="1:17" x14ac:dyDescent="0.3">
      <c r="A35">
        <v>15</v>
      </c>
      <c r="B35">
        <v>139</v>
      </c>
      <c r="C35" t="str">
        <f>VLOOKUP(B35,Hoja2!A$2:B$872,2,FALSE)</f>
        <v>25-P3S1C4FS</v>
      </c>
      <c r="D35" t="str">
        <f>IF(LEN('pH measurement'!C35)&gt;6,RIGHT(LEFT('pH measurement'!C35,11),2),RIGHT((LEFT(C35,4)),2))</f>
        <v>FS</v>
      </c>
      <c r="E35" t="str">
        <f>IF(LEN('pH measurement'!$C35)&gt;6,LEFT(C35,2),1)</f>
        <v>25</v>
      </c>
      <c r="F35" t="str">
        <f>IF(LEN('pH measurement'!$C35)&gt;6,RIGHT(LEFT('pH measurement'!$C35,9),1),RIGHT(C35,1))</f>
        <v>4</v>
      </c>
      <c r="G35">
        <v>5.0599999999999996</v>
      </c>
      <c r="L35">
        <v>86</v>
      </c>
      <c r="M35">
        <v>1044</v>
      </c>
      <c r="N35" t="s">
        <v>872</v>
      </c>
      <c r="O35" t="s">
        <v>963</v>
      </c>
      <c r="P35">
        <v>1</v>
      </c>
      <c r="Q35" t="s">
        <v>966</v>
      </c>
    </row>
    <row r="36" spans="1:17" x14ac:dyDescent="0.3">
      <c r="A36">
        <v>16</v>
      </c>
      <c r="B36">
        <v>148</v>
      </c>
      <c r="C36" t="str">
        <f>VLOOKUP(B36,Hoja2!A$2:B$872,2,FALSE)</f>
        <v>25-P3S2C4AA</v>
      </c>
      <c r="D36" t="str">
        <f>IF(LEN('pH measurement'!C36)&gt;6,RIGHT(LEFT('pH measurement'!C36,11),2),RIGHT((LEFT(C36,4)),2))</f>
        <v>AA</v>
      </c>
      <c r="E36" t="str">
        <f>IF(LEN('pH measurement'!$C36)&gt;6,LEFT(C36,2),1)</f>
        <v>25</v>
      </c>
      <c r="F36" t="str">
        <f>IF(LEN('pH measurement'!$C36)&gt;6,RIGHT(LEFT('pH measurement'!$C36,9),1),RIGHT(C36,1))</f>
        <v>4</v>
      </c>
      <c r="G36">
        <v>3.56</v>
      </c>
      <c r="L36">
        <v>61</v>
      </c>
      <c r="M36">
        <v>1083</v>
      </c>
      <c r="N36" t="s">
        <v>911</v>
      </c>
      <c r="O36" t="s">
        <v>964</v>
      </c>
      <c r="P36">
        <v>1</v>
      </c>
      <c r="Q36" t="s">
        <v>966</v>
      </c>
    </row>
    <row r="37" spans="1:17" x14ac:dyDescent="0.3">
      <c r="A37">
        <v>17</v>
      </c>
      <c r="B37">
        <v>1085</v>
      </c>
      <c r="C37" t="str">
        <f>VLOOKUP(B37,Hoja2!A$2:B$872,2,FALSE)</f>
        <v>65AA1</v>
      </c>
      <c r="D37" t="str">
        <f>IF(LEN('pH measurement'!C37)&gt;6,RIGHT(LEFT('pH measurement'!C37,11),2),RIGHT((LEFT(C37,4)),2))</f>
        <v>AA</v>
      </c>
      <c r="E37">
        <f>IF(LEN('pH measurement'!$C37)&gt;6,LEFT(C37,2),1)</f>
        <v>1</v>
      </c>
      <c r="F37" t="str">
        <f>IF(LEN('pH measurement'!$C37)&gt;6,RIGHT(LEFT('pH measurement'!$C37,9),1),RIGHT(C37,1))</f>
        <v>1</v>
      </c>
      <c r="G37">
        <v>5.35</v>
      </c>
      <c r="L37">
        <v>58</v>
      </c>
      <c r="M37">
        <v>128</v>
      </c>
      <c r="N37" t="s">
        <v>164</v>
      </c>
      <c r="O37" t="s">
        <v>963</v>
      </c>
      <c r="P37" t="s">
        <v>991</v>
      </c>
      <c r="Q37" t="s">
        <v>966</v>
      </c>
    </row>
    <row r="38" spans="1:17" x14ac:dyDescent="0.3">
      <c r="A38">
        <v>18</v>
      </c>
      <c r="B38">
        <v>1038</v>
      </c>
      <c r="C38" t="str">
        <f>VLOOKUP(B38,Hoja2!A$2:B$872,2,FALSE)</f>
        <v>63AA2</v>
      </c>
      <c r="D38" t="str">
        <f>IF(LEN('pH measurement'!C38)&gt;6,RIGHT(LEFT('pH measurement'!C38,11),2),RIGHT((LEFT(C38,4)),2))</f>
        <v>AA</v>
      </c>
      <c r="E38">
        <f>IF(LEN('pH measurement'!$C38)&gt;6,LEFT(C38,2),1)</f>
        <v>1</v>
      </c>
      <c r="F38" t="str">
        <f>IF(LEN('pH measurement'!$C38)&gt;6,RIGHT(LEFT('pH measurement'!$C38,9),1),RIGHT(C38,1))</f>
        <v>2</v>
      </c>
      <c r="G38">
        <v>5.22</v>
      </c>
      <c r="L38">
        <v>62</v>
      </c>
      <c r="M38">
        <v>80</v>
      </c>
      <c r="N38" t="s">
        <v>152</v>
      </c>
      <c r="O38" t="s">
        <v>963</v>
      </c>
      <c r="P38" t="s">
        <v>991</v>
      </c>
      <c r="Q38" t="s">
        <v>966</v>
      </c>
    </row>
    <row r="39" spans="1:17" x14ac:dyDescent="0.3">
      <c r="A39">
        <v>19</v>
      </c>
      <c r="B39">
        <v>138</v>
      </c>
      <c r="C39" t="str">
        <f>VLOOKUP(B39,Hoja2!A$2:B$872,2,FALSE)</f>
        <v>25-P3S1C2FS</v>
      </c>
      <c r="D39" t="str">
        <f>IF(LEN('pH measurement'!C39)&gt;6,RIGHT(LEFT('pH measurement'!C39,11),2),RIGHT((LEFT(C39,4)),2))</f>
        <v>FS</v>
      </c>
      <c r="E39" t="str">
        <f>IF(LEN('pH measurement'!$C39)&gt;6,LEFT(C39,2),1)</f>
        <v>25</v>
      </c>
      <c r="F39" t="str">
        <f>IF(LEN('pH measurement'!$C39)&gt;6,RIGHT(LEFT('pH measurement'!$C39,9),1),RIGHT(C39,1))</f>
        <v>2</v>
      </c>
      <c r="G39">
        <v>6.55</v>
      </c>
      <c r="L39">
        <v>73</v>
      </c>
      <c r="M39">
        <v>177</v>
      </c>
      <c r="N39" t="s">
        <v>188</v>
      </c>
      <c r="O39" t="s">
        <v>963</v>
      </c>
      <c r="P39" t="s">
        <v>991</v>
      </c>
      <c r="Q39" t="s">
        <v>966</v>
      </c>
    </row>
    <row r="40" spans="1:17" x14ac:dyDescent="0.3">
      <c r="A40">
        <v>20</v>
      </c>
      <c r="B40">
        <v>1010</v>
      </c>
      <c r="C40" t="str">
        <f>VLOOKUP(B40,Hoja2!A$2:B$872,2,FALSE)</f>
        <v>12FS1</v>
      </c>
      <c r="D40" t="str">
        <f>IF(LEN('pH measurement'!C40)&gt;6,RIGHT(LEFT('pH measurement'!C40,11),2),RIGHT((LEFT(C40,4)),2))</f>
        <v>FS</v>
      </c>
      <c r="E40">
        <f>IF(LEN('pH measurement'!$C40)&gt;6,LEFT(C40,2),1)</f>
        <v>1</v>
      </c>
      <c r="F40" t="str">
        <f>IF(LEN('pH measurement'!$C40)&gt;6,RIGHT(LEFT('pH measurement'!$C40,9),1),RIGHT(C40,1))</f>
        <v>1</v>
      </c>
      <c r="G40">
        <v>5.2</v>
      </c>
      <c r="L40">
        <v>90</v>
      </c>
      <c r="M40">
        <v>387</v>
      </c>
      <c r="N40" t="s">
        <v>248</v>
      </c>
      <c r="O40" t="s">
        <v>963</v>
      </c>
      <c r="P40" t="s">
        <v>991</v>
      </c>
      <c r="Q40" t="s">
        <v>966</v>
      </c>
    </row>
    <row r="41" spans="1:17" x14ac:dyDescent="0.3">
      <c r="A41">
        <v>21</v>
      </c>
      <c r="B41">
        <v>78</v>
      </c>
      <c r="C41" t="str">
        <f>VLOOKUP(B41,Hoja2!A$2:B$872,2,FALSE)</f>
        <v>25-P1S3C4FS</v>
      </c>
      <c r="D41" t="str">
        <f>IF(LEN('pH measurement'!C41)&gt;6,RIGHT(LEFT('pH measurement'!C41,11),2),RIGHT((LEFT(C41,4)),2))</f>
        <v>FS</v>
      </c>
      <c r="E41" t="str">
        <f>IF(LEN('pH measurement'!$C41)&gt;6,LEFT(C41,2),1)</f>
        <v>25</v>
      </c>
      <c r="F41" t="str">
        <f>IF(LEN('pH measurement'!$C41)&gt;6,RIGHT(LEFT('pH measurement'!$C41,9),1),RIGHT(C41,1))</f>
        <v>4</v>
      </c>
      <c r="G41">
        <v>4.51</v>
      </c>
      <c r="L41">
        <v>91</v>
      </c>
      <c r="M41">
        <v>165</v>
      </c>
      <c r="N41" t="s">
        <v>182</v>
      </c>
      <c r="O41" t="s">
        <v>963</v>
      </c>
      <c r="P41" t="s">
        <v>991</v>
      </c>
      <c r="Q41" t="s">
        <v>966</v>
      </c>
    </row>
    <row r="42" spans="1:17" x14ac:dyDescent="0.3">
      <c r="A42">
        <v>22</v>
      </c>
      <c r="B42">
        <v>6</v>
      </c>
      <c r="C42" t="str">
        <f>VLOOKUP(B42,Hoja2!A$2:B$872,2,FALSE)</f>
        <v>25-P1S1C4FS</v>
      </c>
      <c r="D42" t="str">
        <f>IF(LEN('pH measurement'!C42)&gt;6,RIGHT(LEFT('pH measurement'!C42,11),2),RIGHT((LEFT(C42,4)),2))</f>
        <v>FS</v>
      </c>
      <c r="E42" t="str">
        <f>IF(LEN('pH measurement'!$C42)&gt;6,LEFT(C42,2),1)</f>
        <v>25</v>
      </c>
      <c r="F42" t="str">
        <f>IF(LEN('pH measurement'!$C42)&gt;6,RIGHT(LEFT('pH measurement'!$C42,9),1),RIGHT(C42,1))</f>
        <v>4</v>
      </c>
      <c r="G42">
        <v>4.34</v>
      </c>
      <c r="L42">
        <v>77</v>
      </c>
      <c r="M42">
        <v>411</v>
      </c>
      <c r="N42" t="s">
        <v>257</v>
      </c>
      <c r="O42" t="s">
        <v>964</v>
      </c>
      <c r="P42" t="s">
        <v>991</v>
      </c>
      <c r="Q42" t="s">
        <v>966</v>
      </c>
    </row>
    <row r="43" spans="1:17" x14ac:dyDescent="0.3">
      <c r="A43">
        <v>23</v>
      </c>
      <c r="B43">
        <v>175</v>
      </c>
      <c r="C43" t="str">
        <f>VLOOKUP(B43,Hoja2!A$2:B$872,2,FALSE)</f>
        <v>25-P3S4C4FS</v>
      </c>
      <c r="D43" t="str">
        <f>IF(LEN('pH measurement'!C43)&gt;6,RIGHT(LEFT('pH measurement'!C43,11),2),RIGHT((LEFT(C43,4)),2))</f>
        <v>FS</v>
      </c>
      <c r="E43" t="str">
        <f>IF(LEN('pH measurement'!$C43)&gt;6,LEFT(C43,2),1)</f>
        <v>25</v>
      </c>
      <c r="F43" t="str">
        <f>IF(LEN('pH measurement'!$C43)&gt;6,RIGHT(LEFT('pH measurement'!$C43,9),1),RIGHT(C43,1))</f>
        <v>4</v>
      </c>
      <c r="G43">
        <v>4.63</v>
      </c>
      <c r="L43">
        <v>79</v>
      </c>
      <c r="M43">
        <v>392</v>
      </c>
      <c r="N43" t="s">
        <v>221</v>
      </c>
      <c r="O43" t="s">
        <v>964</v>
      </c>
      <c r="P43" t="s">
        <v>991</v>
      </c>
      <c r="Q43" t="s">
        <v>966</v>
      </c>
    </row>
    <row r="44" spans="1:17" x14ac:dyDescent="0.3">
      <c r="A44">
        <v>24</v>
      </c>
      <c r="B44">
        <v>193</v>
      </c>
      <c r="C44" t="str">
        <f>VLOOKUP(B44,Hoja2!A$2:B$872,2,FALSE)</f>
        <v>10-P3S5C4FS</v>
      </c>
      <c r="D44" t="str">
        <f>IF(LEN('pH measurement'!C44)&gt;6,RIGHT(LEFT('pH measurement'!C44,11),2),RIGHT((LEFT(C44,4)),2))</f>
        <v>FS</v>
      </c>
      <c r="E44" t="str">
        <f>IF(LEN('pH measurement'!$C44)&gt;6,LEFT(C44,2),1)</f>
        <v>10</v>
      </c>
      <c r="F44" t="str">
        <f>IF(LEN('pH measurement'!$C44)&gt;6,RIGHT(LEFT('pH measurement'!$C44,9),1),RIGHT(C44,1))</f>
        <v>4</v>
      </c>
      <c r="G44">
        <v>4.95</v>
      </c>
      <c r="L44">
        <v>80</v>
      </c>
      <c r="M44">
        <v>338</v>
      </c>
      <c r="N44" t="s">
        <v>203</v>
      </c>
      <c r="O44" t="s">
        <v>964</v>
      </c>
      <c r="P44" t="s">
        <v>991</v>
      </c>
      <c r="Q44" t="s">
        <v>966</v>
      </c>
    </row>
    <row r="45" spans="1:17" x14ac:dyDescent="0.3">
      <c r="A45">
        <v>25</v>
      </c>
      <c r="B45">
        <v>384</v>
      </c>
      <c r="C45" t="str">
        <f>VLOOKUP(B45,Hoja2!A$2:B$872,2,FALSE)</f>
        <v>10-P6S4C1AA</v>
      </c>
      <c r="D45" t="str">
        <f>IF(LEN('pH measurement'!C45)&gt;6,RIGHT(LEFT('pH measurement'!C45,11),2),RIGHT((LEFT(C45,4)),2))</f>
        <v>AA</v>
      </c>
      <c r="E45" t="str">
        <f>IF(LEN('pH measurement'!$C45)&gt;6,LEFT(C45,2),1)</f>
        <v>10</v>
      </c>
      <c r="F45" t="str">
        <f>IF(LEN('pH measurement'!$C45)&gt;6,RIGHT(LEFT('pH measurement'!$C45,9),1),RIGHT(C45,1))</f>
        <v>1</v>
      </c>
      <c r="G45">
        <v>5.96</v>
      </c>
      <c r="L45">
        <v>85</v>
      </c>
      <c r="M45">
        <v>192</v>
      </c>
      <c r="N45" t="s">
        <v>197</v>
      </c>
      <c r="O45" t="s">
        <v>964</v>
      </c>
      <c r="P45" t="s">
        <v>991</v>
      </c>
      <c r="Q45" t="s">
        <v>966</v>
      </c>
    </row>
    <row r="46" spans="1:17" x14ac:dyDescent="0.3">
      <c r="A46">
        <v>26</v>
      </c>
      <c r="B46">
        <v>1077</v>
      </c>
      <c r="C46" t="str">
        <f>VLOOKUP(B46,Hoja2!A$2:B$872,2,FALSE)</f>
        <v>61FS2</v>
      </c>
      <c r="D46" t="str">
        <f>IF(LEN('pH measurement'!C46)&gt;6,RIGHT(LEFT('pH measurement'!C46,11),2),RIGHT((LEFT(C46,4)),2))</f>
        <v>FS</v>
      </c>
      <c r="E46">
        <f>IF(LEN('pH measurement'!$C46)&gt;6,LEFT(C46,2),1)</f>
        <v>1</v>
      </c>
      <c r="F46" t="str">
        <f>IF(LEN('pH measurement'!$C46)&gt;6,RIGHT(LEFT('pH measurement'!$C46,9),1),RIGHT(C46,1))</f>
        <v>2</v>
      </c>
      <c r="G46">
        <v>5.74</v>
      </c>
      <c r="L46">
        <v>69</v>
      </c>
      <c r="M46">
        <v>325</v>
      </c>
      <c r="N46" t="s">
        <v>110</v>
      </c>
      <c r="O46" t="s">
        <v>963</v>
      </c>
      <c r="P46" t="s">
        <v>990</v>
      </c>
      <c r="Q46" t="s">
        <v>966</v>
      </c>
    </row>
    <row r="47" spans="1:17" x14ac:dyDescent="0.3">
      <c r="A47">
        <v>27</v>
      </c>
      <c r="B47">
        <v>1001</v>
      </c>
      <c r="C47" t="str">
        <f>VLOOKUP(B47,Hoja2!A$2:B$872,2,FALSE)</f>
        <v>11AA1</v>
      </c>
      <c r="D47" t="str">
        <f>IF(LEN('pH measurement'!C47)&gt;6,RIGHT(LEFT('pH measurement'!C47,11),2),RIGHT((LEFT(C47,4)),2))</f>
        <v>AA</v>
      </c>
      <c r="E47">
        <f>IF(LEN('pH measurement'!$C47)&gt;6,LEFT(C47,2),1)</f>
        <v>1</v>
      </c>
      <c r="F47" t="str">
        <f>IF(LEN('pH measurement'!$C47)&gt;6,RIGHT(LEFT('pH measurement'!$C47,9),1),RIGHT(C47,1))</f>
        <v>1</v>
      </c>
      <c r="G47">
        <v>5.38</v>
      </c>
      <c r="L47">
        <v>57</v>
      </c>
      <c r="M47">
        <v>400</v>
      </c>
      <c r="N47" t="s">
        <v>137</v>
      </c>
      <c r="O47" t="s">
        <v>964</v>
      </c>
      <c r="P47" t="s">
        <v>990</v>
      </c>
      <c r="Q47" t="s">
        <v>966</v>
      </c>
    </row>
    <row r="48" spans="1:17" x14ac:dyDescent="0.3">
      <c r="A48">
        <v>28</v>
      </c>
      <c r="B48">
        <v>1011</v>
      </c>
      <c r="C48" t="str">
        <f>VLOOKUP(B48,Hoja2!A$2:B$872,2,FALSE)</f>
        <v>12FS2</v>
      </c>
      <c r="D48" t="str">
        <f>IF(LEN('pH measurement'!C48)&gt;6,RIGHT(LEFT('pH measurement'!C48,11),2),RIGHT((LEFT(C48,4)),2))</f>
        <v>FS</v>
      </c>
      <c r="E48">
        <f>IF(LEN('pH measurement'!$C48)&gt;6,LEFT(C48,2),1)</f>
        <v>1</v>
      </c>
      <c r="F48" t="str">
        <f>IF(LEN('pH measurement'!$C48)&gt;6,RIGHT(LEFT('pH measurement'!$C48,9),1),RIGHT(C48,1))</f>
        <v>2</v>
      </c>
      <c r="G48">
        <v>5.91</v>
      </c>
      <c r="L48">
        <v>71</v>
      </c>
      <c r="M48">
        <v>1075</v>
      </c>
      <c r="N48" t="s">
        <v>903</v>
      </c>
      <c r="O48" t="s">
        <v>963</v>
      </c>
      <c r="P48">
        <v>1</v>
      </c>
      <c r="Q48" t="s">
        <v>967</v>
      </c>
    </row>
    <row r="49" spans="1:17" x14ac:dyDescent="0.3">
      <c r="A49">
        <v>29</v>
      </c>
      <c r="B49">
        <v>1051</v>
      </c>
      <c r="C49" t="str">
        <f>VLOOKUP(B49,Hoja2!A$2:B$872,2,FALSE)</f>
        <v>13AA4</v>
      </c>
      <c r="D49" t="str">
        <f>IF(LEN('pH measurement'!C49)&gt;6,RIGHT(LEFT('pH measurement'!C49,11),2),RIGHT((LEFT(C49,4)),2))</f>
        <v>AA</v>
      </c>
      <c r="E49">
        <f>IF(LEN('pH measurement'!$C49)&gt;6,LEFT(C49,2),1)</f>
        <v>1</v>
      </c>
      <c r="F49" t="str">
        <f>IF(LEN('pH measurement'!$C49)&gt;6,RIGHT(LEFT('pH measurement'!$C49,9),1),RIGHT(C49,1))</f>
        <v>4</v>
      </c>
      <c r="G49">
        <v>5.09</v>
      </c>
      <c r="L49">
        <v>72</v>
      </c>
      <c r="M49">
        <v>1045</v>
      </c>
      <c r="N49" t="s">
        <v>873</v>
      </c>
      <c r="O49" t="s">
        <v>963</v>
      </c>
      <c r="P49">
        <v>1</v>
      </c>
      <c r="Q49" t="s">
        <v>967</v>
      </c>
    </row>
    <row r="50" spans="1:17" x14ac:dyDescent="0.3">
      <c r="A50">
        <v>30</v>
      </c>
      <c r="B50">
        <v>378</v>
      </c>
      <c r="C50" t="str">
        <f>VLOOKUP(B50,Hoja2!A$2:B$872,2,FALSE)</f>
        <v>25-P6S4C1AA</v>
      </c>
      <c r="D50" t="str">
        <f>IF(LEN('pH measurement'!C50)&gt;6,RIGHT(LEFT('pH measurement'!C50,11),2),RIGHT((LEFT(C50,4)),2))</f>
        <v>AA</v>
      </c>
      <c r="E50" t="str">
        <f>IF(LEN('pH measurement'!$C50)&gt;6,LEFT(C50,2),1)</f>
        <v>25</v>
      </c>
      <c r="F50" t="str">
        <f>IF(LEN('pH measurement'!$C50)&gt;6,RIGHT(LEFT('pH measurement'!$C50,9),1),RIGHT(C50,1))</f>
        <v>1</v>
      </c>
      <c r="G50">
        <v>5.16</v>
      </c>
      <c r="L50">
        <v>56</v>
      </c>
      <c r="M50">
        <v>1030</v>
      </c>
      <c r="N50" t="s">
        <v>858</v>
      </c>
      <c r="O50" t="s">
        <v>964</v>
      </c>
      <c r="P50">
        <v>1</v>
      </c>
      <c r="Q50" t="s">
        <v>967</v>
      </c>
    </row>
    <row r="51" spans="1:17" x14ac:dyDescent="0.3">
      <c r="A51">
        <v>31</v>
      </c>
      <c r="B51">
        <v>328</v>
      </c>
      <c r="C51" t="str">
        <f>VLOOKUP(B51,Hoja2!A$2:B$872,2,FALSE)</f>
        <v>25-P6S1C2FS</v>
      </c>
      <c r="D51" t="str">
        <f>IF(LEN('pH measurement'!C51)&gt;6,RIGHT(LEFT('pH measurement'!C51,11),2),RIGHT((LEFT(C51,4)),2))</f>
        <v>FS</v>
      </c>
      <c r="E51" t="str">
        <f>IF(LEN('pH measurement'!$C51)&gt;6,LEFT(C51,2),1)</f>
        <v>25</v>
      </c>
      <c r="F51" t="str">
        <f>IF(LEN('pH measurement'!$C51)&gt;6,RIGHT(LEFT('pH measurement'!$C51,9),1),RIGHT(C51,1))</f>
        <v>2</v>
      </c>
      <c r="G51">
        <v>5.17</v>
      </c>
      <c r="L51">
        <v>60</v>
      </c>
      <c r="M51">
        <v>1006</v>
      </c>
      <c r="N51" t="s">
        <v>834</v>
      </c>
      <c r="O51" t="s">
        <v>964</v>
      </c>
      <c r="P51">
        <v>1</v>
      </c>
      <c r="Q51" t="s">
        <v>967</v>
      </c>
    </row>
    <row r="52" spans="1:17" x14ac:dyDescent="0.3">
      <c r="A52">
        <v>32</v>
      </c>
      <c r="B52">
        <v>1088</v>
      </c>
      <c r="C52" t="str">
        <f>VLOOKUP(B52,Hoja2!A$2:B$872,2,FALSE)</f>
        <v>65FS1</v>
      </c>
      <c r="D52" t="str">
        <f>IF(LEN('pH measurement'!C52)&gt;6,RIGHT(LEFT('pH measurement'!C52,11),2),RIGHT((LEFT(C52,4)),2))</f>
        <v>FS</v>
      </c>
      <c r="E52">
        <f>IF(LEN('pH measurement'!$C52)&gt;6,LEFT(C52,2),1)</f>
        <v>1</v>
      </c>
      <c r="F52" t="str">
        <f>IF(LEN('pH measurement'!$C52)&gt;6,RIGHT(LEFT('pH measurement'!$C52,9),1),RIGHT(C52,1))</f>
        <v>1</v>
      </c>
      <c r="G52">
        <v>5.4</v>
      </c>
      <c r="L52">
        <v>76</v>
      </c>
      <c r="M52">
        <v>1078</v>
      </c>
      <c r="N52" t="s">
        <v>906</v>
      </c>
      <c r="O52" t="s">
        <v>964</v>
      </c>
      <c r="P52">
        <v>1</v>
      </c>
      <c r="Q52" t="s">
        <v>967</v>
      </c>
    </row>
    <row r="53" spans="1:17" x14ac:dyDescent="0.3">
      <c r="A53">
        <v>33</v>
      </c>
      <c r="B53">
        <v>375</v>
      </c>
      <c r="C53" t="str">
        <f>VLOOKUP(B53,Hoja2!A$2:B$872,2,FALSE)</f>
        <v>10-P6S3C2FS -b</v>
      </c>
      <c r="D53" t="str">
        <f>IF(LEN('pH measurement'!C53)&gt;6,RIGHT(LEFT('pH measurement'!C53,11),2),RIGHT((LEFT(C53,4)),2))</f>
        <v>FS</v>
      </c>
      <c r="E53" t="str">
        <f>IF(LEN('pH measurement'!$C53)&gt;6,LEFT(C53,2),1)</f>
        <v>10</v>
      </c>
      <c r="F53" t="str">
        <f>IF(LEN('pH measurement'!$C53)&gt;6,RIGHT(LEFT('pH measurement'!$C53,9),1),RIGHT(C53,1))</f>
        <v>2</v>
      </c>
      <c r="G53">
        <v>4.43</v>
      </c>
      <c r="L53">
        <v>55</v>
      </c>
      <c r="M53">
        <v>190</v>
      </c>
      <c r="N53" t="s">
        <v>195</v>
      </c>
      <c r="O53" t="s">
        <v>963</v>
      </c>
      <c r="P53" t="s">
        <v>991</v>
      </c>
      <c r="Q53" t="s">
        <v>967</v>
      </c>
    </row>
    <row r="54" spans="1:17" x14ac:dyDescent="0.3">
      <c r="A54">
        <v>34</v>
      </c>
      <c r="B54">
        <v>1009</v>
      </c>
      <c r="C54" t="str">
        <f>VLOOKUP(B54,Hoja2!A$2:B$872,2,FALSE)</f>
        <v>12AA4</v>
      </c>
      <c r="D54" t="str">
        <f>IF(LEN('pH measurement'!C54)&gt;6,RIGHT(LEFT('pH measurement'!C54,11),2),RIGHT((LEFT(C54,4)),2))</f>
        <v>AA</v>
      </c>
      <c r="E54">
        <f>IF(LEN('pH measurement'!$C54)&gt;6,LEFT(C54,2),1)</f>
        <v>1</v>
      </c>
      <c r="F54" t="str">
        <f>IF(LEN('pH measurement'!$C54)&gt;6,RIGHT(LEFT('pH measurement'!$C54,9),1),RIGHT(C54,1))</f>
        <v>4</v>
      </c>
      <c r="G54">
        <v>4.8600000000000003</v>
      </c>
      <c r="L54">
        <v>82</v>
      </c>
      <c r="M54">
        <v>353</v>
      </c>
      <c r="N54" t="s">
        <v>237</v>
      </c>
      <c r="O54" t="s">
        <v>963</v>
      </c>
      <c r="P54" t="s">
        <v>991</v>
      </c>
      <c r="Q54" t="s">
        <v>967</v>
      </c>
    </row>
    <row r="55" spans="1:17" x14ac:dyDescent="0.3">
      <c r="A55">
        <v>35</v>
      </c>
      <c r="B55">
        <v>1046</v>
      </c>
      <c r="C55" t="str">
        <f>VLOOKUP(B55,Hoja2!A$2:B$872,2,FALSE)</f>
        <v>64FS1</v>
      </c>
      <c r="D55" t="str">
        <f>IF(LEN('pH measurement'!C55)&gt;6,RIGHT(LEFT('pH measurement'!C55,11),2),RIGHT((LEFT(C55,4)),2))</f>
        <v>FS</v>
      </c>
      <c r="E55">
        <f>IF(LEN('pH measurement'!$C55)&gt;6,LEFT(C55,2),1)</f>
        <v>1</v>
      </c>
      <c r="F55" t="str">
        <f>IF(LEN('pH measurement'!$C55)&gt;6,RIGHT(LEFT('pH measurement'!$C55,9),1),RIGHT(C55,1))</f>
        <v>1</v>
      </c>
      <c r="G55">
        <v>5.36</v>
      </c>
      <c r="L55">
        <v>87</v>
      </c>
      <c r="M55">
        <v>389</v>
      </c>
      <c r="N55" t="s">
        <v>249</v>
      </c>
      <c r="O55" t="s">
        <v>963</v>
      </c>
      <c r="P55" t="s">
        <v>991</v>
      </c>
      <c r="Q55" t="s">
        <v>967</v>
      </c>
    </row>
    <row r="56" spans="1:17" x14ac:dyDescent="0.3">
      <c r="A56">
        <v>36</v>
      </c>
      <c r="B56">
        <v>1084</v>
      </c>
      <c r="C56" t="str">
        <f>VLOOKUP(B56,Hoja2!A$2:B$872,2,FALSE)</f>
        <v>62FS4</v>
      </c>
      <c r="D56" t="str">
        <f>IF(LEN('pH measurement'!C56)&gt;6,RIGHT(LEFT('pH measurement'!C56,11),2),RIGHT((LEFT(C56,4)),2))</f>
        <v>FS</v>
      </c>
      <c r="E56">
        <f>IF(LEN('pH measurement'!$C56)&gt;6,LEFT(C56,2),1)</f>
        <v>1</v>
      </c>
      <c r="F56" t="str">
        <f>IF(LEN('pH measurement'!$C56)&gt;6,RIGHT(LEFT('pH measurement'!$C56,9),1),RIGHT(C56,1))</f>
        <v>4</v>
      </c>
      <c r="G56">
        <v>5.58</v>
      </c>
      <c r="L56">
        <v>89</v>
      </c>
      <c r="M56">
        <v>388</v>
      </c>
      <c r="N56" t="s">
        <v>219</v>
      </c>
      <c r="O56" t="s">
        <v>963</v>
      </c>
      <c r="P56" t="s">
        <v>991</v>
      </c>
      <c r="Q56" t="s">
        <v>967</v>
      </c>
    </row>
    <row r="57" spans="1:17" x14ac:dyDescent="0.3">
      <c r="A57">
        <v>37</v>
      </c>
      <c r="B57">
        <v>1036</v>
      </c>
      <c r="C57" t="str">
        <f>VLOOKUP(B57,Hoja2!A$2:B$872,2,FALSE)</f>
        <v>35FS4</v>
      </c>
      <c r="D57" t="str">
        <f>IF(LEN('pH measurement'!C57)&gt;6,RIGHT(LEFT('pH measurement'!C57,11),2),RIGHT((LEFT(C57,4)),2))</f>
        <v>FS</v>
      </c>
      <c r="E57">
        <f>IF(LEN('pH measurement'!$C57)&gt;6,LEFT(C57,2),1)</f>
        <v>1</v>
      </c>
      <c r="F57" t="str">
        <f>IF(LEN('pH measurement'!$C57)&gt;6,RIGHT(LEFT('pH measurement'!$C57,9),1),RIGHT(C57,1))</f>
        <v>4</v>
      </c>
      <c r="G57">
        <v>5.32</v>
      </c>
      <c r="L57">
        <v>64</v>
      </c>
      <c r="M57">
        <v>132</v>
      </c>
      <c r="N57" t="s">
        <v>168</v>
      </c>
      <c r="O57" t="s">
        <v>964</v>
      </c>
      <c r="P57" t="s">
        <v>991</v>
      </c>
      <c r="Q57" t="s">
        <v>967</v>
      </c>
    </row>
    <row r="58" spans="1:17" x14ac:dyDescent="0.3">
      <c r="A58">
        <v>38</v>
      </c>
      <c r="B58">
        <v>360</v>
      </c>
      <c r="C58" t="str">
        <f>VLOOKUP(B58,Hoja2!A$2:B$872,2,FALSE)</f>
        <v>25-P6S3C1AA</v>
      </c>
      <c r="D58" t="str">
        <f>IF(LEN('pH measurement'!C58)&gt;6,RIGHT(LEFT('pH measurement'!C58,11),2),RIGHT((LEFT(C58,4)),2))</f>
        <v>AA</v>
      </c>
      <c r="E58" t="str">
        <f>IF(LEN('pH measurement'!$C58)&gt;6,LEFT(C58,2),1)</f>
        <v>25</v>
      </c>
      <c r="F58" t="str">
        <f>IF(LEN('pH measurement'!$C58)&gt;6,RIGHT(LEFT('pH measurement'!$C58,9),1),RIGHT(C58,1))</f>
        <v>1</v>
      </c>
      <c r="G58">
        <v>5.56</v>
      </c>
      <c r="L58">
        <v>68</v>
      </c>
      <c r="M58">
        <v>412</v>
      </c>
      <c r="N58" t="s">
        <v>228</v>
      </c>
      <c r="O58" t="s">
        <v>964</v>
      </c>
      <c r="P58" t="s">
        <v>991</v>
      </c>
      <c r="Q58" t="s">
        <v>967</v>
      </c>
    </row>
    <row r="59" spans="1:17" x14ac:dyDescent="0.3">
      <c r="A59">
        <v>39</v>
      </c>
      <c r="B59">
        <v>41</v>
      </c>
      <c r="C59" t="str">
        <f>VLOOKUP(B59,Hoja2!A$2:B$872,2,FALSE)</f>
        <v>25-P1S2C2FS</v>
      </c>
      <c r="D59" t="str">
        <f>IF(LEN('pH measurement'!C59)&gt;6,RIGHT(LEFT('pH measurement'!C59,11),2),RIGHT((LEFT(C59,4)),2))</f>
        <v>FS</v>
      </c>
      <c r="E59" t="str">
        <f>IF(LEN('pH measurement'!$C59)&gt;6,LEFT(C59,2),1)</f>
        <v>25</v>
      </c>
      <c r="F59" t="str">
        <f>IF(LEN('pH measurement'!$C59)&gt;6,RIGHT(LEFT('pH measurement'!$C59,9),1),RIGHT(C59,1))</f>
        <v>2</v>
      </c>
      <c r="G59">
        <v>5.31</v>
      </c>
      <c r="L59">
        <v>84</v>
      </c>
      <c r="M59">
        <v>169</v>
      </c>
      <c r="N59" t="s">
        <v>186</v>
      </c>
      <c r="O59" t="s">
        <v>964</v>
      </c>
      <c r="P59" t="s">
        <v>991</v>
      </c>
      <c r="Q59" t="s">
        <v>967</v>
      </c>
    </row>
    <row r="60" spans="1:17" x14ac:dyDescent="0.3">
      <c r="A60">
        <v>40</v>
      </c>
      <c r="B60">
        <v>395</v>
      </c>
      <c r="C60" t="str">
        <f>VLOOKUP(B60,Hoja2!A$2:B$872,2,FALSE)</f>
        <v>10-P6S4C4FS -b</v>
      </c>
      <c r="D60" t="str">
        <f>IF(LEN('pH measurement'!C60)&gt;6,RIGHT(LEFT('pH measurement'!C60,11),2),RIGHT((LEFT(C60,4)),2))</f>
        <v>FS</v>
      </c>
      <c r="E60" t="str">
        <f>IF(LEN('pH measurement'!$C60)&gt;6,LEFT(C60,2),1)</f>
        <v>10</v>
      </c>
      <c r="F60" t="str">
        <f>IF(LEN('pH measurement'!$C60)&gt;6,RIGHT(LEFT('pH measurement'!$C60,9),1),RIGHT(C60,1))</f>
        <v>4</v>
      </c>
      <c r="G60">
        <v>5.0999999999999996</v>
      </c>
      <c r="L60">
        <v>52</v>
      </c>
      <c r="M60">
        <v>136</v>
      </c>
      <c r="N60" t="s">
        <v>81</v>
      </c>
      <c r="O60" t="s">
        <v>963</v>
      </c>
      <c r="P60" t="s">
        <v>990</v>
      </c>
      <c r="Q60" t="s">
        <v>967</v>
      </c>
    </row>
    <row r="61" spans="1:17" x14ac:dyDescent="0.3">
      <c r="A61">
        <v>41</v>
      </c>
      <c r="B61">
        <v>2</v>
      </c>
      <c r="C61" t="str">
        <f>VLOOKUP(B61,Hoja2!A$2:B$872,2,FALSE)</f>
        <v>25-P1S1C2AA</v>
      </c>
      <c r="D61" t="str">
        <f>IF(LEN('pH measurement'!C61)&gt;6,RIGHT(LEFT('pH measurement'!C61,11),2),RIGHT((LEFT(C61,4)),2))</f>
        <v>AA</v>
      </c>
      <c r="E61" t="str">
        <f>IF(LEN('pH measurement'!$C61)&gt;6,LEFT(C61,2),1)</f>
        <v>25</v>
      </c>
      <c r="F61" t="str">
        <f>IF(LEN('pH measurement'!$C61)&gt;6,RIGHT(LEFT('pH measurement'!$C61,9),1),RIGHT(C61,1))</f>
        <v>2</v>
      </c>
      <c r="G61">
        <v>5.73</v>
      </c>
      <c r="L61">
        <v>59</v>
      </c>
      <c r="M61">
        <v>123</v>
      </c>
      <c r="N61" t="s">
        <v>75</v>
      </c>
      <c r="O61" t="s">
        <v>963</v>
      </c>
      <c r="P61" t="s">
        <v>990</v>
      </c>
      <c r="Q61" t="s">
        <v>967</v>
      </c>
    </row>
    <row r="62" spans="1:17" x14ac:dyDescent="0.3">
      <c r="A62">
        <v>42</v>
      </c>
      <c r="B62">
        <v>402</v>
      </c>
      <c r="C62" t="str">
        <f>VLOOKUP(B62,Hoja2!A$2:B$872,2,FALSE)</f>
        <v>10-P6S5C1AA</v>
      </c>
      <c r="D62" t="str">
        <f>IF(LEN('pH measurement'!C62)&gt;6,RIGHT(LEFT('pH measurement'!C62,11),2),RIGHT((LEFT(C62,4)),2))</f>
        <v>AA</v>
      </c>
      <c r="E62" t="str">
        <f>IF(LEN('pH measurement'!$C62)&gt;6,LEFT(C62,2),1)</f>
        <v>10</v>
      </c>
      <c r="F62" t="str">
        <f>IF(LEN('pH measurement'!$C62)&gt;6,RIGHT(LEFT('pH measurement'!$C62,9),1),RIGHT(C62,1))</f>
        <v>1</v>
      </c>
      <c r="G62">
        <v>5.81</v>
      </c>
    </row>
    <row r="63" spans="1:17" x14ac:dyDescent="0.3">
      <c r="A63">
        <v>43</v>
      </c>
      <c r="B63">
        <v>166</v>
      </c>
      <c r="C63" t="str">
        <f>VLOOKUP(B63,Hoja2!A$2:B$872,2,FALSE)</f>
        <v>10-P3S3C4AA</v>
      </c>
      <c r="D63" t="str">
        <f>IF(LEN('pH measurement'!C63)&gt;6,RIGHT(LEFT('pH measurement'!C63,11),2),RIGHT((LEFT(C63,4)),2))</f>
        <v>AA</v>
      </c>
      <c r="E63" t="str">
        <f>IF(LEN('pH measurement'!$C63)&gt;6,LEFT(C63,2),1)</f>
        <v>10</v>
      </c>
      <c r="F63" t="str">
        <f>IF(LEN('pH measurement'!$C63)&gt;6,RIGHT(LEFT('pH measurement'!$C63,9),1),RIGHT(C63,1))</f>
        <v>4</v>
      </c>
      <c r="G63">
        <v>4.5199999999999996</v>
      </c>
    </row>
    <row r="64" spans="1:17" x14ac:dyDescent="0.3">
      <c r="A64">
        <v>44</v>
      </c>
      <c r="B64">
        <v>363</v>
      </c>
      <c r="C64" t="str">
        <f>VLOOKUP(B64,Hoja2!A$2:B$872,2,FALSE)</f>
        <v>25-P6S3C1FS</v>
      </c>
      <c r="D64" t="str">
        <f>IF(LEN('pH measurement'!C64)&gt;6,RIGHT(LEFT('pH measurement'!C64,11),2),RIGHT((LEFT(C64,4)),2))</f>
        <v>FS</v>
      </c>
      <c r="E64" t="str">
        <f>IF(LEN('pH measurement'!$C64)&gt;6,LEFT(C64,2),1)</f>
        <v>25</v>
      </c>
      <c r="F64" t="str">
        <f>IF(LEN('pH measurement'!$C64)&gt;6,RIGHT(LEFT('pH measurement'!$C64,9),1),RIGHT(C64,1))</f>
        <v>1</v>
      </c>
      <c r="G64">
        <v>5.78</v>
      </c>
    </row>
    <row r="65" spans="1:7" x14ac:dyDescent="0.3">
      <c r="A65">
        <v>45</v>
      </c>
      <c r="B65">
        <v>1005</v>
      </c>
      <c r="C65" t="str">
        <f>VLOOKUP(B65,Hoja2!A$2:B$872,2,FALSE)</f>
        <v>11FS2</v>
      </c>
      <c r="D65" t="str">
        <f>IF(LEN('pH measurement'!C65)&gt;6,RIGHT(LEFT('pH measurement'!C65,11),2),RIGHT((LEFT(C65,4)),2))</f>
        <v>FS</v>
      </c>
      <c r="E65">
        <f>IF(LEN('pH measurement'!$C65)&gt;6,LEFT(C65,2),1)</f>
        <v>1</v>
      </c>
      <c r="F65" t="str">
        <f>IF(LEN('pH measurement'!$C65)&gt;6,RIGHT(LEFT('pH measurement'!$C65,9),1),RIGHT(C65,1))</f>
        <v>2</v>
      </c>
      <c r="G65">
        <v>5.67</v>
      </c>
    </row>
    <row r="66" spans="1:7" x14ac:dyDescent="0.3">
      <c r="A66">
        <v>46</v>
      </c>
      <c r="B66">
        <v>114</v>
      </c>
      <c r="C66" t="str">
        <f>VLOOKUP(B66,Hoja2!A$2:B$872,2,FALSE)</f>
        <v>25-P1S4C4FS</v>
      </c>
      <c r="D66" t="str">
        <f>IF(LEN('pH measurement'!C66)&gt;6,RIGHT(LEFT('pH measurement'!C66,11),2),RIGHT((LEFT(C66,4)),2))</f>
        <v>FS</v>
      </c>
      <c r="E66" t="str">
        <f>IF(LEN('pH measurement'!$C66)&gt;6,LEFT(C66,2),1)</f>
        <v>25</v>
      </c>
      <c r="F66" t="str">
        <f>IF(LEN('pH measurement'!$C66)&gt;6,RIGHT(LEFT('pH measurement'!$C66,9),1),RIGHT(C66,1))</f>
        <v>4</v>
      </c>
      <c r="G66">
        <v>5.57</v>
      </c>
    </row>
    <row r="67" spans="1:7" x14ac:dyDescent="0.3">
      <c r="A67">
        <v>47</v>
      </c>
      <c r="B67">
        <v>1074</v>
      </c>
      <c r="C67" t="str">
        <f>VLOOKUP(B67,Hoja2!A$2:B$872,2,FALSE)</f>
        <v>61AA2</v>
      </c>
      <c r="D67" t="str">
        <f>IF(LEN('pH measurement'!C67)&gt;6,RIGHT(LEFT('pH measurement'!C67,11),2),RIGHT((LEFT(C67,4)),2))</f>
        <v>AA</v>
      </c>
      <c r="E67">
        <f>IF(LEN('pH measurement'!$C67)&gt;6,LEFT(C67,2),1)</f>
        <v>1</v>
      </c>
      <c r="F67" t="str">
        <f>IF(LEN('pH measurement'!$C67)&gt;6,RIGHT(LEFT('pH measurement'!$C67,9),1),RIGHT(C67,1))</f>
        <v>2</v>
      </c>
      <c r="G67">
        <v>5.4</v>
      </c>
    </row>
    <row r="68" spans="1:7" x14ac:dyDescent="0.3">
      <c r="A68">
        <v>48</v>
      </c>
      <c r="B68">
        <v>4</v>
      </c>
      <c r="C68" t="str">
        <f>VLOOKUP(B68,Hoja2!A$2:B$872,2,FALSE)</f>
        <v>25-P1S1C1FS</v>
      </c>
      <c r="D68" t="str">
        <f>IF(LEN('pH measurement'!C68)&gt;6,RIGHT(LEFT('pH measurement'!C68,11),2),RIGHT((LEFT(C68,4)),2))</f>
        <v>FS</v>
      </c>
      <c r="E68" t="str">
        <f>IF(LEN('pH measurement'!$C68)&gt;6,LEFT(C68,2),1)</f>
        <v>25</v>
      </c>
      <c r="F68" t="str">
        <f>IF(LEN('pH measurement'!$C68)&gt;6,RIGHT(LEFT('pH measurement'!$C68,9),1),RIGHT(C68,1))</f>
        <v>1</v>
      </c>
      <c r="G68">
        <v>5.38</v>
      </c>
    </row>
    <row r="69" spans="1:7" x14ac:dyDescent="0.3">
      <c r="A69">
        <v>49</v>
      </c>
      <c r="B69">
        <v>391</v>
      </c>
      <c r="C69" t="str">
        <f>VLOOKUP(B69,Hoja2!A$2:B$872,2,FALSE)</f>
        <v>10-P6S4C1FS -b</v>
      </c>
      <c r="D69" t="str">
        <f>IF(LEN('pH measurement'!C69)&gt;6,RIGHT(LEFT('pH measurement'!C69,11),2),RIGHT((LEFT(C69,4)),2))</f>
        <v>FS</v>
      </c>
      <c r="E69" t="str">
        <f>IF(LEN('pH measurement'!$C69)&gt;6,LEFT(C69,2),1)</f>
        <v>10</v>
      </c>
      <c r="F69" t="str">
        <f>IF(LEN('pH measurement'!$C69)&gt;6,RIGHT(LEFT('pH measurement'!$C69,9),1),RIGHT(C69,1))</f>
        <v>1</v>
      </c>
      <c r="G69">
        <v>5.77</v>
      </c>
    </row>
    <row r="70" spans="1:7" x14ac:dyDescent="0.3">
      <c r="A70">
        <v>50</v>
      </c>
      <c r="B70">
        <v>183</v>
      </c>
      <c r="C70" t="str">
        <f>VLOOKUP(B70,Hoja2!A$2:B$872,2,FALSE)</f>
        <v>25-P3S5C2AA</v>
      </c>
      <c r="D70" t="str">
        <f>IF(LEN('pH measurement'!C70)&gt;6,RIGHT(LEFT('pH measurement'!C70,11),2),RIGHT((LEFT(C70,4)),2))</f>
        <v>AA</v>
      </c>
      <c r="E70" t="str">
        <f>IF(LEN('pH measurement'!$C70)&gt;6,LEFT(C70,2),1)</f>
        <v>25</v>
      </c>
      <c r="F70" t="str">
        <f>IF(LEN('pH measurement'!$C70)&gt;6,RIGHT(LEFT('pH measurement'!$C70,9),1),RIGHT(C70,1))</f>
        <v>2</v>
      </c>
      <c r="G70">
        <v>4.88</v>
      </c>
    </row>
    <row r="71" spans="1:7" x14ac:dyDescent="0.3">
      <c r="A71">
        <v>51</v>
      </c>
      <c r="B71">
        <v>1002</v>
      </c>
      <c r="C71" t="str">
        <f>VLOOKUP(B71,Hoja2!A$2:B$872,2,FALSE)</f>
        <v>11AA2</v>
      </c>
      <c r="D71" t="str">
        <f>IF(LEN('pH measurement'!C71)&gt;6,RIGHT(LEFT('pH measurement'!C71,11),2),RIGHT((LEFT(C71,4)),2))</f>
        <v>AA</v>
      </c>
      <c r="E71">
        <f>IF(LEN('pH measurement'!$C71)&gt;6,LEFT(C71,2),1)</f>
        <v>1</v>
      </c>
      <c r="F71" t="str">
        <f>IF(LEN('pH measurement'!$C71)&gt;6,RIGHT(LEFT('pH measurement'!$C71,9),1),RIGHT(C71,1))</f>
        <v>2</v>
      </c>
      <c r="G71">
        <v>6</v>
      </c>
    </row>
    <row r="72" spans="1:7" x14ac:dyDescent="0.3">
      <c r="A72">
        <v>52</v>
      </c>
      <c r="B72">
        <v>136</v>
      </c>
      <c r="C72" t="str">
        <f>VLOOKUP(B72,Hoja2!A$2:B$872,2,FALSE)</f>
        <v>25-P3S1C4AA</v>
      </c>
      <c r="D72" t="str">
        <f>IF(LEN('pH measurement'!C72)&gt;6,RIGHT(LEFT('pH measurement'!C72,11),2),RIGHT((LEFT(C72,4)),2))</f>
        <v>AA</v>
      </c>
      <c r="E72" t="str">
        <f>IF(LEN('pH measurement'!$C72)&gt;6,LEFT(C72,2),1)</f>
        <v>25</v>
      </c>
      <c r="F72" t="str">
        <f>IF(LEN('pH measurement'!$C72)&gt;6,RIGHT(LEFT('pH measurement'!$C72,9),1),RIGHT(C72,1))</f>
        <v>4</v>
      </c>
      <c r="G72">
        <v>4.16</v>
      </c>
    </row>
    <row r="73" spans="1:7" x14ac:dyDescent="0.3">
      <c r="A73">
        <v>53</v>
      </c>
      <c r="B73">
        <v>345</v>
      </c>
      <c r="C73" t="str">
        <f>VLOOKUP(B73,Hoja2!A$2:B$872,2,FALSE)</f>
        <v>25-P6S2C1FS</v>
      </c>
      <c r="D73" t="str">
        <f>IF(LEN('pH measurement'!C73)&gt;6,RIGHT(LEFT('pH measurement'!C73,11),2),RIGHT((LEFT(C73,4)),2))</f>
        <v>FS</v>
      </c>
      <c r="E73" t="str">
        <f>IF(LEN('pH measurement'!$C73)&gt;6,LEFT(C73,2),1)</f>
        <v>25</v>
      </c>
      <c r="F73" t="str">
        <f>IF(LEN('pH measurement'!$C73)&gt;6,RIGHT(LEFT('pH measurement'!$C73,9),1),RIGHT(C73,1))</f>
        <v>1</v>
      </c>
      <c r="G73">
        <v>6.04</v>
      </c>
    </row>
    <row r="74" spans="1:7" x14ac:dyDescent="0.3">
      <c r="A74">
        <v>54</v>
      </c>
      <c r="B74">
        <v>161</v>
      </c>
      <c r="C74" t="str">
        <f>VLOOKUP(B74,Hoja2!A$2:B$872,2,FALSE)</f>
        <v>25-P3S3C1FS</v>
      </c>
      <c r="D74" t="str">
        <f>IF(LEN('pH measurement'!C74)&gt;6,RIGHT(LEFT('pH measurement'!C74,11),2),RIGHT((LEFT(C74,4)),2))</f>
        <v>FS</v>
      </c>
      <c r="E74" t="str">
        <f>IF(LEN('pH measurement'!$C74)&gt;6,LEFT(C74,2),1)</f>
        <v>25</v>
      </c>
      <c r="F74" t="str">
        <f>IF(LEN('pH measurement'!$C74)&gt;6,RIGHT(LEFT('pH measurement'!$C74,9),1),RIGHT(C74,1))</f>
        <v>1</v>
      </c>
      <c r="G74">
        <v>5.84</v>
      </c>
    </row>
    <row r="75" spans="1:7" x14ac:dyDescent="0.3">
      <c r="A75">
        <v>55</v>
      </c>
      <c r="B75">
        <v>190</v>
      </c>
      <c r="C75" t="str">
        <f>VLOOKUP(B75,Hoja2!A$2:B$872,2,FALSE)</f>
        <v>10-P3S5C4AA</v>
      </c>
      <c r="D75" t="str">
        <f>IF(LEN('pH measurement'!C75)&gt;6,RIGHT(LEFT('pH measurement'!C75,11),2),RIGHT((LEFT(C75,4)),2))</f>
        <v>AA</v>
      </c>
      <c r="E75" t="str">
        <f>IF(LEN('pH measurement'!$C75)&gt;6,LEFT(C75,2),1)</f>
        <v>10</v>
      </c>
      <c r="F75" t="str">
        <f>IF(LEN('pH measurement'!$C75)&gt;6,RIGHT(LEFT('pH measurement'!$C75,9),1),RIGHT(C75,1))</f>
        <v>4</v>
      </c>
      <c r="G75">
        <v>5.57</v>
      </c>
    </row>
    <row r="76" spans="1:7" x14ac:dyDescent="0.3">
      <c r="A76">
        <v>56</v>
      </c>
      <c r="B76">
        <v>1030</v>
      </c>
      <c r="C76" t="str">
        <f>VLOOKUP(B76,Hoja2!A$2:B$872,2,FALSE)</f>
        <v>34FS4</v>
      </c>
      <c r="D76" t="str">
        <f>IF(LEN('pH measurement'!C76)&gt;6,RIGHT(LEFT('pH measurement'!C76,11),2),RIGHT((LEFT(C76,4)),2))</f>
        <v>FS</v>
      </c>
      <c r="E76">
        <f>IF(LEN('pH measurement'!$C76)&gt;6,LEFT(C76,2),1)</f>
        <v>1</v>
      </c>
      <c r="F76" t="str">
        <f>IF(LEN('pH measurement'!$C76)&gt;6,RIGHT(LEFT('pH measurement'!$C76,9),1),RIGHT(C76,1))</f>
        <v>4</v>
      </c>
      <c r="G76">
        <v>5.01</v>
      </c>
    </row>
    <row r="77" spans="1:7" x14ac:dyDescent="0.3">
      <c r="A77">
        <v>57</v>
      </c>
      <c r="B77">
        <v>400</v>
      </c>
      <c r="C77" t="str">
        <f>VLOOKUP(B77,Hoja2!A$2:B$872,2,FALSE)</f>
        <v>25-P6S5C2FS</v>
      </c>
      <c r="D77" t="str">
        <f>IF(LEN('pH measurement'!C77)&gt;6,RIGHT(LEFT('pH measurement'!C77,11),2),RIGHT((LEFT(C77,4)),2))</f>
        <v>FS</v>
      </c>
      <c r="E77" t="str">
        <f>IF(LEN('pH measurement'!$C77)&gt;6,LEFT(C77,2),1)</f>
        <v>25</v>
      </c>
      <c r="F77" t="str">
        <f>IF(LEN('pH measurement'!$C77)&gt;6,RIGHT(LEFT('pH measurement'!$C77,9),1),RIGHT(C77,1))</f>
        <v>2</v>
      </c>
      <c r="G77">
        <v>5.84</v>
      </c>
    </row>
    <row r="78" spans="1:7" x14ac:dyDescent="0.3">
      <c r="A78">
        <v>58</v>
      </c>
      <c r="B78">
        <v>128</v>
      </c>
      <c r="C78" t="str">
        <f>VLOOKUP(B78,Hoja2!A$2:B$872,2,FALSE)</f>
        <v>10-P1S5C2AA</v>
      </c>
      <c r="D78" t="str">
        <f>IF(LEN('pH measurement'!C78)&gt;6,RIGHT(LEFT('pH measurement'!C78,11),2),RIGHT((LEFT(C78,4)),2))</f>
        <v>AA</v>
      </c>
      <c r="E78" t="str">
        <f>IF(LEN('pH measurement'!$C78)&gt;6,LEFT(C78,2),1)</f>
        <v>10</v>
      </c>
      <c r="F78" t="str">
        <f>IF(LEN('pH measurement'!$C78)&gt;6,RIGHT(LEFT('pH measurement'!$C78,9),1),RIGHT(C78,1))</f>
        <v>2</v>
      </c>
      <c r="G78">
        <v>6.1109999999999998</v>
      </c>
    </row>
    <row r="79" spans="1:7" x14ac:dyDescent="0.3">
      <c r="A79">
        <v>59</v>
      </c>
      <c r="B79">
        <v>123</v>
      </c>
      <c r="C79" t="str">
        <f>VLOOKUP(B79,Hoja2!A$2:B$872,2,FALSE)</f>
        <v>25-P1S5C4AA</v>
      </c>
      <c r="D79" t="str">
        <f>IF(LEN('pH measurement'!C79)&gt;6,RIGHT(LEFT('pH measurement'!C79,11),2),RIGHT((LEFT(C79,4)),2))</f>
        <v>AA</v>
      </c>
      <c r="E79" t="str">
        <f>IF(LEN('pH measurement'!$C79)&gt;6,LEFT(C79,2),1)</f>
        <v>25</v>
      </c>
      <c r="F79" t="str">
        <f>IF(LEN('pH measurement'!$C79)&gt;6,RIGHT(LEFT('pH measurement'!$C79,9),1),RIGHT(C79,1))</f>
        <v>4</v>
      </c>
      <c r="G79">
        <v>3.84</v>
      </c>
    </row>
    <row r="80" spans="1:7" x14ac:dyDescent="0.3">
      <c r="A80">
        <v>60</v>
      </c>
      <c r="B80">
        <v>1006</v>
      </c>
      <c r="C80" t="str">
        <f>VLOOKUP(B80,Hoja2!A$2:B$872,2,FALSE)</f>
        <v>11FS4</v>
      </c>
      <c r="D80" t="str">
        <f>IF(LEN('pH measurement'!C80)&gt;6,RIGHT(LEFT('pH measurement'!C80,11),2),RIGHT((LEFT(C80,4)),2))</f>
        <v>FS</v>
      </c>
      <c r="E80">
        <f>IF(LEN('pH measurement'!$C80)&gt;6,LEFT(C80,2),1)</f>
        <v>1</v>
      </c>
      <c r="F80" t="str">
        <f>IF(LEN('pH measurement'!$C80)&gt;6,RIGHT(LEFT('pH measurement'!$C80,9),1),RIGHT(C80,1))</f>
        <v>4</v>
      </c>
      <c r="G80">
        <v>5.1100000000000003</v>
      </c>
    </row>
    <row r="81" spans="1:7" x14ac:dyDescent="0.3">
      <c r="A81">
        <v>61</v>
      </c>
      <c r="B81">
        <v>1083</v>
      </c>
      <c r="C81" t="str">
        <f>VLOOKUP(B81,Hoja2!A$2:B$872,2,FALSE)</f>
        <v>62FS2</v>
      </c>
      <c r="D81" t="str">
        <f>IF(LEN('pH measurement'!C81)&gt;6,RIGHT(LEFT('pH measurement'!C81,11),2),RIGHT((LEFT(C81,4)),2))</f>
        <v>FS</v>
      </c>
      <c r="E81">
        <f>IF(LEN('pH measurement'!$C81)&gt;6,LEFT(C81,2),1)</f>
        <v>1</v>
      </c>
      <c r="F81" t="str">
        <f>IF(LEN('pH measurement'!$C81)&gt;6,RIGHT(LEFT('pH measurement'!$C81,9),1),RIGHT(C81,1))</f>
        <v>2</v>
      </c>
      <c r="G81">
        <v>5.63</v>
      </c>
    </row>
    <row r="82" spans="1:7" x14ac:dyDescent="0.3">
      <c r="A82">
        <v>62</v>
      </c>
      <c r="B82">
        <v>80</v>
      </c>
      <c r="C82" t="str">
        <f>VLOOKUP(B82,Hoja2!A$2:B$872,2,FALSE)</f>
        <v>10-P1S3C2AA</v>
      </c>
      <c r="D82" t="str">
        <f>IF(LEN('pH measurement'!C82)&gt;6,RIGHT(LEFT('pH measurement'!C82,11),2),RIGHT((LEFT(C82,4)),2))</f>
        <v>AA</v>
      </c>
      <c r="E82" t="str">
        <f>IF(LEN('pH measurement'!$C82)&gt;6,LEFT(C82,2),1)</f>
        <v>10</v>
      </c>
      <c r="F82" t="str">
        <f>IF(LEN('pH measurement'!$C82)&gt;6,RIGHT(LEFT('pH measurement'!$C82,9),1),RIGHT(C82,1))</f>
        <v>2</v>
      </c>
      <c r="G82">
        <v>6.11</v>
      </c>
    </row>
    <row r="83" spans="1:7" x14ac:dyDescent="0.3">
      <c r="A83">
        <v>63</v>
      </c>
      <c r="B83">
        <v>390</v>
      </c>
      <c r="C83" t="str">
        <f>VLOOKUP(B83,Hoja2!A$2:B$872,2,FALSE)</f>
        <v>10-P6S4C1FS</v>
      </c>
      <c r="D83" t="str">
        <f>IF(LEN('pH measurement'!C83)&gt;6,RIGHT(LEFT('pH measurement'!C83,11),2),RIGHT((LEFT(C83,4)),2))</f>
        <v>FS</v>
      </c>
      <c r="E83" t="str">
        <f>IF(LEN('pH measurement'!$C83)&gt;6,LEFT(C83,2),1)</f>
        <v>10</v>
      </c>
      <c r="F83" t="str">
        <f>IF(LEN('pH measurement'!$C83)&gt;6,RIGHT(LEFT('pH measurement'!$C83,9),1),RIGHT(C83,1))</f>
        <v>1</v>
      </c>
      <c r="G83">
        <v>5.71</v>
      </c>
    </row>
    <row r="84" spans="1:7" x14ac:dyDescent="0.3">
      <c r="A84">
        <v>64</v>
      </c>
      <c r="B84">
        <v>132</v>
      </c>
      <c r="C84" t="str">
        <f>VLOOKUP(B84,Hoja2!A$2:B$872,2,FALSE)</f>
        <v>10-P1S5C4FS</v>
      </c>
      <c r="D84" t="str">
        <f>IF(LEN('pH measurement'!C84)&gt;6,RIGHT(LEFT('pH measurement'!C84,11),2),RIGHT((LEFT(C84,4)),2))</f>
        <v>FS</v>
      </c>
      <c r="E84" t="str">
        <f>IF(LEN('pH measurement'!$C84)&gt;6,LEFT(C84,2),1)</f>
        <v>10</v>
      </c>
      <c r="F84" t="str">
        <f>IF(LEN('pH measurement'!$C84)&gt;6,RIGHT(LEFT('pH measurement'!$C84,9),1),RIGHT(C84,1))</f>
        <v>4</v>
      </c>
      <c r="G84">
        <v>4.5599999999999996</v>
      </c>
    </row>
    <row r="85" spans="1:7" x14ac:dyDescent="0.3">
      <c r="A85">
        <v>65</v>
      </c>
      <c r="B85">
        <v>1043</v>
      </c>
      <c r="C85" t="str">
        <f>VLOOKUP(B85,Hoja2!A$2:B$872,2,FALSE)</f>
        <v>64AA1</v>
      </c>
      <c r="D85" t="str">
        <f>IF(LEN('pH measurement'!C85)&gt;6,RIGHT(LEFT('pH measurement'!C85,11),2),RIGHT((LEFT(C85,4)),2))</f>
        <v>AA</v>
      </c>
      <c r="E85">
        <f>IF(LEN('pH measurement'!$C85)&gt;6,LEFT(C85,2),1)</f>
        <v>1</v>
      </c>
      <c r="F85" t="str">
        <f>IF(LEN('pH measurement'!$C85)&gt;6,RIGHT(LEFT('pH measurement'!$C85,9),1),RIGHT(C85,1))</f>
        <v>1</v>
      </c>
      <c r="G85">
        <v>5.21</v>
      </c>
    </row>
    <row r="86" spans="1:7" x14ac:dyDescent="0.3">
      <c r="A86">
        <v>66</v>
      </c>
      <c r="B86">
        <v>188</v>
      </c>
      <c r="C86" t="str">
        <f>VLOOKUP(B86,Hoja2!A$2:B$872,2,FALSE)</f>
        <v>10-P3S5C1AA</v>
      </c>
      <c r="D86" t="str">
        <f>IF(LEN('pH measurement'!C86)&gt;6,RIGHT(LEFT('pH measurement'!C86,11),2),RIGHT((LEFT(C86,4)),2))</f>
        <v>AA</v>
      </c>
      <c r="E86" t="str">
        <f>IF(LEN('pH measurement'!$C86)&gt;6,LEFT(C86,2),1)</f>
        <v>10</v>
      </c>
      <c r="F86" t="str">
        <f>IF(LEN('pH measurement'!$C86)&gt;6,RIGHT(LEFT('pH measurement'!$C86,9),1),RIGHT(C86,1))</f>
        <v>1</v>
      </c>
      <c r="G86">
        <v>5.34</v>
      </c>
    </row>
    <row r="87" spans="1:7" x14ac:dyDescent="0.3">
      <c r="A87">
        <v>67</v>
      </c>
      <c r="B87">
        <v>1031</v>
      </c>
      <c r="C87" t="str">
        <f>VLOOKUP(B87,Hoja2!A$2:B$872,2,FALSE)</f>
        <v>35AA1</v>
      </c>
      <c r="D87" t="str">
        <f>IF(LEN('pH measurement'!C87)&gt;6,RIGHT(LEFT('pH measurement'!C87,11),2),RIGHT((LEFT(C87,4)),2))</f>
        <v>AA</v>
      </c>
      <c r="E87">
        <f>IF(LEN('pH measurement'!$C87)&gt;6,LEFT(C87,2),1)</f>
        <v>1</v>
      </c>
      <c r="F87" t="str">
        <f>IF(LEN('pH measurement'!$C87)&gt;6,RIGHT(LEFT('pH measurement'!$C87,9),1),RIGHT(C87,1))</f>
        <v>1</v>
      </c>
      <c r="G87">
        <v>5.38</v>
      </c>
    </row>
    <row r="88" spans="1:7" x14ac:dyDescent="0.3">
      <c r="A88">
        <v>68</v>
      </c>
      <c r="B88">
        <v>412</v>
      </c>
      <c r="C88" t="str">
        <f>VLOOKUP(B88,Hoja2!A$2:B$872,2,FALSE)</f>
        <v>10-P6S5C4FS</v>
      </c>
      <c r="D88" t="str">
        <f>IF(LEN('pH measurement'!C88)&gt;6,RIGHT(LEFT('pH measurement'!C88,11),2),RIGHT((LEFT(C88,4)),2))</f>
        <v>FS</v>
      </c>
      <c r="E88" t="str">
        <f>IF(LEN('pH measurement'!$C88)&gt;6,LEFT(C88,2),1)</f>
        <v>10</v>
      </c>
      <c r="F88" t="str">
        <f>IF(LEN('pH measurement'!$C88)&gt;6,RIGHT(LEFT('pH measurement'!$C88,9),1),RIGHT(C88,1))</f>
        <v>4</v>
      </c>
      <c r="G88">
        <v>4.76</v>
      </c>
    </row>
    <row r="89" spans="1:7" x14ac:dyDescent="0.3">
      <c r="A89">
        <v>69</v>
      </c>
      <c r="B89">
        <v>325</v>
      </c>
      <c r="C89" t="str">
        <f>VLOOKUP(B89,Hoja2!A$2:B$872,2,FALSE)</f>
        <v>25-P6S1C2AA</v>
      </c>
      <c r="D89" t="str">
        <f>IF(LEN('pH measurement'!C89)&gt;6,RIGHT(LEFT('pH measurement'!C89,11),2),RIGHT((LEFT(C89,4)),2))</f>
        <v>AA</v>
      </c>
      <c r="E89" t="str">
        <f>IF(LEN('pH measurement'!$C89)&gt;6,LEFT(C89,2),1)</f>
        <v>25</v>
      </c>
      <c r="F89" t="str">
        <f>IF(LEN('pH measurement'!$C89)&gt;6,RIGHT(LEFT('pH measurement'!$C89,9),1),RIGHT(C89,1))</f>
        <v>2</v>
      </c>
      <c r="G89">
        <v>5.52</v>
      </c>
    </row>
    <row r="90" spans="1:7" x14ac:dyDescent="0.3">
      <c r="A90">
        <v>70</v>
      </c>
      <c r="B90">
        <v>372</v>
      </c>
      <c r="C90" t="str">
        <f>VLOOKUP(B90,Hoja2!A$2:B$872,2,FALSE)</f>
        <v>10-P6S3C1FS</v>
      </c>
      <c r="D90" t="str">
        <f>IF(LEN('pH measurement'!C90)&gt;6,RIGHT(LEFT('pH measurement'!C90,11),2),RIGHT((LEFT(C90,4)),2))</f>
        <v>FS</v>
      </c>
      <c r="E90" t="str">
        <f>IF(LEN('pH measurement'!$C90)&gt;6,LEFT(C90,2),1)</f>
        <v>10</v>
      </c>
      <c r="F90" t="str">
        <f>IF(LEN('pH measurement'!$C90)&gt;6,RIGHT(LEFT('pH measurement'!$C90,9),1),RIGHT(C90,1))</f>
        <v>1</v>
      </c>
      <c r="G90">
        <v>5.95</v>
      </c>
    </row>
    <row r="91" spans="1:7" x14ac:dyDescent="0.3">
      <c r="A91">
        <v>71</v>
      </c>
      <c r="B91">
        <v>1075</v>
      </c>
      <c r="C91" t="str">
        <f>VLOOKUP(B91,Hoja2!A$2:B$872,2,FALSE)</f>
        <v>61AA4</v>
      </c>
      <c r="D91" t="str">
        <f>IF(LEN('pH measurement'!C91)&gt;6,RIGHT(LEFT('pH measurement'!C91,11),2),RIGHT((LEFT(C91,4)),2))</f>
        <v>AA</v>
      </c>
      <c r="E91">
        <f>IF(LEN('pH measurement'!$C91)&gt;6,LEFT(C91,2),1)</f>
        <v>1</v>
      </c>
      <c r="F91" t="str">
        <f>IF(LEN('pH measurement'!$C91)&gt;6,RIGHT(LEFT('pH measurement'!$C91,9),1),RIGHT(C91,1))</f>
        <v>4</v>
      </c>
      <c r="G91">
        <v>4.6500000000000004</v>
      </c>
    </row>
    <row r="92" spans="1:7" x14ac:dyDescent="0.3">
      <c r="A92">
        <v>72</v>
      </c>
      <c r="B92">
        <v>1045</v>
      </c>
      <c r="C92" t="str">
        <f>VLOOKUP(B92,Hoja2!A$2:B$872,2,FALSE)</f>
        <v>64AA4</v>
      </c>
      <c r="D92" t="str">
        <f>IF(LEN('pH measurement'!C92)&gt;6,RIGHT(LEFT('pH measurement'!C92,11),2),RIGHT((LEFT(C92,4)),2))</f>
        <v>AA</v>
      </c>
      <c r="E92">
        <f>IF(LEN('pH measurement'!$C92)&gt;6,LEFT(C92,2),1)</f>
        <v>1</v>
      </c>
      <c r="F92" t="str">
        <f>IF(LEN('pH measurement'!$C92)&gt;6,RIGHT(LEFT('pH measurement'!$C92,9),1),RIGHT(C92,1))</f>
        <v>4</v>
      </c>
      <c r="G92">
        <v>4.71</v>
      </c>
    </row>
    <row r="93" spans="1:7" x14ac:dyDescent="0.3">
      <c r="A93">
        <v>73</v>
      </c>
      <c r="B93">
        <v>177</v>
      </c>
      <c r="C93" t="str">
        <f>VLOOKUP(B93,Hoja2!A$2:B$872,2,FALSE)</f>
        <v>10-P3S4C2AA</v>
      </c>
      <c r="D93" t="str">
        <f>IF(LEN('pH measurement'!C93)&gt;6,RIGHT(LEFT('pH measurement'!C93,11),2),RIGHT((LEFT(C93,4)),2))</f>
        <v>AA</v>
      </c>
      <c r="E93" t="str">
        <f>IF(LEN('pH measurement'!$C93)&gt;6,LEFT(C93,2),1)</f>
        <v>10</v>
      </c>
      <c r="F93" t="str">
        <f>IF(LEN('pH measurement'!$C93)&gt;6,RIGHT(LEFT('pH measurement'!$C93,9),1),RIGHT(C93,1))</f>
        <v>2</v>
      </c>
      <c r="G93">
        <v>6.02</v>
      </c>
    </row>
    <row r="94" spans="1:7" x14ac:dyDescent="0.3">
      <c r="A94">
        <v>74</v>
      </c>
      <c r="B94">
        <v>121</v>
      </c>
      <c r="C94" t="str">
        <f>VLOOKUP(B94,Hoja2!A$2:B$872,2,FALSE)</f>
        <v>25-P1S5C1AA</v>
      </c>
      <c r="D94" t="str">
        <f>IF(LEN('pH measurement'!C94)&gt;6,RIGHT(LEFT('pH measurement'!C94,11),2),RIGHT((LEFT(C94,4)),2))</f>
        <v>AA</v>
      </c>
      <c r="E94" t="str">
        <f>IF(LEN('pH measurement'!$C94)&gt;6,LEFT(C94,2),1)</f>
        <v>25</v>
      </c>
      <c r="F94" t="str">
        <f>IF(LEN('pH measurement'!$C94)&gt;6,RIGHT(LEFT('pH measurement'!$C94,9),1),RIGHT(C94,1))</f>
        <v>1</v>
      </c>
      <c r="G94">
        <v>5.77</v>
      </c>
    </row>
    <row r="95" spans="1:7" x14ac:dyDescent="0.3">
      <c r="A95">
        <v>75</v>
      </c>
      <c r="B95">
        <v>43</v>
      </c>
      <c r="C95" t="str">
        <f>VLOOKUP(B95,Hoja2!A$2:B$872,2,FALSE)</f>
        <v>10-P1S2C1AA</v>
      </c>
      <c r="D95" t="str">
        <f>IF(LEN('pH measurement'!C95)&gt;6,RIGHT(LEFT('pH measurement'!C95,11),2),RIGHT((LEFT(C95,4)),2))</f>
        <v>AA</v>
      </c>
      <c r="E95" t="str">
        <f>IF(LEN('pH measurement'!$C95)&gt;6,LEFT(C95,2),1)</f>
        <v>10</v>
      </c>
      <c r="F95" t="str">
        <f>IF(LEN('pH measurement'!$C95)&gt;6,RIGHT(LEFT('pH measurement'!$C95,9),1),RIGHT(C95,1))</f>
        <v>1</v>
      </c>
      <c r="G95">
        <v>5.5</v>
      </c>
    </row>
    <row r="96" spans="1:7" x14ac:dyDescent="0.3">
      <c r="A96">
        <v>76</v>
      </c>
      <c r="B96">
        <v>1078</v>
      </c>
      <c r="C96" t="str">
        <f>VLOOKUP(B96,Hoja2!A$2:B$872,2,FALSE)</f>
        <v>61FS4</v>
      </c>
      <c r="D96" t="str">
        <f>IF(LEN('pH measurement'!C96)&gt;6,RIGHT(LEFT('pH measurement'!C96,11),2),RIGHT((LEFT(C96,4)),2))</f>
        <v>FS</v>
      </c>
      <c r="E96">
        <f>IF(LEN('pH measurement'!$C96)&gt;6,LEFT(C96,2),1)</f>
        <v>1</v>
      </c>
      <c r="F96" t="str">
        <f>IF(LEN('pH measurement'!$C96)&gt;6,RIGHT(LEFT('pH measurement'!$C96,9),1),RIGHT(C96,1))</f>
        <v>4</v>
      </c>
      <c r="G96">
        <v>5.33</v>
      </c>
    </row>
    <row r="97" spans="1:7" x14ac:dyDescent="0.3">
      <c r="A97">
        <v>77</v>
      </c>
      <c r="B97">
        <v>411</v>
      </c>
      <c r="C97" t="str">
        <f>VLOOKUP(B97,Hoja2!A$2:B$872,2,FALSE)</f>
        <v>10-P6S5C2FS -b</v>
      </c>
      <c r="D97" t="str">
        <f>IF(LEN('pH measurement'!C97)&gt;6,RIGHT(LEFT('pH measurement'!C97,11),2),RIGHT((LEFT(C97,4)),2))</f>
        <v>FS</v>
      </c>
      <c r="E97" t="str">
        <f>IF(LEN('pH measurement'!$C97)&gt;6,LEFT(C97,2),1)</f>
        <v>10</v>
      </c>
      <c r="F97" t="str">
        <f>IF(LEN('pH measurement'!$C97)&gt;6,RIGHT(LEFT('pH measurement'!$C97,9),1),RIGHT(C97,1))</f>
        <v>2</v>
      </c>
      <c r="G97">
        <v>4.96</v>
      </c>
    </row>
    <row r="98" spans="1:7" x14ac:dyDescent="0.3">
      <c r="A98">
        <v>78</v>
      </c>
      <c r="B98">
        <v>381</v>
      </c>
      <c r="C98" t="str">
        <f>VLOOKUP(B98,Hoja2!A$2:B$872,2,FALSE)</f>
        <v>25-P6S4C1FS</v>
      </c>
      <c r="D98" t="str">
        <f>IF(LEN('pH measurement'!C98)&gt;6,RIGHT(LEFT('pH measurement'!C98,11),2),RIGHT((LEFT(C98,4)),2))</f>
        <v>FS</v>
      </c>
      <c r="E98" t="str">
        <f>IF(LEN('pH measurement'!$C98)&gt;6,LEFT(C98,2),1)</f>
        <v>25</v>
      </c>
      <c r="F98" t="str">
        <f>IF(LEN('pH measurement'!$C98)&gt;6,RIGHT(LEFT('pH measurement'!$C98,9),1),RIGHT(C98,1))</f>
        <v>1</v>
      </c>
      <c r="G98">
        <v>5.78</v>
      </c>
    </row>
    <row r="99" spans="1:7" x14ac:dyDescent="0.3">
      <c r="A99">
        <v>79</v>
      </c>
      <c r="B99">
        <v>392</v>
      </c>
      <c r="C99" t="str">
        <f>VLOOKUP(B99,Hoja2!A$2:B$872,2,FALSE)</f>
        <v>10-P6S4C2FS</v>
      </c>
      <c r="D99" t="str">
        <f>IF(LEN('pH measurement'!C99)&gt;6,RIGHT(LEFT('pH measurement'!C99,11),2),RIGHT((LEFT(C99,4)),2))</f>
        <v>FS</v>
      </c>
      <c r="E99" t="str">
        <f>IF(LEN('pH measurement'!$C99)&gt;6,LEFT(C99,2),1)</f>
        <v>10</v>
      </c>
      <c r="F99" t="str">
        <f>IF(LEN('pH measurement'!$C99)&gt;6,RIGHT(LEFT('pH measurement'!$C99,9),1),RIGHT(C99,1))</f>
        <v>2</v>
      </c>
      <c r="G99">
        <v>5.01</v>
      </c>
    </row>
    <row r="100" spans="1:7" x14ac:dyDescent="0.3">
      <c r="A100">
        <v>80</v>
      </c>
      <c r="B100">
        <v>338</v>
      </c>
      <c r="C100" t="str">
        <f>VLOOKUP(B100,Hoja2!A$2:B$872,2,FALSE)</f>
        <v>10-P6S1C2FS</v>
      </c>
      <c r="D100" t="str">
        <f>IF(LEN('pH measurement'!C100)&gt;6,RIGHT(LEFT('pH measurement'!C100,11),2),RIGHT((LEFT(C100,4)),2))</f>
        <v>FS</v>
      </c>
      <c r="E100" t="str">
        <f>IF(LEN('pH measurement'!$C100)&gt;6,LEFT(C100,2),1)</f>
        <v>10</v>
      </c>
      <c r="F100" t="str">
        <f>IF(LEN('pH measurement'!$C100)&gt;6,RIGHT(LEFT('pH measurement'!$C100,9),1),RIGHT(C100,1))</f>
        <v>2</v>
      </c>
      <c r="G100">
        <v>5.17</v>
      </c>
    </row>
    <row r="101" spans="1:7" x14ac:dyDescent="0.3">
      <c r="A101">
        <v>81</v>
      </c>
      <c r="B101">
        <v>367</v>
      </c>
      <c r="C101" t="str">
        <f>VLOOKUP(B101,Hoja2!A$2:B$872,2,FALSE)</f>
        <v>10-P6S3C1AA -b</v>
      </c>
      <c r="D101" t="str">
        <f>IF(LEN('pH measurement'!C101)&gt;6,RIGHT(LEFT('pH measurement'!C101,11),2),RIGHT((LEFT(C101,4)),2))</f>
        <v>AA</v>
      </c>
      <c r="E101" t="str">
        <f>IF(LEN('pH measurement'!$C101)&gt;6,LEFT(C101,2),1)</f>
        <v>10</v>
      </c>
      <c r="F101" t="str">
        <f>IF(LEN('pH measurement'!$C101)&gt;6,RIGHT(LEFT('pH measurement'!$C101,9),1),RIGHT(C101,1))</f>
        <v>1</v>
      </c>
      <c r="G101">
        <v>5.68</v>
      </c>
    </row>
    <row r="102" spans="1:7" x14ac:dyDescent="0.3">
      <c r="A102">
        <v>82</v>
      </c>
      <c r="B102">
        <v>353</v>
      </c>
      <c r="C102" t="str">
        <f>VLOOKUP(B102,Hoja2!A$2:B$872,2,FALSE)</f>
        <v>10-P6S2C4AA -b</v>
      </c>
      <c r="D102" t="str">
        <f>IF(LEN('pH measurement'!C102)&gt;6,RIGHT(LEFT('pH measurement'!C102,11),2),RIGHT((LEFT(C102,4)),2))</f>
        <v>AA</v>
      </c>
      <c r="E102" t="str">
        <f>IF(LEN('pH measurement'!$C102)&gt;6,LEFT(C102,2),1)</f>
        <v>10</v>
      </c>
      <c r="F102" t="str">
        <f>IF(LEN('pH measurement'!$C102)&gt;6,RIGHT(LEFT('pH measurement'!$C102,9),1),RIGHT(C102,1))</f>
        <v>4</v>
      </c>
      <c r="G102">
        <v>4.07</v>
      </c>
    </row>
    <row r="103" spans="1:7" x14ac:dyDescent="0.3">
      <c r="A103">
        <v>83</v>
      </c>
      <c r="B103">
        <v>354</v>
      </c>
      <c r="C103" t="str">
        <f>VLOOKUP(B103,Hoja2!A$2:B$872,2,FALSE)</f>
        <v>10-P6S2C1FS</v>
      </c>
      <c r="D103" t="str">
        <f>IF(LEN('pH measurement'!C103)&gt;6,RIGHT(LEFT('pH measurement'!C103,11),2),RIGHT((LEFT(C103,4)),2))</f>
        <v>FS</v>
      </c>
      <c r="E103" t="str">
        <f>IF(LEN('pH measurement'!$C103)&gt;6,LEFT(C103,2),1)</f>
        <v>10</v>
      </c>
      <c r="F103" t="str">
        <f>IF(LEN('pH measurement'!$C103)&gt;6,RIGHT(LEFT('pH measurement'!$C103,9),1),RIGHT(C103,1))</f>
        <v>1</v>
      </c>
      <c r="G103">
        <v>5.81</v>
      </c>
    </row>
    <row r="104" spans="1:7" x14ac:dyDescent="0.3">
      <c r="A104">
        <v>84</v>
      </c>
      <c r="B104">
        <v>169</v>
      </c>
      <c r="C104" t="str">
        <f>VLOOKUP(B104,Hoja2!A$2:B$872,2,FALSE)</f>
        <v>10-P3S3C4FS</v>
      </c>
      <c r="D104" t="str">
        <f>IF(LEN('pH measurement'!C104)&gt;6,RIGHT(LEFT('pH measurement'!C104,11),2),RIGHT((LEFT(C104,4)),2))</f>
        <v>FS</v>
      </c>
      <c r="E104" t="str">
        <f>IF(LEN('pH measurement'!$C104)&gt;6,LEFT(C104,2),1)</f>
        <v>10</v>
      </c>
      <c r="F104" t="str">
        <f>IF(LEN('pH measurement'!$C104)&gt;6,RIGHT(LEFT('pH measurement'!$C104,9),1),RIGHT(C104,1))</f>
        <v>4</v>
      </c>
      <c r="G104">
        <v>4.22</v>
      </c>
    </row>
    <row r="105" spans="1:7" x14ac:dyDescent="0.3">
      <c r="A105">
        <v>85</v>
      </c>
      <c r="B105">
        <v>192</v>
      </c>
      <c r="C105" t="str">
        <f>VLOOKUP(B105,Hoja2!A$2:B$872,2,FALSE)</f>
        <v>10-P3S5C2FS</v>
      </c>
      <c r="D105" t="str">
        <f>IF(LEN('pH measurement'!C105)&gt;6,RIGHT(LEFT('pH measurement'!C105,11),2),RIGHT((LEFT(C105,4)),2))</f>
        <v>FS</v>
      </c>
      <c r="E105" t="str">
        <f>IF(LEN('pH measurement'!$C105)&gt;6,LEFT(C105,2),1)</f>
        <v>10</v>
      </c>
      <c r="F105" t="str">
        <f>IF(LEN('pH measurement'!$C105)&gt;6,RIGHT(LEFT('pH measurement'!$C105,9),1),RIGHT(C105,1))</f>
        <v>2</v>
      </c>
      <c r="G105">
        <v>5.3</v>
      </c>
    </row>
    <row r="106" spans="1:7" x14ac:dyDescent="0.3">
      <c r="A106">
        <v>86</v>
      </c>
      <c r="B106">
        <v>1044</v>
      </c>
      <c r="C106" t="str">
        <f>VLOOKUP(B106,Hoja2!A$2:B$872,2,FALSE)</f>
        <v>64AA2</v>
      </c>
      <c r="D106" t="str">
        <f>IF(LEN('pH measurement'!C106)&gt;6,RIGHT(LEFT('pH measurement'!C106,11),2),RIGHT((LEFT(C106,4)),2))</f>
        <v>AA</v>
      </c>
      <c r="E106">
        <f>IF(LEN('pH measurement'!$C106)&gt;6,LEFT(C106,2),1)</f>
        <v>1</v>
      </c>
      <c r="F106" t="str">
        <f>IF(LEN('pH measurement'!$C106)&gt;6,RIGHT(LEFT('pH measurement'!$C106,9),1),RIGHT(C106,1))</f>
        <v>2</v>
      </c>
      <c r="G106">
        <v>5.45</v>
      </c>
    </row>
    <row r="107" spans="1:7" x14ac:dyDescent="0.3">
      <c r="A107">
        <v>87</v>
      </c>
      <c r="B107">
        <v>389</v>
      </c>
      <c r="C107" t="str">
        <f>VLOOKUP(B107,Hoja2!A$2:B$872,2,FALSE)</f>
        <v>10-P6S4C4AA -b</v>
      </c>
      <c r="D107" t="str">
        <f>IF(LEN('pH measurement'!C107)&gt;6,RIGHT(LEFT('pH measurement'!C107,11),2),RIGHT((LEFT(C107,4)),2))</f>
        <v>AA</v>
      </c>
      <c r="E107" t="str">
        <f>IF(LEN('pH measurement'!$C107)&gt;6,LEFT(C107,2),1)</f>
        <v>10</v>
      </c>
      <c r="F107" t="str">
        <f>IF(LEN('pH measurement'!$C107)&gt;6,RIGHT(LEFT('pH measurement'!$C107,9),1),RIGHT(C107,1))</f>
        <v>4</v>
      </c>
      <c r="G107">
        <v>3.67</v>
      </c>
    </row>
    <row r="108" spans="1:7" x14ac:dyDescent="0.3">
      <c r="A108">
        <v>88</v>
      </c>
      <c r="B108">
        <v>143</v>
      </c>
      <c r="C108" t="str">
        <f>VLOOKUP(B108,Hoja2!A$2:B$872,2,FALSE)</f>
        <v>10-P3S1C1FS</v>
      </c>
      <c r="D108" t="str">
        <f>IF(LEN('pH measurement'!C108)&gt;6,RIGHT(LEFT('pH measurement'!C108,11),2),RIGHT((LEFT(C108,4)),2))</f>
        <v>FS</v>
      </c>
      <c r="E108" t="str">
        <f>IF(LEN('pH measurement'!$C108)&gt;6,LEFT(C108,2),1)</f>
        <v>10</v>
      </c>
      <c r="F108" t="str">
        <f>IF(LEN('pH measurement'!$C108)&gt;6,RIGHT(LEFT('pH measurement'!$C108,9),1),RIGHT(C108,1))</f>
        <v>1</v>
      </c>
      <c r="G108">
        <v>5.19</v>
      </c>
    </row>
    <row r="109" spans="1:7" x14ac:dyDescent="0.3">
      <c r="A109">
        <v>89</v>
      </c>
      <c r="B109">
        <v>388</v>
      </c>
      <c r="C109" t="str">
        <f>VLOOKUP(B109,Hoja2!A$2:B$872,2,FALSE)</f>
        <v>10-P6S4C4AA</v>
      </c>
      <c r="D109" t="str">
        <f>IF(LEN('pH measurement'!C109)&gt;6,RIGHT(LEFT('pH measurement'!C109,11),2),RIGHT((LEFT(C109,4)),2))</f>
        <v>AA</v>
      </c>
      <c r="E109" t="str">
        <f>IF(LEN('pH measurement'!$C109)&gt;6,LEFT(C109,2),1)</f>
        <v>10</v>
      </c>
      <c r="F109" t="str">
        <f>IF(LEN('pH measurement'!$C109)&gt;6,RIGHT(LEFT('pH measurement'!$C109,9),1),RIGHT(C109,1))</f>
        <v>4</v>
      </c>
      <c r="G109">
        <v>3.98</v>
      </c>
    </row>
    <row r="110" spans="1:7" x14ac:dyDescent="0.3">
      <c r="A110">
        <v>90</v>
      </c>
      <c r="B110">
        <v>387</v>
      </c>
      <c r="C110" t="str">
        <f>VLOOKUP(B110,Hoja2!A$2:B$872,2,FALSE)</f>
        <v>10-P6S4C2AA -b</v>
      </c>
      <c r="D110" t="str">
        <f>IF(LEN('pH measurement'!C110)&gt;6,RIGHT(LEFT('pH measurement'!C110,11),2),RIGHT((LEFT(C110,4)),2))</f>
        <v>AA</v>
      </c>
      <c r="E110" t="str">
        <f>IF(LEN('pH measurement'!$C110)&gt;6,LEFT(C110,2),1)</f>
        <v>10</v>
      </c>
      <c r="F110" t="str">
        <f>IF(LEN('pH measurement'!$C110)&gt;6,RIGHT(LEFT('pH measurement'!$C110,9),1),RIGHT(C110,1))</f>
        <v>2</v>
      </c>
      <c r="G110">
        <v>5.8</v>
      </c>
    </row>
    <row r="111" spans="1:7" x14ac:dyDescent="0.3">
      <c r="A111">
        <v>91</v>
      </c>
      <c r="B111">
        <v>165</v>
      </c>
      <c r="C111" t="str">
        <f>VLOOKUP(B111,Hoja2!A$2:B$872,2,FALSE)</f>
        <v>10-P3S3C2AA</v>
      </c>
      <c r="D111" t="str">
        <f>IF(LEN('pH measurement'!C111)&gt;6,RIGHT(LEFT('pH measurement'!C111,11),2),RIGHT((LEFT(C111,4)),2))</f>
        <v>AA</v>
      </c>
      <c r="E111" t="str">
        <f>IF(LEN('pH measurement'!$C111)&gt;6,LEFT(C111,2),1)</f>
        <v>10</v>
      </c>
      <c r="F111" t="str">
        <f>IF(LEN('pH measurement'!$C111)&gt;6,RIGHT(LEFT('pH measurement'!$C111,9),1),RIGHT(C111,1))</f>
        <v>2</v>
      </c>
      <c r="G111">
        <v>5.76</v>
      </c>
    </row>
    <row r="112" spans="1:7" x14ac:dyDescent="0.3">
      <c r="A112">
        <v>1</v>
      </c>
      <c r="G112">
        <v>4.8600000000000003</v>
      </c>
    </row>
    <row r="113" spans="1:7" x14ac:dyDescent="0.3">
      <c r="A113">
        <v>1</v>
      </c>
      <c r="G113">
        <v>4.93</v>
      </c>
    </row>
    <row r="114" spans="1:7" x14ac:dyDescent="0.3">
      <c r="A114">
        <v>1</v>
      </c>
      <c r="G114">
        <v>4.93</v>
      </c>
    </row>
    <row r="115" spans="1:7" x14ac:dyDescent="0.3">
      <c r="A115">
        <v>1</v>
      </c>
      <c r="G115">
        <v>4.93</v>
      </c>
    </row>
  </sheetData>
  <mergeCells count="8">
    <mergeCell ref="A12:C12"/>
    <mergeCell ref="D12:F12"/>
    <mergeCell ref="G12:I12"/>
    <mergeCell ref="A1:I1"/>
    <mergeCell ref="A2:C2"/>
    <mergeCell ref="D2:F2"/>
    <mergeCell ref="G2:I2"/>
    <mergeCell ref="A11:I11"/>
  </mergeCells>
  <conditionalFormatting sqref="E20:G20">
    <cfRule type="cellIs" dxfId="8" priority="1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7A66-D793-4750-B5E1-9D2A7746FFF5}">
  <dimension ref="A3:N33"/>
  <sheetViews>
    <sheetView tabSelected="1" topLeftCell="D5" workbookViewId="0">
      <selection activeCell="O15" sqref="O15"/>
    </sheetView>
  </sheetViews>
  <sheetFormatPr baseColWidth="10" defaultRowHeight="14.4" x14ac:dyDescent="0.3"/>
  <cols>
    <col min="1" max="1" width="16.5546875" bestFit="1" customWidth="1"/>
    <col min="2" max="2" width="14.5546875" bestFit="1" customWidth="1"/>
    <col min="3" max="3" width="12.77734375" bestFit="1" customWidth="1"/>
    <col min="4" max="4" width="14.5546875" bestFit="1" customWidth="1"/>
    <col min="5" max="5" width="12.77734375" bestFit="1" customWidth="1"/>
    <col min="6" max="6" width="14.5546875" bestFit="1" customWidth="1"/>
    <col min="7" max="7" width="12.77734375" bestFit="1" customWidth="1"/>
    <col min="8" max="8" width="19.33203125" bestFit="1" customWidth="1"/>
    <col min="9" max="9" width="17.5546875" bestFit="1" customWidth="1"/>
  </cols>
  <sheetData>
    <row r="3" spans="1:14" ht="15" thickBot="1" x14ac:dyDescent="0.35">
      <c r="A3" s="92" t="s">
        <v>961</v>
      </c>
      <c r="B3" t="s">
        <v>993</v>
      </c>
      <c r="C3" t="s">
        <v>994</v>
      </c>
    </row>
    <row r="4" spans="1:14" ht="15" thickBot="1" x14ac:dyDescent="0.35">
      <c r="A4" s="93" t="s">
        <v>963</v>
      </c>
      <c r="B4" s="91">
        <v>5.124568181818181</v>
      </c>
      <c r="C4" s="91">
        <v>0.73546477624940698</v>
      </c>
      <c r="F4" s="116" t="s">
        <v>983</v>
      </c>
      <c r="G4" s="117"/>
      <c r="H4" s="117"/>
      <c r="I4" s="117"/>
      <c r="J4" s="117"/>
      <c r="K4" s="117"/>
      <c r="L4" s="117"/>
      <c r="M4" s="117"/>
      <c r="N4" s="118"/>
    </row>
    <row r="5" spans="1:14" x14ac:dyDescent="0.3">
      <c r="A5" s="94">
        <v>1</v>
      </c>
      <c r="B5" s="91">
        <v>5.17</v>
      </c>
      <c r="C5" s="91">
        <v>0.38011276522331039</v>
      </c>
      <c r="F5" s="113">
        <v>1</v>
      </c>
      <c r="G5" s="114"/>
      <c r="H5" s="115"/>
      <c r="I5" s="113">
        <v>10</v>
      </c>
      <c r="J5" s="114"/>
      <c r="K5" s="115"/>
      <c r="L5" s="113">
        <v>25</v>
      </c>
      <c r="M5" s="114"/>
      <c r="N5" s="115"/>
    </row>
    <row r="6" spans="1:14" ht="15" thickBot="1" x14ac:dyDescent="0.35">
      <c r="A6" s="104" t="s">
        <v>965</v>
      </c>
      <c r="B6" s="91">
        <v>5.1760000000000002</v>
      </c>
      <c r="C6" s="91">
        <v>0.35146834850381958</v>
      </c>
      <c r="F6" s="99">
        <v>1</v>
      </c>
      <c r="G6" s="59">
        <v>2</v>
      </c>
      <c r="H6" s="60">
        <v>4</v>
      </c>
      <c r="I6" s="99">
        <v>1</v>
      </c>
      <c r="J6" s="59">
        <v>2</v>
      </c>
      <c r="K6" s="60">
        <v>4</v>
      </c>
      <c r="L6" s="99">
        <v>1</v>
      </c>
      <c r="M6" s="59">
        <v>2</v>
      </c>
      <c r="N6" s="60">
        <v>4</v>
      </c>
    </row>
    <row r="7" spans="1:14" x14ac:dyDescent="0.3">
      <c r="A7" s="104" t="s">
        <v>966</v>
      </c>
      <c r="B7" s="91">
        <v>5.4919999999999991</v>
      </c>
      <c r="C7" s="91">
        <v>0.29693433617553427</v>
      </c>
      <c r="E7" s="108" t="s">
        <v>995</v>
      </c>
      <c r="F7" s="109">
        <v>5.1760000000000002</v>
      </c>
      <c r="G7" s="110">
        <v>5.4919999999999991</v>
      </c>
      <c r="H7" s="110">
        <v>4.8420000000000005</v>
      </c>
      <c r="I7" s="110">
        <v>5.6579999999999995</v>
      </c>
      <c r="J7" s="110">
        <v>5.9602000000000004</v>
      </c>
      <c r="K7" s="110">
        <v>4.3620000000000001</v>
      </c>
      <c r="L7" s="110">
        <v>5.585</v>
      </c>
      <c r="M7" s="110">
        <v>5.3259999999999996</v>
      </c>
      <c r="N7" s="111">
        <v>3.8120000000000003</v>
      </c>
    </row>
    <row r="8" spans="1:14" x14ac:dyDescent="0.3">
      <c r="A8" s="104" t="s">
        <v>967</v>
      </c>
      <c r="B8" s="91">
        <v>4.8420000000000005</v>
      </c>
      <c r="C8" s="91">
        <v>0.17282939564785416</v>
      </c>
      <c r="E8" s="99" t="s">
        <v>996</v>
      </c>
      <c r="F8" s="105">
        <v>0.35146834850381958</v>
      </c>
      <c r="G8" s="106">
        <v>0.29693433617553427</v>
      </c>
      <c r="H8" s="106">
        <v>0.17282939564785416</v>
      </c>
      <c r="I8" s="106">
        <v>0.24539763650043789</v>
      </c>
      <c r="J8" s="106">
        <v>0.16918983420995884</v>
      </c>
      <c r="K8" s="106">
        <v>0.74065511542147711</v>
      </c>
      <c r="L8" s="106">
        <v>0.30859898466023905</v>
      </c>
      <c r="M8" s="106">
        <v>0.41385987966943094</v>
      </c>
      <c r="N8" s="107">
        <v>0.22253089673120452</v>
      </c>
    </row>
    <row r="9" spans="1:14" ht="15" thickBot="1" x14ac:dyDescent="0.35">
      <c r="A9" s="94" t="s">
        <v>991</v>
      </c>
      <c r="B9" s="91">
        <v>5.3267333333333324</v>
      </c>
      <c r="C9" s="91">
        <v>0.83487813196783767</v>
      </c>
      <c r="E9" s="101" t="s">
        <v>997</v>
      </c>
      <c r="F9" s="101">
        <f>F8/SQRT(5)</f>
        <v>0.15718142383882541</v>
      </c>
      <c r="G9" s="61">
        <f t="shared" ref="G9:N9" si="0">G8/SQRT(5)</f>
        <v>0.1327930721084539</v>
      </c>
      <c r="H9" s="61">
        <f t="shared" si="0"/>
        <v>7.7291655435761636E-2</v>
      </c>
      <c r="I9" s="61">
        <f t="shared" si="0"/>
        <v>0.10974515934655253</v>
      </c>
      <c r="J9" s="61">
        <f t="shared" si="0"/>
        <v>7.5663994079077479E-2</v>
      </c>
      <c r="K9" s="61">
        <f t="shared" si="0"/>
        <v>0.33123103719307512</v>
      </c>
      <c r="L9" s="61">
        <f t="shared" si="0"/>
        <v>0.13800966149754187</v>
      </c>
      <c r="M9" s="61">
        <f t="shared" si="0"/>
        <v>0.18508376482014616</v>
      </c>
      <c r="N9" s="62">
        <f t="shared" si="0"/>
        <v>9.95188424369918E-2</v>
      </c>
    </row>
    <row r="10" spans="1:14" ht="15" thickBot="1" x14ac:dyDescent="0.35">
      <c r="A10" s="104" t="s">
        <v>965</v>
      </c>
      <c r="B10" s="91">
        <v>5.6579999999999995</v>
      </c>
      <c r="C10" s="91">
        <v>0.24539763650043789</v>
      </c>
      <c r="F10" s="116" t="s">
        <v>984</v>
      </c>
      <c r="G10" s="117"/>
      <c r="H10" s="117"/>
      <c r="I10" s="117"/>
      <c r="J10" s="117"/>
      <c r="K10" s="117"/>
      <c r="L10" s="117"/>
      <c r="M10" s="117"/>
      <c r="N10" s="118"/>
    </row>
    <row r="11" spans="1:14" x14ac:dyDescent="0.3">
      <c r="A11" s="104" t="s">
        <v>966</v>
      </c>
      <c r="B11" s="91">
        <v>5.9602000000000004</v>
      </c>
      <c r="C11" s="91">
        <v>0.16918983420995884</v>
      </c>
      <c r="F11" s="113">
        <v>1</v>
      </c>
      <c r="G11" s="114"/>
      <c r="H11" s="115"/>
      <c r="I11" s="113">
        <v>10</v>
      </c>
      <c r="J11" s="114"/>
      <c r="K11" s="115"/>
      <c r="L11" s="113">
        <v>25</v>
      </c>
      <c r="M11" s="114"/>
      <c r="N11" s="115"/>
    </row>
    <row r="12" spans="1:14" ht="15" thickBot="1" x14ac:dyDescent="0.35">
      <c r="A12" s="104" t="s">
        <v>967</v>
      </c>
      <c r="B12" s="91">
        <v>4.3620000000000001</v>
      </c>
      <c r="C12" s="91">
        <v>0.74065511542147711</v>
      </c>
      <c r="F12" s="99">
        <v>1</v>
      </c>
      <c r="G12" s="59">
        <v>2</v>
      </c>
      <c r="H12" s="60">
        <v>4</v>
      </c>
      <c r="I12" s="99">
        <v>1</v>
      </c>
      <c r="J12" s="59">
        <v>2</v>
      </c>
      <c r="K12" s="60">
        <v>4</v>
      </c>
      <c r="L12" s="99">
        <v>1</v>
      </c>
      <c r="M12" s="59">
        <v>2</v>
      </c>
      <c r="N12" s="60">
        <v>4</v>
      </c>
    </row>
    <row r="13" spans="1:14" x14ac:dyDescent="0.3">
      <c r="A13" s="94" t="s">
        <v>990</v>
      </c>
      <c r="B13" s="91">
        <v>4.859285714285714</v>
      </c>
      <c r="C13" s="91">
        <v>0.87039747141278057</v>
      </c>
      <c r="E13" s="108" t="s">
        <v>995</v>
      </c>
      <c r="F13" s="109">
        <v>5.2939999999999996</v>
      </c>
      <c r="G13" s="110">
        <v>5.7619999999999996</v>
      </c>
      <c r="H13" s="110">
        <v>5.2700000000000005</v>
      </c>
      <c r="I13" s="110">
        <v>5.6859999999999999</v>
      </c>
      <c r="J13" s="110">
        <v>4.9740000000000002</v>
      </c>
      <c r="K13" s="110">
        <v>4.7179999999999991</v>
      </c>
      <c r="L13" s="110">
        <v>5.7283333333333326</v>
      </c>
      <c r="M13" s="110">
        <v>5.7</v>
      </c>
      <c r="N13" s="111">
        <v>4.8220000000000001</v>
      </c>
    </row>
    <row r="14" spans="1:14" x14ac:dyDescent="0.3">
      <c r="A14" s="104" t="s">
        <v>965</v>
      </c>
      <c r="B14" s="91">
        <v>5.585</v>
      </c>
      <c r="C14" s="91">
        <v>0.30859898466023905</v>
      </c>
      <c r="E14" s="99" t="s">
        <v>996</v>
      </c>
      <c r="F14" s="105">
        <v>0.11126544836564217</v>
      </c>
      <c r="G14" s="106">
        <v>0.12029131306957651</v>
      </c>
      <c r="H14" s="106">
        <v>0.22102036105299103</v>
      </c>
      <c r="I14" s="106">
        <v>0.29099828178186682</v>
      </c>
      <c r="J14" s="106">
        <v>0.33246052397239156</v>
      </c>
      <c r="K14" s="106">
        <v>0.34441254332559817</v>
      </c>
      <c r="L14" s="106">
        <v>0.23155272977591063</v>
      </c>
      <c r="M14" s="106">
        <v>0.5431390245600124</v>
      </c>
      <c r="N14" s="107">
        <v>0.49565108695532684</v>
      </c>
    </row>
    <row r="15" spans="1:14" ht="15" thickBot="1" x14ac:dyDescent="0.35">
      <c r="A15" s="104" t="s">
        <v>966</v>
      </c>
      <c r="B15" s="91">
        <v>5.3259999999999996</v>
      </c>
      <c r="C15" s="91">
        <v>0.41385987966943094</v>
      </c>
      <c r="E15" s="101" t="s">
        <v>997</v>
      </c>
      <c r="F15" s="101">
        <f>F14/SQRT(5)</f>
        <v>4.9759421218513754E-2</v>
      </c>
      <c r="G15" s="61">
        <f t="shared" ref="G15" si="1">G14/SQRT(5)</f>
        <v>5.3795910625256391E-2</v>
      </c>
      <c r="H15" s="61">
        <f t="shared" ref="H15" si="2">H14/SQRT(5)</f>
        <v>9.8843310345206978E-2</v>
      </c>
      <c r="I15" s="61">
        <f t="shared" ref="I15" si="3">I14/SQRT(5)</f>
        <v>0.13013838787997856</v>
      </c>
      <c r="J15" s="61">
        <f t="shared" ref="J15" si="4">J14/SQRT(5)</f>
        <v>0.14868086628749319</v>
      </c>
      <c r="K15" s="61">
        <f t="shared" ref="K15" si="5">K14/SQRT(5)</f>
        <v>0.15402597183592578</v>
      </c>
      <c r="L15" s="61">
        <f t="shared" ref="L15" si="6">L14/SQRT(5)</f>
        <v>0.10355352883091516</v>
      </c>
      <c r="M15" s="61">
        <f t="shared" ref="M15" si="7">M14/SQRT(5)</f>
        <v>0.24289915602982309</v>
      </c>
      <c r="N15" s="62">
        <f t="shared" ref="N15" si="8">N14/SQRT(5)</f>
        <v>0.221661904710754</v>
      </c>
    </row>
    <row r="16" spans="1:14" x14ac:dyDescent="0.3">
      <c r="A16" s="104" t="s">
        <v>967</v>
      </c>
      <c r="B16" s="91">
        <v>3.8120000000000003</v>
      </c>
      <c r="C16" s="91">
        <v>0.22253089673120452</v>
      </c>
    </row>
    <row r="17" spans="1:3" x14ac:dyDescent="0.3">
      <c r="A17" s="93" t="s">
        <v>989</v>
      </c>
      <c r="B17" s="91">
        <v>4.95</v>
      </c>
      <c r="C17" s="91" t="e">
        <v>#DIV/0!</v>
      </c>
    </row>
    <row r="18" spans="1:3" x14ac:dyDescent="0.3">
      <c r="A18" s="94" t="s">
        <v>992</v>
      </c>
      <c r="B18" s="91">
        <v>4.95</v>
      </c>
      <c r="C18" s="91" t="e">
        <v>#DIV/0!</v>
      </c>
    </row>
    <row r="19" spans="1:3" x14ac:dyDescent="0.3">
      <c r="A19" s="104" t="s">
        <v>992</v>
      </c>
      <c r="B19" s="91">
        <v>4.95</v>
      </c>
      <c r="C19" s="91" t="e">
        <v>#DIV/0!</v>
      </c>
    </row>
    <row r="20" spans="1:3" x14ac:dyDescent="0.3">
      <c r="A20" s="93" t="s">
        <v>964</v>
      </c>
      <c r="B20" s="91">
        <v>5.3369565217391299</v>
      </c>
      <c r="C20" s="91">
        <v>0.49466428375533855</v>
      </c>
    </row>
    <row r="21" spans="1:3" x14ac:dyDescent="0.3">
      <c r="A21" s="94">
        <v>1</v>
      </c>
      <c r="B21" s="91">
        <v>5.4420000000000011</v>
      </c>
      <c r="C21" s="91">
        <v>0.27674640273826312</v>
      </c>
    </row>
    <row r="22" spans="1:3" x14ac:dyDescent="0.3">
      <c r="A22" s="104" t="s">
        <v>965</v>
      </c>
      <c r="B22" s="91">
        <v>5.2939999999999996</v>
      </c>
      <c r="C22" s="91">
        <v>0.11126544836564217</v>
      </c>
    </row>
    <row r="23" spans="1:3" x14ac:dyDescent="0.3">
      <c r="A23" s="104" t="s">
        <v>966</v>
      </c>
      <c r="B23" s="91">
        <v>5.7619999999999996</v>
      </c>
      <c r="C23" s="91">
        <v>0.12029131306957651</v>
      </c>
    </row>
    <row r="24" spans="1:3" x14ac:dyDescent="0.3">
      <c r="A24" s="104" t="s">
        <v>967</v>
      </c>
      <c r="B24" s="91">
        <v>5.2700000000000005</v>
      </c>
      <c r="C24" s="91">
        <v>0.22102036105299103</v>
      </c>
    </row>
    <row r="25" spans="1:3" x14ac:dyDescent="0.3">
      <c r="A25" s="94" t="s">
        <v>991</v>
      </c>
      <c r="B25" s="91">
        <v>5.1260000000000003</v>
      </c>
      <c r="C25" s="91">
        <v>0.51900729419591396</v>
      </c>
    </row>
    <row r="26" spans="1:3" x14ac:dyDescent="0.3">
      <c r="A26" s="104" t="s">
        <v>965</v>
      </c>
      <c r="B26" s="91">
        <v>5.6859999999999999</v>
      </c>
      <c r="C26" s="91">
        <v>0.29099828178186682</v>
      </c>
    </row>
    <row r="27" spans="1:3" x14ac:dyDescent="0.3">
      <c r="A27" s="104" t="s">
        <v>966</v>
      </c>
      <c r="B27" s="91">
        <v>4.9740000000000002</v>
      </c>
      <c r="C27" s="91">
        <v>0.33246052397239156</v>
      </c>
    </row>
    <row r="28" spans="1:3" x14ac:dyDescent="0.3">
      <c r="A28" s="104" t="s">
        <v>967</v>
      </c>
      <c r="B28" s="91">
        <v>4.7179999999999991</v>
      </c>
      <c r="C28" s="91">
        <v>0.34441254332559817</v>
      </c>
    </row>
    <row r="29" spans="1:3" x14ac:dyDescent="0.3">
      <c r="A29" s="94" t="s">
        <v>990</v>
      </c>
      <c r="B29" s="91">
        <v>5.4362500000000011</v>
      </c>
      <c r="C29" s="91">
        <v>0.58747907764162077</v>
      </c>
    </row>
    <row r="30" spans="1:3" x14ac:dyDescent="0.3">
      <c r="A30" s="104" t="s">
        <v>965</v>
      </c>
      <c r="B30" s="91">
        <v>5.7283333333333326</v>
      </c>
      <c r="C30" s="91">
        <v>0.23155272977591063</v>
      </c>
    </row>
    <row r="31" spans="1:3" x14ac:dyDescent="0.3">
      <c r="A31" s="104" t="s">
        <v>966</v>
      </c>
      <c r="B31" s="91">
        <v>5.7</v>
      </c>
      <c r="C31" s="91">
        <v>0.5431390245600124</v>
      </c>
    </row>
    <row r="32" spans="1:3" x14ac:dyDescent="0.3">
      <c r="A32" s="104" t="s">
        <v>967</v>
      </c>
      <c r="B32" s="91">
        <v>4.8220000000000001</v>
      </c>
      <c r="C32" s="91">
        <v>0.49565108695532684</v>
      </c>
    </row>
    <row r="33" spans="1:3" x14ac:dyDescent="0.3">
      <c r="A33" s="93" t="s">
        <v>962</v>
      </c>
      <c r="B33" s="91">
        <v>5.2300109890109878</v>
      </c>
      <c r="C33" s="91">
        <v>0.62684360081115165</v>
      </c>
    </row>
  </sheetData>
  <mergeCells count="8">
    <mergeCell ref="F11:H11"/>
    <mergeCell ref="I11:K11"/>
    <mergeCell ref="L11:N11"/>
    <mergeCell ref="F4:N4"/>
    <mergeCell ref="F5:H5"/>
    <mergeCell ref="I5:K5"/>
    <mergeCell ref="L5:N5"/>
    <mergeCell ref="F10:N10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4264-1504-4350-92B3-306AC316A9D4}">
  <dimension ref="A1:AD231"/>
  <sheetViews>
    <sheetView topLeftCell="H59" zoomScale="85" zoomScaleNormal="85" workbookViewId="0">
      <selection activeCell="M127" sqref="M127"/>
    </sheetView>
  </sheetViews>
  <sheetFormatPr baseColWidth="10" defaultColWidth="11.44140625" defaultRowHeight="14.4" x14ac:dyDescent="0.3"/>
  <cols>
    <col min="3" max="4" width="12" bestFit="1" customWidth="1"/>
    <col min="5" max="5" width="21.44140625" customWidth="1"/>
    <col min="6" max="6" width="19.5546875" customWidth="1"/>
    <col min="7" max="7" width="23.44140625" customWidth="1"/>
    <col min="8" max="8" width="22.88671875" customWidth="1"/>
    <col min="9" max="9" width="17.109375" customWidth="1"/>
    <col min="10" max="10" width="17.5546875" customWidth="1"/>
    <col min="11" max="11" width="12" customWidth="1"/>
    <col min="12" max="12" width="19.88671875" customWidth="1"/>
  </cols>
  <sheetData>
    <row r="1" spans="1:30" x14ac:dyDescent="0.3">
      <c r="A1" s="4" t="s">
        <v>23</v>
      </c>
      <c r="P1" s="5" t="s">
        <v>25</v>
      </c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x14ac:dyDescent="0.3">
      <c r="A2" s="4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P2" s="7" t="s">
        <v>26</v>
      </c>
      <c r="Q2" s="7">
        <v>23.3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3">
      <c r="A3" s="4" t="s">
        <v>12</v>
      </c>
      <c r="B3" s="119">
        <v>162</v>
      </c>
      <c r="C3" s="119"/>
      <c r="D3" s="119"/>
      <c r="E3" s="119">
        <v>150</v>
      </c>
      <c r="F3" s="119"/>
      <c r="G3" s="119"/>
      <c r="H3" s="119">
        <v>1023</v>
      </c>
      <c r="I3" s="119"/>
      <c r="J3" s="119"/>
      <c r="K3" s="119" t="s">
        <v>20</v>
      </c>
      <c r="L3" s="119"/>
      <c r="M3" s="119"/>
      <c r="P3" s="7"/>
      <c r="Q3" s="8"/>
      <c r="R3" s="9">
        <v>1</v>
      </c>
      <c r="S3" s="9">
        <v>2</v>
      </c>
      <c r="T3" s="9">
        <v>3</v>
      </c>
      <c r="U3" s="9">
        <v>4</v>
      </c>
      <c r="V3" s="9">
        <v>5</v>
      </c>
      <c r="W3" s="9">
        <v>6</v>
      </c>
      <c r="X3" s="9">
        <v>7</v>
      </c>
      <c r="Y3" s="9">
        <v>8</v>
      </c>
      <c r="Z3" s="9">
        <v>9</v>
      </c>
      <c r="AA3" s="9">
        <v>10</v>
      </c>
      <c r="AB3" s="9">
        <v>11</v>
      </c>
      <c r="AC3" s="9">
        <v>12</v>
      </c>
      <c r="AD3" s="7"/>
    </row>
    <row r="4" spans="1:30" x14ac:dyDescent="0.3">
      <c r="A4" s="4" t="s">
        <v>13</v>
      </c>
      <c r="B4" s="119">
        <v>1070</v>
      </c>
      <c r="C4" s="119"/>
      <c r="D4" s="119"/>
      <c r="E4" s="119">
        <v>125</v>
      </c>
      <c r="F4" s="119"/>
      <c r="G4" s="119"/>
      <c r="H4" s="119">
        <v>1089</v>
      </c>
      <c r="I4" s="119"/>
      <c r="J4" s="119"/>
      <c r="K4" s="119">
        <v>176</v>
      </c>
      <c r="L4" s="119"/>
      <c r="M4" s="119"/>
      <c r="P4" s="7"/>
      <c r="Q4" s="122" t="s">
        <v>12</v>
      </c>
      <c r="R4" s="10">
        <v>0.996</v>
      </c>
      <c r="S4" s="10">
        <v>0.96599999999999997</v>
      </c>
      <c r="T4" s="10">
        <v>0.97699999999999998</v>
      </c>
      <c r="U4" s="11">
        <v>0.91</v>
      </c>
      <c r="V4" s="11">
        <v>0.91400000000000003</v>
      </c>
      <c r="W4" s="10">
        <v>0.95299999999999996</v>
      </c>
      <c r="X4" s="12">
        <v>1.151</v>
      </c>
      <c r="Y4" s="12">
        <v>1.181</v>
      </c>
      <c r="Z4" s="12">
        <v>1.2170000000000001</v>
      </c>
      <c r="AA4" s="13">
        <v>0.24</v>
      </c>
      <c r="AB4" s="13">
        <v>0.23400000000000001</v>
      </c>
      <c r="AC4" s="13">
        <v>0.245</v>
      </c>
      <c r="AD4" s="14">
        <v>205</v>
      </c>
    </row>
    <row r="5" spans="1:30" x14ac:dyDescent="0.3">
      <c r="A5" s="4" t="s">
        <v>14</v>
      </c>
      <c r="B5" s="119">
        <v>171</v>
      </c>
      <c r="C5" s="119"/>
      <c r="D5" s="119"/>
      <c r="E5" s="119">
        <v>1019</v>
      </c>
      <c r="F5" s="119"/>
      <c r="G5" s="119"/>
      <c r="H5" s="119">
        <v>1032</v>
      </c>
      <c r="I5" s="119"/>
      <c r="J5" s="119"/>
      <c r="K5" s="119">
        <v>146</v>
      </c>
      <c r="L5" s="119"/>
      <c r="M5" s="119"/>
      <c r="P5" s="7"/>
      <c r="Q5" s="123"/>
      <c r="R5" s="15">
        <v>0.75700000000000001</v>
      </c>
      <c r="S5" s="15">
        <v>0.72699999999999998</v>
      </c>
      <c r="T5" s="15">
        <v>0.73699999999999999</v>
      </c>
      <c r="U5" s="16">
        <v>0.67</v>
      </c>
      <c r="V5" s="16">
        <v>0.67500000000000004</v>
      </c>
      <c r="W5" s="15">
        <v>0.71399999999999997</v>
      </c>
      <c r="X5" s="17">
        <v>0.91100000000000003</v>
      </c>
      <c r="Y5" s="17">
        <v>0.94099999999999995</v>
      </c>
      <c r="Z5" s="17">
        <v>0.97699999999999998</v>
      </c>
      <c r="AA5" s="18">
        <v>1E-3</v>
      </c>
      <c r="AB5" s="18">
        <v>-6.0000000000000001E-3</v>
      </c>
      <c r="AC5" s="18">
        <v>5.0000000000000001E-3</v>
      </c>
      <c r="AD5" s="14" t="s">
        <v>27</v>
      </c>
    </row>
    <row r="6" spans="1:30" x14ac:dyDescent="0.3">
      <c r="A6" s="4" t="s">
        <v>15</v>
      </c>
      <c r="B6" s="119">
        <v>1086</v>
      </c>
      <c r="C6" s="119"/>
      <c r="D6" s="119"/>
      <c r="E6" s="119">
        <v>1055</v>
      </c>
      <c r="F6" s="119"/>
      <c r="G6" s="119"/>
      <c r="H6" s="119">
        <v>189</v>
      </c>
      <c r="I6" s="119"/>
      <c r="J6" s="119"/>
      <c r="K6" s="119" t="s">
        <v>21</v>
      </c>
      <c r="L6" s="119"/>
      <c r="M6" s="119"/>
      <c r="P6" s="7"/>
      <c r="Q6" s="122" t="s">
        <v>13</v>
      </c>
      <c r="R6" s="19">
        <v>1.0980000000000001</v>
      </c>
      <c r="S6" s="12">
        <v>1.1659999999999999</v>
      </c>
      <c r="T6" s="19">
        <v>1.1220000000000001</v>
      </c>
      <c r="U6" s="10">
        <v>0.94599999999999995</v>
      </c>
      <c r="V6" s="10">
        <v>0.95199999999999996</v>
      </c>
      <c r="W6" s="10">
        <v>0.96799999999999997</v>
      </c>
      <c r="X6" s="20">
        <v>1.04</v>
      </c>
      <c r="Y6" s="19">
        <v>1.079</v>
      </c>
      <c r="Z6" s="20">
        <v>1.0680000000000001</v>
      </c>
      <c r="AA6" s="10">
        <v>0.94299999999999995</v>
      </c>
      <c r="AB6" s="21">
        <v>0.48299999999999998</v>
      </c>
      <c r="AC6" s="21">
        <v>0.48599999999999999</v>
      </c>
      <c r="AD6" s="14">
        <v>205</v>
      </c>
    </row>
    <row r="7" spans="1:30" x14ac:dyDescent="0.3">
      <c r="A7" s="4" t="s">
        <v>16</v>
      </c>
      <c r="B7" s="119">
        <v>1047</v>
      </c>
      <c r="C7" s="119"/>
      <c r="D7" s="119"/>
      <c r="E7" s="119">
        <v>708</v>
      </c>
      <c r="F7" s="119"/>
      <c r="G7" s="119"/>
      <c r="H7" s="119" t="s">
        <v>22</v>
      </c>
      <c r="I7" s="119"/>
      <c r="J7" s="119"/>
      <c r="K7" s="119">
        <v>1007</v>
      </c>
      <c r="L7" s="119"/>
      <c r="M7" s="119"/>
      <c r="P7" s="7"/>
      <c r="Q7" s="123"/>
      <c r="R7" s="22">
        <v>0.85899999999999999</v>
      </c>
      <c r="S7" s="17">
        <v>0.92700000000000005</v>
      </c>
      <c r="T7" s="22">
        <v>0.88300000000000001</v>
      </c>
      <c r="U7" s="15">
        <v>0.70699999999999996</v>
      </c>
      <c r="V7" s="15">
        <v>0.71199999999999997</v>
      </c>
      <c r="W7" s="15">
        <v>0.72799999999999998</v>
      </c>
      <c r="X7" s="23">
        <v>0.80100000000000005</v>
      </c>
      <c r="Y7" s="22">
        <v>0.83899999999999997</v>
      </c>
      <c r="Z7" s="23">
        <v>0.82799999999999996</v>
      </c>
      <c r="AA7" s="15">
        <v>0.70399999999999996</v>
      </c>
      <c r="AB7" s="24">
        <v>0.24299999999999999</v>
      </c>
      <c r="AC7" s="24">
        <v>0.247</v>
      </c>
      <c r="AD7" s="14" t="s">
        <v>27</v>
      </c>
    </row>
    <row r="8" spans="1:30" x14ac:dyDescent="0.3">
      <c r="A8" s="4" t="s">
        <v>17</v>
      </c>
      <c r="B8" s="119">
        <v>149</v>
      </c>
      <c r="C8" s="119"/>
      <c r="D8" s="119"/>
      <c r="E8" s="119">
        <v>1027</v>
      </c>
      <c r="F8" s="119"/>
      <c r="G8" s="119"/>
      <c r="H8" s="119">
        <v>1063</v>
      </c>
      <c r="I8" s="119"/>
      <c r="J8" s="119"/>
      <c r="K8" s="119">
        <v>1025</v>
      </c>
      <c r="L8" s="119"/>
      <c r="M8" s="119"/>
      <c r="P8" s="7"/>
      <c r="Q8" s="122" t="s">
        <v>14</v>
      </c>
      <c r="R8" s="25">
        <v>0.35499999999999998</v>
      </c>
      <c r="S8" s="25">
        <v>0.34399999999999997</v>
      </c>
      <c r="T8" s="25">
        <v>0.36399999999999999</v>
      </c>
      <c r="U8" s="21">
        <v>0.47299999999999998</v>
      </c>
      <c r="V8" s="26">
        <v>0.439</v>
      </c>
      <c r="W8" s="26">
        <v>0.441</v>
      </c>
      <c r="X8" s="26">
        <v>0.40200000000000002</v>
      </c>
      <c r="Y8" s="26">
        <v>0.41899999999999998</v>
      </c>
      <c r="Z8" s="26">
        <v>0.41099999999999998</v>
      </c>
      <c r="AA8" s="26">
        <v>0.39100000000000001</v>
      </c>
      <c r="AB8" s="26">
        <v>0.40899999999999997</v>
      </c>
      <c r="AC8" s="26">
        <v>0.42099999999999999</v>
      </c>
      <c r="AD8" s="14">
        <v>205</v>
      </c>
    </row>
    <row r="9" spans="1:30" x14ac:dyDescent="0.3">
      <c r="A9" s="4" t="s">
        <v>18</v>
      </c>
      <c r="B9" s="119">
        <v>1039</v>
      </c>
      <c r="C9" s="119"/>
      <c r="D9" s="119"/>
      <c r="E9" s="119">
        <v>40</v>
      </c>
      <c r="F9" s="119"/>
      <c r="G9" s="119"/>
      <c r="H9" s="119">
        <v>120</v>
      </c>
      <c r="I9" s="119"/>
      <c r="J9" s="119"/>
      <c r="K9" s="119">
        <v>84</v>
      </c>
      <c r="L9" s="119"/>
      <c r="M9" s="119"/>
      <c r="P9" s="7"/>
      <c r="Q9" s="123"/>
      <c r="R9" s="27">
        <v>0.115</v>
      </c>
      <c r="S9" s="27">
        <v>0.104</v>
      </c>
      <c r="T9" s="27">
        <v>0.124</v>
      </c>
      <c r="U9" s="24">
        <v>0.23300000000000001</v>
      </c>
      <c r="V9" s="28">
        <v>0.19900000000000001</v>
      </c>
      <c r="W9" s="28">
        <v>0.20100000000000001</v>
      </c>
      <c r="X9" s="28">
        <v>0.16200000000000001</v>
      </c>
      <c r="Y9" s="28">
        <v>0.17899999999999999</v>
      </c>
      <c r="Z9" s="28">
        <v>0.17100000000000001</v>
      </c>
      <c r="AA9" s="28">
        <v>0.152</v>
      </c>
      <c r="AB9" s="28">
        <v>0.16900000000000001</v>
      </c>
      <c r="AC9" s="28">
        <v>0.18099999999999999</v>
      </c>
      <c r="AD9" s="14" t="s">
        <v>27</v>
      </c>
    </row>
    <row r="10" spans="1:30" x14ac:dyDescent="0.3">
      <c r="A10" s="4" t="s">
        <v>19</v>
      </c>
      <c r="B10" s="119">
        <v>170</v>
      </c>
      <c r="C10" s="119"/>
      <c r="D10" s="119"/>
      <c r="E10" s="119">
        <v>157</v>
      </c>
      <c r="F10" s="119"/>
      <c r="G10" s="119"/>
      <c r="H10" s="119">
        <v>409</v>
      </c>
      <c r="I10" s="119"/>
      <c r="J10" s="119"/>
      <c r="K10" s="119">
        <v>373</v>
      </c>
      <c r="L10" s="119"/>
      <c r="M10" s="119"/>
      <c r="P10" s="7"/>
      <c r="Q10" s="122" t="s">
        <v>15</v>
      </c>
      <c r="R10" s="25">
        <v>0.36399999999999999</v>
      </c>
      <c r="S10" s="25">
        <v>0.36299999999999999</v>
      </c>
      <c r="T10" s="25">
        <v>0.36</v>
      </c>
      <c r="U10" s="26">
        <v>0.40600000000000003</v>
      </c>
      <c r="V10" s="26">
        <v>0.42199999999999999</v>
      </c>
      <c r="W10" s="26">
        <v>0.42599999999999999</v>
      </c>
      <c r="X10" s="26">
        <v>0.44</v>
      </c>
      <c r="Y10" s="26">
        <v>0.436</v>
      </c>
      <c r="Z10" s="21">
        <v>0.44800000000000001</v>
      </c>
      <c r="AA10" s="11">
        <v>0.90400000000000003</v>
      </c>
      <c r="AB10" s="11">
        <v>0.91600000000000004</v>
      </c>
      <c r="AC10" s="10">
        <v>0.94599999999999995</v>
      </c>
      <c r="AD10" s="14">
        <v>205</v>
      </c>
    </row>
    <row r="11" spans="1:30" x14ac:dyDescent="0.3">
      <c r="A11" s="4"/>
      <c r="P11" s="7"/>
      <c r="Q11" s="123"/>
      <c r="R11" s="27">
        <v>0.124</v>
      </c>
      <c r="S11" s="27">
        <v>0.123</v>
      </c>
      <c r="T11" s="27">
        <v>0.12</v>
      </c>
      <c r="U11" s="28">
        <v>0.16700000000000001</v>
      </c>
      <c r="V11" s="28">
        <v>0.182</v>
      </c>
      <c r="W11" s="28">
        <v>0.187</v>
      </c>
      <c r="X11" s="28">
        <v>0.2</v>
      </c>
      <c r="Y11" s="28">
        <v>0.19700000000000001</v>
      </c>
      <c r="Z11" s="24">
        <v>0.20799999999999999</v>
      </c>
      <c r="AA11" s="16">
        <v>0.66500000000000004</v>
      </c>
      <c r="AB11" s="16">
        <v>0.67600000000000005</v>
      </c>
      <c r="AC11" s="15">
        <v>0.70599999999999996</v>
      </c>
      <c r="AD11" s="14" t="s">
        <v>27</v>
      </c>
    </row>
    <row r="12" spans="1:30" x14ac:dyDescent="0.3">
      <c r="P12" s="7"/>
      <c r="Q12" s="122" t="s">
        <v>16</v>
      </c>
      <c r="R12" s="20">
        <v>1.042</v>
      </c>
      <c r="S12" s="20">
        <v>1.0169999999999999</v>
      </c>
      <c r="T12" s="20">
        <v>1.026</v>
      </c>
      <c r="U12" s="21">
        <v>0.45800000000000002</v>
      </c>
      <c r="V12" s="26">
        <v>0.42299999999999999</v>
      </c>
      <c r="W12" s="21">
        <v>0.497</v>
      </c>
      <c r="X12" s="11">
        <v>0.92700000000000005</v>
      </c>
      <c r="Y12" s="11">
        <v>0.872</v>
      </c>
      <c r="Z12" s="11">
        <v>0.875</v>
      </c>
      <c r="AA12" s="21">
        <v>0.45100000000000001</v>
      </c>
      <c r="AB12" s="21">
        <v>0.50600000000000001</v>
      </c>
      <c r="AC12" s="26">
        <v>0.437</v>
      </c>
      <c r="AD12" s="14">
        <v>205</v>
      </c>
    </row>
    <row r="13" spans="1:30" x14ac:dyDescent="0.3">
      <c r="P13" s="7"/>
      <c r="Q13" s="123"/>
      <c r="R13" s="23">
        <v>0.80200000000000005</v>
      </c>
      <c r="S13" s="23">
        <v>0.77700000000000002</v>
      </c>
      <c r="T13" s="23">
        <v>0.78600000000000003</v>
      </c>
      <c r="U13" s="24">
        <v>0.218</v>
      </c>
      <c r="V13" s="28">
        <v>0.183</v>
      </c>
      <c r="W13" s="24">
        <v>0.25700000000000001</v>
      </c>
      <c r="X13" s="16">
        <v>0.68799999999999994</v>
      </c>
      <c r="Y13" s="16">
        <v>0.63200000000000001</v>
      </c>
      <c r="Z13" s="16">
        <v>0.63500000000000001</v>
      </c>
      <c r="AA13" s="24">
        <v>0.21099999999999999</v>
      </c>
      <c r="AB13" s="24">
        <v>0.26600000000000001</v>
      </c>
      <c r="AC13" s="28">
        <v>0.19800000000000001</v>
      </c>
      <c r="AD13" s="14" t="s">
        <v>27</v>
      </c>
    </row>
    <row r="14" spans="1:30" x14ac:dyDescent="0.3">
      <c r="P14" s="7"/>
      <c r="Q14" s="122" t="s">
        <v>17</v>
      </c>
      <c r="R14" s="29">
        <v>0.76</v>
      </c>
      <c r="S14" s="29">
        <v>0.78</v>
      </c>
      <c r="T14" s="29">
        <v>0.79200000000000004</v>
      </c>
      <c r="U14" s="21">
        <v>0.44800000000000001</v>
      </c>
      <c r="V14" s="26">
        <v>0.44</v>
      </c>
      <c r="W14" s="26">
        <v>0.432</v>
      </c>
      <c r="X14" s="21">
        <v>0.47299999999999998</v>
      </c>
      <c r="Y14" s="21">
        <v>0.47799999999999998</v>
      </c>
      <c r="Z14" s="21">
        <v>0.47799999999999998</v>
      </c>
      <c r="AA14" s="26">
        <v>0.40600000000000003</v>
      </c>
      <c r="AB14" s="26">
        <v>0.38400000000000001</v>
      </c>
      <c r="AC14" s="25">
        <v>0.36699999999999999</v>
      </c>
      <c r="AD14" s="14">
        <v>205</v>
      </c>
    </row>
    <row r="15" spans="1:30" x14ac:dyDescent="0.3">
      <c r="P15" s="7"/>
      <c r="Q15" s="123"/>
      <c r="R15" s="30">
        <v>0.52100000000000002</v>
      </c>
      <c r="S15" s="30">
        <v>0.54</v>
      </c>
      <c r="T15" s="30">
        <v>0.55300000000000005</v>
      </c>
      <c r="U15" s="24">
        <v>0.20799999999999999</v>
      </c>
      <c r="V15" s="28">
        <v>0.2</v>
      </c>
      <c r="W15" s="28">
        <v>0.192</v>
      </c>
      <c r="X15" s="24">
        <v>0.23400000000000001</v>
      </c>
      <c r="Y15" s="24">
        <v>0.23799999999999999</v>
      </c>
      <c r="Z15" s="24">
        <v>0.23899999999999999</v>
      </c>
      <c r="AA15" s="28">
        <v>0.16700000000000001</v>
      </c>
      <c r="AB15" s="28">
        <v>0.14399999999999999</v>
      </c>
      <c r="AC15" s="27">
        <v>0.127</v>
      </c>
      <c r="AD15" s="14" t="s">
        <v>27</v>
      </c>
    </row>
    <row r="16" spans="1:30" x14ac:dyDescent="0.3">
      <c r="B16" t="s">
        <v>28</v>
      </c>
      <c r="P16" s="7"/>
      <c r="Q16" s="122" t="s">
        <v>18</v>
      </c>
      <c r="R16" s="31">
        <v>0.53</v>
      </c>
      <c r="S16" s="31">
        <v>0.51500000000000001</v>
      </c>
      <c r="T16" s="21">
        <v>0.48899999999999999</v>
      </c>
      <c r="U16" s="10">
        <v>0.96399999999999997</v>
      </c>
      <c r="V16" s="10">
        <v>0.96399999999999997</v>
      </c>
      <c r="W16" s="10">
        <v>0.99099999999999999</v>
      </c>
      <c r="X16" s="20">
        <v>1.0349999999999999</v>
      </c>
      <c r="Y16" s="20">
        <v>1.0389999999999999</v>
      </c>
      <c r="Z16" s="20">
        <v>1.0620000000000001</v>
      </c>
      <c r="AA16" s="10">
        <v>0.99099999999999999</v>
      </c>
      <c r="AB16" s="10">
        <v>0.97699999999999998</v>
      </c>
      <c r="AC16" s="19">
        <v>1.1240000000000001</v>
      </c>
      <c r="AD16" s="14">
        <v>205</v>
      </c>
    </row>
    <row r="17" spans="1:30" x14ac:dyDescent="0.3">
      <c r="P17" s="7"/>
      <c r="Q17" s="123"/>
      <c r="R17" s="32">
        <v>0.29099999999999998</v>
      </c>
      <c r="S17" s="32">
        <v>0.27600000000000002</v>
      </c>
      <c r="T17" s="24">
        <v>0.249</v>
      </c>
      <c r="U17" s="15">
        <v>0.72399999999999998</v>
      </c>
      <c r="V17" s="15">
        <v>0.72499999999999998</v>
      </c>
      <c r="W17" s="15">
        <v>0.752</v>
      </c>
      <c r="X17" s="23">
        <v>0.79500000000000004</v>
      </c>
      <c r="Y17" s="23">
        <v>0.79900000000000004</v>
      </c>
      <c r="Z17" s="23">
        <v>0.82199999999999995</v>
      </c>
      <c r="AA17" s="15">
        <v>0.751</v>
      </c>
      <c r="AB17" s="15">
        <v>0.73699999999999999</v>
      </c>
      <c r="AC17" s="22">
        <v>0.88500000000000001</v>
      </c>
      <c r="AD17" s="14" t="s">
        <v>27</v>
      </c>
    </row>
    <row r="18" spans="1:30" x14ac:dyDescent="0.3">
      <c r="P18" s="7"/>
      <c r="Q18" s="122" t="s">
        <v>19</v>
      </c>
      <c r="R18" s="26">
        <v>0.39200000000000002</v>
      </c>
      <c r="S18" s="26">
        <v>0.39100000000000001</v>
      </c>
      <c r="T18" s="21">
        <v>0.47299999999999998</v>
      </c>
      <c r="U18" s="19">
        <v>1.1359999999999999</v>
      </c>
      <c r="V18" s="19">
        <v>1.1439999999999999</v>
      </c>
      <c r="W18" s="19">
        <v>1.135</v>
      </c>
      <c r="X18" s="10">
        <v>0.98599999999999999</v>
      </c>
      <c r="Y18" s="10">
        <v>0.98699999999999999</v>
      </c>
      <c r="Z18" s="10">
        <v>0.99399999999999999</v>
      </c>
      <c r="AA18" s="20">
        <v>1.0149999999999999</v>
      </c>
      <c r="AB18" s="20">
        <v>1.0569999999999999</v>
      </c>
      <c r="AC18" s="20">
        <v>1.0349999999999999</v>
      </c>
      <c r="AD18" s="14">
        <v>205</v>
      </c>
    </row>
    <row r="19" spans="1:30" x14ac:dyDescent="0.3">
      <c r="P19" s="7"/>
      <c r="Q19" s="123"/>
      <c r="R19" s="28">
        <v>0.152</v>
      </c>
      <c r="S19" s="28">
        <v>0.151</v>
      </c>
      <c r="T19" s="24">
        <v>0.23300000000000001</v>
      </c>
      <c r="U19" s="22">
        <v>0.89600000000000002</v>
      </c>
      <c r="V19" s="22">
        <v>0.90400000000000003</v>
      </c>
      <c r="W19" s="22">
        <v>0.89500000000000002</v>
      </c>
      <c r="X19" s="15">
        <v>0.746</v>
      </c>
      <c r="Y19" s="15">
        <v>0.748</v>
      </c>
      <c r="Z19" s="15">
        <v>0.755</v>
      </c>
      <c r="AA19" s="23">
        <v>0.77500000000000002</v>
      </c>
      <c r="AB19" s="23">
        <v>0.81699999999999995</v>
      </c>
      <c r="AC19" s="23">
        <v>0.79500000000000004</v>
      </c>
      <c r="AD19" s="14" t="s">
        <v>27</v>
      </c>
    </row>
    <row r="20" spans="1:30" x14ac:dyDescent="0.3">
      <c r="P20" s="7"/>
    </row>
    <row r="22" spans="1:30" x14ac:dyDescent="0.3">
      <c r="A22" s="4" t="s">
        <v>24</v>
      </c>
    </row>
    <row r="23" spans="1:30" x14ac:dyDescent="0.3">
      <c r="A23" s="4"/>
      <c r="B23" s="4">
        <v>1</v>
      </c>
      <c r="C23" s="4">
        <v>2</v>
      </c>
      <c r="D23" s="4">
        <v>3</v>
      </c>
      <c r="E23" s="4">
        <v>4</v>
      </c>
      <c r="F23" s="4">
        <v>5</v>
      </c>
      <c r="G23" s="4">
        <v>6</v>
      </c>
      <c r="H23" s="4">
        <v>7</v>
      </c>
      <c r="I23" s="4">
        <v>8</v>
      </c>
      <c r="J23" s="4">
        <v>9</v>
      </c>
      <c r="K23" s="4">
        <v>10</v>
      </c>
      <c r="L23" s="4">
        <v>11</v>
      </c>
      <c r="M23" s="4">
        <v>12</v>
      </c>
      <c r="Q23" s="33"/>
      <c r="R23" s="34">
        <v>1</v>
      </c>
      <c r="S23" s="34">
        <v>2</v>
      </c>
      <c r="T23" s="34">
        <v>3</v>
      </c>
      <c r="U23" s="34">
        <v>4</v>
      </c>
      <c r="V23" s="34">
        <v>5</v>
      </c>
      <c r="W23" s="34">
        <v>6</v>
      </c>
      <c r="X23" s="34">
        <v>7</v>
      </c>
      <c r="Y23" s="34">
        <v>8</v>
      </c>
      <c r="Z23" s="34">
        <v>9</v>
      </c>
      <c r="AA23" s="34">
        <v>10</v>
      </c>
      <c r="AB23" s="34">
        <v>11</v>
      </c>
      <c r="AC23" s="34">
        <v>12</v>
      </c>
    </row>
    <row r="24" spans="1:30" x14ac:dyDescent="0.3">
      <c r="A24" s="4" t="s">
        <v>12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Q24" s="120" t="s">
        <v>12</v>
      </c>
      <c r="R24" s="35">
        <v>0.29299999999999998</v>
      </c>
      <c r="S24" s="35">
        <v>0.23499999999999999</v>
      </c>
      <c r="T24" s="35">
        <v>0.218</v>
      </c>
      <c r="U24" s="35">
        <v>0.214</v>
      </c>
      <c r="V24" s="35">
        <v>0.216</v>
      </c>
      <c r="W24" s="35">
        <v>0.223</v>
      </c>
      <c r="X24" s="35">
        <v>0.23899999999999999</v>
      </c>
      <c r="Y24" s="35">
        <v>0.22500000000000001</v>
      </c>
      <c r="Z24" s="35">
        <v>0.23100000000000001</v>
      </c>
      <c r="AA24" s="35">
        <v>0.22900000000000001</v>
      </c>
      <c r="AB24" s="35">
        <v>0.22600000000000001</v>
      </c>
      <c r="AC24" s="35">
        <v>0.27</v>
      </c>
      <c r="AD24" s="36">
        <v>205</v>
      </c>
    </row>
    <row r="25" spans="1:30" x14ac:dyDescent="0.3">
      <c r="A25" s="4" t="s">
        <v>13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Q25" s="121"/>
      <c r="R25" s="37">
        <v>6.9000000000000006E-2</v>
      </c>
      <c r="S25" s="37">
        <v>1.0999999999999999E-2</v>
      </c>
      <c r="T25" s="37">
        <v>-6.0000000000000001E-3</v>
      </c>
      <c r="U25" s="37">
        <v>-0.01</v>
      </c>
      <c r="V25" s="37">
        <v>-7.0000000000000001E-3</v>
      </c>
      <c r="W25" s="37">
        <v>-1E-3</v>
      </c>
      <c r="X25" s="37">
        <v>1.6E-2</v>
      </c>
      <c r="Y25" s="37">
        <v>1E-3</v>
      </c>
      <c r="Z25" s="37">
        <v>7.0000000000000001E-3</v>
      </c>
      <c r="AA25" s="37">
        <v>6.0000000000000001E-3</v>
      </c>
      <c r="AB25" s="37">
        <v>3.0000000000000001E-3</v>
      </c>
      <c r="AC25" s="37">
        <v>4.5999999999999999E-2</v>
      </c>
      <c r="AD25" s="36" t="s">
        <v>27</v>
      </c>
    </row>
    <row r="26" spans="1:30" x14ac:dyDescent="0.3">
      <c r="A26" s="4" t="s">
        <v>14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>
        <v>7</v>
      </c>
      <c r="L26" s="119"/>
      <c r="M26" s="119"/>
      <c r="Q26" s="120" t="s">
        <v>13</v>
      </c>
      <c r="R26" s="35">
        <v>0.22500000000000001</v>
      </c>
      <c r="S26" s="35">
        <v>0.22900000000000001</v>
      </c>
      <c r="T26" s="35">
        <v>0.23400000000000001</v>
      </c>
      <c r="U26" s="35">
        <v>0.222</v>
      </c>
      <c r="V26" s="35">
        <v>0.24099999999999999</v>
      </c>
      <c r="W26" s="35">
        <v>0.21199999999999999</v>
      </c>
      <c r="X26" s="35">
        <v>0.223</v>
      </c>
      <c r="Y26" s="35">
        <v>0.22500000000000001</v>
      </c>
      <c r="Z26" s="35">
        <v>0.224</v>
      </c>
      <c r="AA26" s="35">
        <v>0.224</v>
      </c>
      <c r="AB26" s="35">
        <v>0.216</v>
      </c>
      <c r="AC26" s="35">
        <v>0.223</v>
      </c>
      <c r="AD26" s="36">
        <v>205</v>
      </c>
    </row>
    <row r="27" spans="1:30" x14ac:dyDescent="0.3">
      <c r="A27" s="4" t="s">
        <v>15</v>
      </c>
      <c r="B27" s="119" t="s">
        <v>20</v>
      </c>
      <c r="C27" s="119"/>
      <c r="D27" s="119"/>
      <c r="E27" s="119"/>
      <c r="F27" s="119"/>
      <c r="G27" s="119"/>
      <c r="H27" s="119">
        <v>142</v>
      </c>
      <c r="I27" s="119"/>
      <c r="J27" s="119"/>
      <c r="K27" s="119">
        <v>368</v>
      </c>
      <c r="L27" s="119"/>
      <c r="M27" s="119"/>
      <c r="Q27" s="121"/>
      <c r="R27" s="37">
        <v>1E-3</v>
      </c>
      <c r="S27" s="37">
        <v>5.0000000000000001E-3</v>
      </c>
      <c r="T27" s="37">
        <v>1.0999999999999999E-2</v>
      </c>
      <c r="U27" s="37">
        <v>-2E-3</v>
      </c>
      <c r="V27" s="37">
        <v>1.7999999999999999E-2</v>
      </c>
      <c r="W27" s="37">
        <v>-1.0999999999999999E-2</v>
      </c>
      <c r="X27" s="37">
        <v>0</v>
      </c>
      <c r="Y27" s="37">
        <v>1E-3</v>
      </c>
      <c r="Z27" s="37">
        <v>0</v>
      </c>
      <c r="AA27" s="37">
        <v>0</v>
      </c>
      <c r="AB27" s="37">
        <v>-7.0000000000000001E-3</v>
      </c>
      <c r="AC27" s="37">
        <v>-1E-3</v>
      </c>
      <c r="AD27" s="36" t="s">
        <v>27</v>
      </c>
    </row>
    <row r="28" spans="1:30" x14ac:dyDescent="0.3">
      <c r="A28" s="4" t="s">
        <v>16</v>
      </c>
      <c r="B28" s="119">
        <v>1003</v>
      </c>
      <c r="C28" s="119"/>
      <c r="D28" s="119"/>
      <c r="E28" s="119">
        <v>3</v>
      </c>
      <c r="F28" s="119"/>
      <c r="G28" s="119"/>
      <c r="H28" s="119">
        <v>331</v>
      </c>
      <c r="I28" s="119"/>
      <c r="J28" s="119"/>
      <c r="K28" s="119">
        <v>127</v>
      </c>
      <c r="L28" s="119"/>
      <c r="M28" s="119"/>
      <c r="Q28" s="120" t="s">
        <v>14</v>
      </c>
      <c r="R28" s="35">
        <v>0.218</v>
      </c>
      <c r="S28" s="35">
        <v>0.21</v>
      </c>
      <c r="T28" s="35">
        <v>0.218</v>
      </c>
      <c r="U28" s="35">
        <v>0.215</v>
      </c>
      <c r="V28" s="35">
        <v>0.222</v>
      </c>
      <c r="W28" s="35">
        <v>0.217</v>
      </c>
      <c r="X28" s="35">
        <v>0.216</v>
      </c>
      <c r="Y28" s="35">
        <v>0.21</v>
      </c>
      <c r="Z28" s="35">
        <v>0.216</v>
      </c>
      <c r="AA28" s="38">
        <v>0.32700000000000001</v>
      </c>
      <c r="AB28" s="38">
        <v>0.33900000000000002</v>
      </c>
      <c r="AC28" s="38">
        <v>0.32900000000000001</v>
      </c>
      <c r="AD28" s="36">
        <v>205</v>
      </c>
    </row>
    <row r="29" spans="1:30" x14ac:dyDescent="0.3">
      <c r="A29" s="4" t="s">
        <v>17</v>
      </c>
      <c r="B29" s="119">
        <v>362</v>
      </c>
      <c r="C29" s="119"/>
      <c r="D29" s="119"/>
      <c r="E29" s="119">
        <v>385</v>
      </c>
      <c r="F29" s="119"/>
      <c r="G29" s="119"/>
      <c r="H29" s="119">
        <v>118</v>
      </c>
      <c r="I29" s="119"/>
      <c r="J29" s="119"/>
      <c r="K29" s="119">
        <v>1018</v>
      </c>
      <c r="L29" s="119"/>
      <c r="M29" s="119"/>
      <c r="Q29" s="121"/>
      <c r="R29" s="37">
        <v>-6.0000000000000001E-3</v>
      </c>
      <c r="S29" s="37">
        <v>-1.2999999999999999E-2</v>
      </c>
      <c r="T29" s="37">
        <v>-6.0000000000000001E-3</v>
      </c>
      <c r="U29" s="37">
        <v>-8.9999999999999993E-3</v>
      </c>
      <c r="V29" s="37">
        <v>-2E-3</v>
      </c>
      <c r="W29" s="37">
        <v>-7.0000000000000001E-3</v>
      </c>
      <c r="X29" s="37">
        <v>-8.0000000000000002E-3</v>
      </c>
      <c r="Y29" s="37">
        <v>-1.4E-2</v>
      </c>
      <c r="Z29" s="37">
        <v>-8.0000000000000002E-3</v>
      </c>
      <c r="AA29" s="39">
        <v>0.10299999999999999</v>
      </c>
      <c r="AB29" s="39">
        <v>0.115</v>
      </c>
      <c r="AC29" s="39">
        <v>0.105</v>
      </c>
      <c r="AD29" s="36" t="s">
        <v>27</v>
      </c>
    </row>
    <row r="30" spans="1:30" x14ac:dyDescent="0.3">
      <c r="A30" s="4" t="s">
        <v>18</v>
      </c>
      <c r="B30" s="119">
        <v>355</v>
      </c>
      <c r="C30" s="119"/>
      <c r="D30" s="119"/>
      <c r="E30" s="119">
        <v>1048</v>
      </c>
      <c r="F30" s="119"/>
      <c r="G30" s="119"/>
      <c r="H30" s="119">
        <v>396</v>
      </c>
      <c r="I30" s="119"/>
      <c r="J30" s="119"/>
      <c r="K30" s="119">
        <v>324</v>
      </c>
      <c r="L30" s="119"/>
      <c r="M30" s="119"/>
      <c r="Q30" s="120" t="s">
        <v>15</v>
      </c>
      <c r="R30" s="35">
        <v>0.22700000000000001</v>
      </c>
      <c r="S30" s="35">
        <v>0.222</v>
      </c>
      <c r="T30" s="35">
        <v>0.222</v>
      </c>
      <c r="U30" s="35">
        <v>0.221</v>
      </c>
      <c r="V30" s="35">
        <v>0.20799999999999999</v>
      </c>
      <c r="W30" s="35">
        <v>0.217</v>
      </c>
      <c r="X30" s="40">
        <v>0.47899999999999998</v>
      </c>
      <c r="Y30" s="40">
        <v>0.45100000000000001</v>
      </c>
      <c r="Z30" s="40">
        <v>0.44500000000000001</v>
      </c>
      <c r="AA30" s="38">
        <v>0.34899999999999998</v>
      </c>
      <c r="AB30" s="38">
        <v>0.34399999999999997</v>
      </c>
      <c r="AC30" s="38">
        <v>0.34200000000000003</v>
      </c>
      <c r="AD30" s="36">
        <v>205</v>
      </c>
    </row>
    <row r="31" spans="1:30" x14ac:dyDescent="0.3">
      <c r="A31" s="4" t="s">
        <v>19</v>
      </c>
      <c r="B31" s="119">
        <v>344</v>
      </c>
      <c r="C31" s="119"/>
      <c r="D31" s="119"/>
      <c r="E31" s="119">
        <v>75</v>
      </c>
      <c r="F31" s="119"/>
      <c r="G31" s="119"/>
      <c r="H31" s="119">
        <v>326</v>
      </c>
      <c r="I31" s="119"/>
      <c r="J31" s="119"/>
      <c r="K31" s="119">
        <v>361</v>
      </c>
      <c r="L31" s="119"/>
      <c r="M31" s="119"/>
      <c r="Q31" s="121"/>
      <c r="R31" s="37">
        <v>3.0000000000000001E-3</v>
      </c>
      <c r="S31" s="37">
        <v>-2E-3</v>
      </c>
      <c r="T31" s="37">
        <v>-1E-3</v>
      </c>
      <c r="U31" s="37">
        <v>-3.0000000000000001E-3</v>
      </c>
      <c r="V31" s="37">
        <v>-1.4999999999999999E-2</v>
      </c>
      <c r="W31" s="37">
        <v>-7.0000000000000001E-3</v>
      </c>
      <c r="X31" s="41">
        <v>0.255</v>
      </c>
      <c r="Y31" s="41">
        <v>0.22700000000000001</v>
      </c>
      <c r="Z31" s="41">
        <v>0.222</v>
      </c>
      <c r="AA31" s="39">
        <v>0.126</v>
      </c>
      <c r="AB31" s="39">
        <v>0.12</v>
      </c>
      <c r="AC31" s="39">
        <v>0.11799999999999999</v>
      </c>
      <c r="AD31" s="36" t="s">
        <v>27</v>
      </c>
    </row>
    <row r="32" spans="1:30" x14ac:dyDescent="0.3">
      <c r="Q32" s="120" t="s">
        <v>16</v>
      </c>
      <c r="R32" s="40">
        <v>0.45600000000000002</v>
      </c>
      <c r="S32" s="40">
        <v>0.439</v>
      </c>
      <c r="T32" s="40">
        <v>0.42499999999999999</v>
      </c>
      <c r="U32" s="40">
        <v>0.44800000000000001</v>
      </c>
      <c r="V32" s="40">
        <v>0.44600000000000001</v>
      </c>
      <c r="W32" s="40">
        <v>0.45300000000000001</v>
      </c>
      <c r="X32" s="38">
        <v>0.33700000000000002</v>
      </c>
      <c r="Y32" s="38">
        <v>0.33</v>
      </c>
      <c r="Z32" s="38">
        <v>0.32800000000000001</v>
      </c>
      <c r="AA32" s="38">
        <v>0.34399999999999997</v>
      </c>
      <c r="AB32" s="38">
        <v>0.33800000000000002</v>
      </c>
      <c r="AC32" s="38">
        <v>0.34699999999999998</v>
      </c>
      <c r="AD32" s="36">
        <v>205</v>
      </c>
    </row>
    <row r="33" spans="2:30" x14ac:dyDescent="0.3">
      <c r="Q33" s="121"/>
      <c r="R33" s="41">
        <v>0.23200000000000001</v>
      </c>
      <c r="S33" s="41">
        <v>0.216</v>
      </c>
      <c r="T33" s="41">
        <v>0.20100000000000001</v>
      </c>
      <c r="U33" s="41">
        <v>0.224</v>
      </c>
      <c r="V33" s="41">
        <v>0.222</v>
      </c>
      <c r="W33" s="41">
        <v>0.22900000000000001</v>
      </c>
      <c r="X33" s="39">
        <v>0.114</v>
      </c>
      <c r="Y33" s="39">
        <v>0.106</v>
      </c>
      <c r="Z33" s="39">
        <v>0.104</v>
      </c>
      <c r="AA33" s="39">
        <v>0.12</v>
      </c>
      <c r="AB33" s="39">
        <v>0.114</v>
      </c>
      <c r="AC33" s="39">
        <v>0.123</v>
      </c>
      <c r="AD33" s="36" t="s">
        <v>27</v>
      </c>
    </row>
    <row r="34" spans="2:30" x14ac:dyDescent="0.3">
      <c r="Q34" s="120" t="s">
        <v>17</v>
      </c>
      <c r="R34" s="42">
        <v>0.67100000000000004</v>
      </c>
      <c r="S34" s="43">
        <v>0.64100000000000001</v>
      </c>
      <c r="T34" s="43">
        <v>0.64300000000000002</v>
      </c>
      <c r="U34" s="38">
        <v>0.34300000000000003</v>
      </c>
      <c r="V34" s="38">
        <v>0.33200000000000002</v>
      </c>
      <c r="W34" s="38">
        <v>0.34300000000000003</v>
      </c>
      <c r="X34" s="44">
        <v>0.93200000000000005</v>
      </c>
      <c r="Y34" s="44">
        <v>0.91500000000000004</v>
      </c>
      <c r="Z34" s="44">
        <v>0.89</v>
      </c>
      <c r="AA34" s="44">
        <v>0.91</v>
      </c>
      <c r="AB34" s="44">
        <v>0.92500000000000004</v>
      </c>
      <c r="AC34" s="44">
        <v>0.91800000000000004</v>
      </c>
      <c r="AD34" s="36">
        <v>205</v>
      </c>
    </row>
    <row r="35" spans="2:30" x14ac:dyDescent="0.3">
      <c r="Q35" s="121"/>
      <c r="R35" s="45">
        <v>0.44800000000000001</v>
      </c>
      <c r="S35" s="46">
        <v>0.41699999999999998</v>
      </c>
      <c r="T35" s="46">
        <v>0.41899999999999998</v>
      </c>
      <c r="U35" s="39">
        <v>0.11899999999999999</v>
      </c>
      <c r="V35" s="39">
        <v>0.108</v>
      </c>
      <c r="W35" s="39">
        <v>0.11899999999999999</v>
      </c>
      <c r="X35" s="47">
        <v>0.70899999999999996</v>
      </c>
      <c r="Y35" s="47">
        <v>0.69199999999999995</v>
      </c>
      <c r="Z35" s="47">
        <v>0.66600000000000004</v>
      </c>
      <c r="AA35" s="47">
        <v>0.68600000000000005</v>
      </c>
      <c r="AB35" s="47">
        <v>0.70099999999999996</v>
      </c>
      <c r="AC35" s="47">
        <v>0.69399999999999995</v>
      </c>
      <c r="AD35" s="36" t="s">
        <v>27</v>
      </c>
    </row>
    <row r="36" spans="2:30" x14ac:dyDescent="0.3">
      <c r="Q36" s="120" t="s">
        <v>18</v>
      </c>
      <c r="R36" s="48">
        <v>1.4930000000000001</v>
      </c>
      <c r="S36" s="48">
        <v>1.4359999999999999</v>
      </c>
      <c r="T36" s="48">
        <v>1.4179999999999999</v>
      </c>
      <c r="U36" s="49">
        <v>1.073</v>
      </c>
      <c r="V36" s="49">
        <v>1.095</v>
      </c>
      <c r="W36" s="49">
        <v>1.0980000000000001</v>
      </c>
      <c r="X36" s="38">
        <v>0.379</v>
      </c>
      <c r="Y36" s="38">
        <v>0.36299999999999999</v>
      </c>
      <c r="Z36" s="40">
        <v>0.432</v>
      </c>
      <c r="AA36" s="38">
        <v>0.35199999999999998</v>
      </c>
      <c r="AB36" s="38">
        <v>0.373</v>
      </c>
      <c r="AC36" s="38">
        <v>0.36899999999999999</v>
      </c>
      <c r="AD36" s="36">
        <v>205</v>
      </c>
    </row>
    <row r="37" spans="2:30" x14ac:dyDescent="0.3">
      <c r="Q37" s="121"/>
      <c r="R37" s="50">
        <v>1.2689999999999999</v>
      </c>
      <c r="S37" s="50">
        <v>1.2130000000000001</v>
      </c>
      <c r="T37" s="50">
        <v>1.1950000000000001</v>
      </c>
      <c r="U37" s="51">
        <v>0.85</v>
      </c>
      <c r="V37" s="51">
        <v>0.872</v>
      </c>
      <c r="W37" s="51">
        <v>0.874</v>
      </c>
      <c r="X37" s="39">
        <v>0.155</v>
      </c>
      <c r="Y37" s="39">
        <v>0.14000000000000001</v>
      </c>
      <c r="Z37" s="41">
        <v>0.20899999999999999</v>
      </c>
      <c r="AA37" s="39">
        <v>0.128</v>
      </c>
      <c r="AB37" s="39">
        <v>0.14899999999999999</v>
      </c>
      <c r="AC37" s="39">
        <v>0.14599999999999999</v>
      </c>
      <c r="AD37" s="36" t="s">
        <v>27</v>
      </c>
    </row>
    <row r="38" spans="2:30" x14ac:dyDescent="0.3">
      <c r="Q38" s="120" t="s">
        <v>19</v>
      </c>
      <c r="R38" s="52">
        <v>0.83</v>
      </c>
      <c r="S38" s="52">
        <v>0.82299999999999995</v>
      </c>
      <c r="T38" s="52">
        <v>0.82699999999999996</v>
      </c>
      <c r="U38" s="40">
        <v>0.45100000000000001</v>
      </c>
      <c r="V38" s="40">
        <v>0.48</v>
      </c>
      <c r="W38" s="40">
        <v>0.441</v>
      </c>
      <c r="X38" s="53">
        <v>0.57199999999999995</v>
      </c>
      <c r="Y38" s="53">
        <v>0.50700000000000001</v>
      </c>
      <c r="Z38" s="53">
        <v>0.51600000000000001</v>
      </c>
      <c r="AA38" s="38">
        <v>0.35899999999999999</v>
      </c>
      <c r="AB38" s="38">
        <v>0.373</v>
      </c>
      <c r="AC38" s="38">
        <v>0.36599999999999999</v>
      </c>
      <c r="AD38" s="36">
        <v>205</v>
      </c>
    </row>
    <row r="39" spans="2:30" x14ac:dyDescent="0.3">
      <c r="Q39" s="121"/>
      <c r="R39" s="54">
        <v>0.60599999999999998</v>
      </c>
      <c r="S39" s="54">
        <v>0.59899999999999998</v>
      </c>
      <c r="T39" s="54">
        <v>0.60399999999999998</v>
      </c>
      <c r="U39" s="41">
        <v>0.22700000000000001</v>
      </c>
      <c r="V39" s="41">
        <v>0.25700000000000001</v>
      </c>
      <c r="W39" s="41">
        <v>0.217</v>
      </c>
      <c r="X39" s="55">
        <v>0.34799999999999998</v>
      </c>
      <c r="Y39" s="55">
        <v>0.28299999999999997</v>
      </c>
      <c r="Z39" s="55">
        <v>0.29199999999999998</v>
      </c>
      <c r="AA39" s="39">
        <v>0.13600000000000001</v>
      </c>
      <c r="AB39" s="39">
        <v>0.14899999999999999</v>
      </c>
      <c r="AC39" s="39">
        <v>0.14299999999999999</v>
      </c>
      <c r="AD39" s="36" t="s">
        <v>27</v>
      </c>
    </row>
    <row r="40" spans="2:30" ht="15" thickBot="1" x14ac:dyDescent="0.35"/>
    <row r="41" spans="2:30" ht="15" thickBot="1" x14ac:dyDescent="0.35">
      <c r="B41" s="113" t="s">
        <v>34</v>
      </c>
      <c r="C41" s="119">
        <v>162</v>
      </c>
      <c r="D41" s="119"/>
      <c r="E41" s="119"/>
      <c r="F41" s="56">
        <f>AVERAGE(R5:T5)</f>
        <v>0.7403333333333334</v>
      </c>
      <c r="G41" s="3"/>
      <c r="H41" s="3"/>
      <c r="I41" s="114">
        <v>150</v>
      </c>
      <c r="J41" s="114"/>
      <c r="K41" s="114"/>
      <c r="L41" s="56">
        <f>AVERAGE(U5:W5)</f>
        <v>0.68633333333333335</v>
      </c>
      <c r="M41" s="56"/>
      <c r="N41" s="56"/>
      <c r="O41" s="114">
        <v>1023</v>
      </c>
      <c r="P41" s="114"/>
      <c r="Q41" s="114"/>
      <c r="R41" s="56">
        <f>AVERAGE(X5:Z5)</f>
        <v>0.94299999999999995</v>
      </c>
      <c r="S41" s="56"/>
      <c r="T41" s="114" t="s">
        <v>20</v>
      </c>
      <c r="U41" s="114"/>
      <c r="V41" s="114"/>
      <c r="W41" s="57">
        <f>AVERAGE(AA5:AC5)</f>
        <v>0</v>
      </c>
    </row>
    <row r="42" spans="2:30" ht="15" thickBot="1" x14ac:dyDescent="0.35">
      <c r="B42" s="124"/>
      <c r="C42" s="119">
        <v>1070</v>
      </c>
      <c r="D42" s="119"/>
      <c r="E42" s="119"/>
      <c r="F42" s="56">
        <f>AVERAGE(R7:T7)</f>
        <v>0.88966666666666672</v>
      </c>
      <c r="G42" s="3"/>
      <c r="H42" s="3"/>
      <c r="I42" s="112">
        <v>125</v>
      </c>
      <c r="J42" s="112"/>
      <c r="K42" s="112"/>
      <c r="L42" s="56">
        <f>AVERAGE(U7:W7)</f>
        <v>0.71566666666666678</v>
      </c>
      <c r="M42" s="59"/>
      <c r="N42" s="59"/>
      <c r="O42" s="112">
        <v>1089</v>
      </c>
      <c r="P42" s="112"/>
      <c r="Q42" s="112"/>
      <c r="R42" s="56">
        <f>AVERAGE(X7:Z7)</f>
        <v>0.82266666666666666</v>
      </c>
      <c r="S42" s="59"/>
      <c r="T42" s="112">
        <v>176</v>
      </c>
      <c r="U42" s="112"/>
      <c r="V42" s="112"/>
      <c r="W42" s="60">
        <f>AVERAGE(AA7:AC7)</f>
        <v>0.39799999999999996</v>
      </c>
    </row>
    <row r="43" spans="2:30" ht="15" thickBot="1" x14ac:dyDescent="0.35">
      <c r="B43" s="124"/>
      <c r="C43" s="119">
        <v>171</v>
      </c>
      <c r="D43" s="119"/>
      <c r="E43" s="119"/>
      <c r="F43" s="56">
        <f>AVERAGE(R9:T9)</f>
        <v>0.11433333333333333</v>
      </c>
      <c r="G43" s="3"/>
      <c r="H43" s="3"/>
      <c r="I43" s="112">
        <v>1019</v>
      </c>
      <c r="J43" s="112"/>
      <c r="K43" s="112"/>
      <c r="L43" s="56">
        <f>AVERAGE(U9:W9)</f>
        <v>0.21099999999999999</v>
      </c>
      <c r="M43" s="59"/>
      <c r="N43" s="59"/>
      <c r="O43" s="112">
        <v>1032</v>
      </c>
      <c r="P43" s="112"/>
      <c r="Q43" s="112"/>
      <c r="R43" s="56">
        <f>AVERAGE(X9:Z9)</f>
        <v>0.17066666666666666</v>
      </c>
      <c r="S43" s="59"/>
      <c r="T43" s="112">
        <v>146</v>
      </c>
      <c r="U43" s="112"/>
      <c r="V43" s="112"/>
      <c r="W43" s="60">
        <f>AVERAGE(AA9:AC9)</f>
        <v>0.16733333333333333</v>
      </c>
    </row>
    <row r="44" spans="2:30" ht="15" thickBot="1" x14ac:dyDescent="0.35">
      <c r="B44" s="124"/>
      <c r="C44" s="119">
        <v>1086</v>
      </c>
      <c r="D44" s="119"/>
      <c r="E44" s="119"/>
      <c r="F44" s="56">
        <f>AVERAGE(R11:T11)</f>
        <v>0.12233333333333334</v>
      </c>
      <c r="G44" s="3"/>
      <c r="H44" s="3"/>
      <c r="I44" s="112">
        <v>1055</v>
      </c>
      <c r="J44" s="112"/>
      <c r="K44" s="112"/>
      <c r="L44" s="56">
        <f>AVERAGE(U11:W11)</f>
        <v>0.17866666666666667</v>
      </c>
      <c r="M44" s="59"/>
      <c r="N44" s="59"/>
      <c r="O44" s="112">
        <v>189</v>
      </c>
      <c r="P44" s="112"/>
      <c r="Q44" s="112"/>
      <c r="R44" s="56">
        <f>AVERAGE(X11:Z11)</f>
        <v>0.20166666666666666</v>
      </c>
      <c r="S44" s="59"/>
      <c r="T44" s="112" t="s">
        <v>21</v>
      </c>
      <c r="U44" s="112"/>
      <c r="V44" s="112"/>
      <c r="W44" s="60">
        <f>AVERAGE(AA11:AC11)</f>
        <v>0.68233333333333335</v>
      </c>
    </row>
    <row r="45" spans="2:30" ht="15" thickBot="1" x14ac:dyDescent="0.35">
      <c r="B45" s="124"/>
      <c r="C45" s="119">
        <v>1047</v>
      </c>
      <c r="D45" s="119"/>
      <c r="E45" s="119"/>
      <c r="F45" s="56">
        <f>AVERAGE(R13:T13)</f>
        <v>0.78833333333333344</v>
      </c>
      <c r="G45" s="3"/>
      <c r="H45" s="3"/>
      <c r="I45" s="112">
        <v>708</v>
      </c>
      <c r="J45" s="112"/>
      <c r="K45" s="112"/>
      <c r="L45" s="56">
        <f>AVERAGE(U13:W13)</f>
        <v>0.21933333333333335</v>
      </c>
      <c r="M45" s="59"/>
      <c r="N45" s="59"/>
      <c r="O45" s="112" t="s">
        <v>22</v>
      </c>
      <c r="P45" s="112"/>
      <c r="Q45" s="112"/>
      <c r="R45" s="56">
        <f>AVERAGE(X13:Z13)</f>
        <v>0.65166666666666662</v>
      </c>
      <c r="S45" s="59"/>
      <c r="T45" s="112">
        <v>1007</v>
      </c>
      <c r="U45" s="112"/>
      <c r="V45" s="112"/>
      <c r="W45" s="60">
        <f>AVERAGE(AA13:AC13)</f>
        <v>0.22500000000000001</v>
      </c>
    </row>
    <row r="46" spans="2:30" ht="15" thickBot="1" x14ac:dyDescent="0.35">
      <c r="B46" s="124"/>
      <c r="C46" s="119">
        <v>149</v>
      </c>
      <c r="D46" s="119"/>
      <c r="E46" s="119"/>
      <c r="F46" s="56">
        <f>AVERAGE(R15:T15)</f>
        <v>0.53799999999999992</v>
      </c>
      <c r="G46" s="3"/>
      <c r="H46" s="3"/>
      <c r="I46" s="112">
        <v>1027</v>
      </c>
      <c r="J46" s="112"/>
      <c r="K46" s="112"/>
      <c r="L46" s="56">
        <f>AVERAGE(U15:W15)</f>
        <v>0.20000000000000004</v>
      </c>
      <c r="M46" s="59"/>
      <c r="N46" s="59"/>
      <c r="O46" s="112">
        <v>1063</v>
      </c>
      <c r="P46" s="112"/>
      <c r="Q46" s="112"/>
      <c r="R46" s="56">
        <f>AVERAGE(X15:Z15)</f>
        <v>0.23699999999999999</v>
      </c>
      <c r="S46" s="59"/>
      <c r="T46" s="112">
        <v>1025</v>
      </c>
      <c r="U46" s="112"/>
      <c r="V46" s="112"/>
      <c r="W46" s="60">
        <f>AVERAGE(AA15:AC15)</f>
        <v>0.14599999999999999</v>
      </c>
    </row>
    <row r="47" spans="2:30" ht="15" thickBot="1" x14ac:dyDescent="0.35">
      <c r="B47" s="124"/>
      <c r="C47" s="119">
        <v>1039</v>
      </c>
      <c r="D47" s="119"/>
      <c r="E47" s="119"/>
      <c r="F47" s="56">
        <f>AVERAGE(R17:T17)</f>
        <v>0.27199999999999996</v>
      </c>
      <c r="G47" s="3"/>
      <c r="H47" s="3"/>
      <c r="I47" s="112">
        <v>40</v>
      </c>
      <c r="J47" s="112"/>
      <c r="K47" s="112"/>
      <c r="L47" s="56">
        <f>AVERAGE(U17:W17)</f>
        <v>0.73366666666666658</v>
      </c>
      <c r="M47" s="59"/>
      <c r="N47" s="59"/>
      <c r="O47" s="112">
        <v>120</v>
      </c>
      <c r="P47" s="112"/>
      <c r="Q47" s="112"/>
      <c r="R47" s="56">
        <f>AVERAGE(X17:Z17)</f>
        <v>0.80533333333333335</v>
      </c>
      <c r="S47" s="59"/>
      <c r="T47" s="112">
        <v>84</v>
      </c>
      <c r="U47" s="112"/>
      <c r="V47" s="112"/>
      <c r="W47" s="60">
        <f>AVERAGE(AA17:AC17)</f>
        <v>0.79100000000000004</v>
      </c>
    </row>
    <row r="48" spans="2:30" ht="15" thickBot="1" x14ac:dyDescent="0.35">
      <c r="B48" s="125"/>
      <c r="C48" s="119">
        <v>170</v>
      </c>
      <c r="D48" s="119"/>
      <c r="E48" s="119"/>
      <c r="F48" s="56">
        <f>AVERAGE(R19:T19)</f>
        <v>0.17866666666666667</v>
      </c>
      <c r="G48" s="3"/>
      <c r="H48" s="3"/>
      <c r="I48" s="126">
        <v>157</v>
      </c>
      <c r="J48" s="126"/>
      <c r="K48" s="126"/>
      <c r="L48" s="56">
        <f>AVERAGE(U19:W19)</f>
        <v>0.89833333333333343</v>
      </c>
      <c r="M48" s="61"/>
      <c r="N48" s="61"/>
      <c r="O48" s="126">
        <v>409</v>
      </c>
      <c r="P48" s="126"/>
      <c r="Q48" s="126"/>
      <c r="R48" s="56">
        <f>AVERAGE(X19:Z19)</f>
        <v>0.7496666666666667</v>
      </c>
      <c r="S48" s="61"/>
      <c r="T48" s="126">
        <v>373</v>
      </c>
      <c r="U48" s="126"/>
      <c r="V48" s="126"/>
      <c r="W48" s="62">
        <f>AVERAGE(AA19:AC19)</f>
        <v>0.79566666666666663</v>
      </c>
    </row>
    <row r="49" spans="2:21" x14ac:dyDescent="0.3">
      <c r="I49" s="114"/>
      <c r="J49" s="114"/>
      <c r="K49" s="114"/>
      <c r="O49" s="3"/>
      <c r="P49" s="3"/>
      <c r="Q49" s="3"/>
      <c r="T49" s="3"/>
    </row>
    <row r="50" spans="2:21" x14ac:dyDescent="0.3">
      <c r="F50" s="3"/>
      <c r="G50" s="3"/>
      <c r="H50" s="3"/>
      <c r="L50" s="119"/>
      <c r="M50" s="119"/>
      <c r="N50" s="119"/>
    </row>
    <row r="51" spans="2:21" x14ac:dyDescent="0.3">
      <c r="F51" s="119"/>
      <c r="G51" s="119"/>
      <c r="H51" s="119"/>
      <c r="L51" s="3"/>
      <c r="M51" s="3"/>
      <c r="N51" s="3"/>
    </row>
    <row r="52" spans="2:21" ht="15" thickBot="1" x14ac:dyDescent="0.35">
      <c r="F52" s="3"/>
      <c r="G52" s="3"/>
      <c r="H52" s="3"/>
      <c r="L52" s="119"/>
      <c r="M52" s="119"/>
      <c r="N52" s="119"/>
    </row>
    <row r="53" spans="2:21" ht="15" thickBot="1" x14ac:dyDescent="0.35">
      <c r="C53" s="119"/>
      <c r="D53" s="119"/>
      <c r="E53" s="119"/>
      <c r="R53" s="119">
        <v>7</v>
      </c>
      <c r="S53" s="119"/>
      <c r="T53" s="119"/>
      <c r="U53" s="56">
        <f>AVERAGE(AA29:AC29)</f>
        <v>0.10766666666666667</v>
      </c>
    </row>
    <row r="54" spans="2:21" ht="15" thickBot="1" x14ac:dyDescent="0.35">
      <c r="C54" s="3"/>
      <c r="D54" s="3"/>
      <c r="E54" s="3"/>
      <c r="U54" s="56">
        <f>AVERAGE(AA30:AC30)</f>
        <v>0.34499999999999997</v>
      </c>
    </row>
    <row r="55" spans="2:21" ht="15" thickBot="1" x14ac:dyDescent="0.35">
      <c r="B55" s="113" t="s">
        <v>35</v>
      </c>
      <c r="C55" s="119" t="s">
        <v>20</v>
      </c>
      <c r="D55" s="119"/>
      <c r="E55" s="119"/>
      <c r="F55" s="56">
        <f>AVERAGE(R31:T31)</f>
        <v>0</v>
      </c>
      <c r="N55" s="119">
        <v>142</v>
      </c>
      <c r="O55" s="119"/>
      <c r="P55" s="119"/>
      <c r="Q55" s="56">
        <f>AVERAGE(X31:Z31)</f>
        <v>0.23466666666666666</v>
      </c>
      <c r="R55" s="119">
        <v>368</v>
      </c>
      <c r="S55" s="119"/>
      <c r="T55" s="119"/>
      <c r="U55" s="56">
        <f>AVERAGE(AA31:AC31)</f>
        <v>0.12133333333333333</v>
      </c>
    </row>
    <row r="56" spans="2:21" ht="15" thickBot="1" x14ac:dyDescent="0.35">
      <c r="B56" s="124"/>
      <c r="C56" s="119">
        <v>1003</v>
      </c>
      <c r="D56" s="119"/>
      <c r="E56" s="119"/>
      <c r="F56" s="56">
        <f>AVERAGE(R33:T33)</f>
        <v>0.21633333333333335</v>
      </c>
      <c r="I56" s="119">
        <v>3</v>
      </c>
      <c r="J56" s="119"/>
      <c r="K56" s="119"/>
      <c r="L56" s="56">
        <f>AVERAGE(U33:W33)</f>
        <v>0.22500000000000001</v>
      </c>
      <c r="N56" s="119">
        <v>331</v>
      </c>
      <c r="O56" s="119"/>
      <c r="P56" s="119"/>
      <c r="Q56" s="56">
        <f>AVERAGE(X33:Z33)</f>
        <v>0.108</v>
      </c>
      <c r="R56" s="119">
        <v>127</v>
      </c>
      <c r="S56" s="119"/>
      <c r="T56" s="119"/>
      <c r="U56" s="56">
        <f>AVERAGE(AA33:AC33)</f>
        <v>0.11899999999999999</v>
      </c>
    </row>
    <row r="57" spans="2:21" ht="15" thickBot="1" x14ac:dyDescent="0.35">
      <c r="B57" s="124"/>
      <c r="C57" s="119">
        <v>362</v>
      </c>
      <c r="D57" s="119"/>
      <c r="E57" s="119"/>
      <c r="F57" s="56">
        <f>AVERAGE(R35:T35)</f>
        <v>0.42799999999999999</v>
      </c>
      <c r="I57" s="119">
        <v>385</v>
      </c>
      <c r="J57" s="119"/>
      <c r="K57" s="119"/>
      <c r="L57" s="56">
        <f>AVERAGE(U35:W35)</f>
        <v>0.11533333333333333</v>
      </c>
      <c r="N57" s="119">
        <v>118</v>
      </c>
      <c r="O57" s="119"/>
      <c r="P57" s="119"/>
      <c r="Q57" s="56">
        <f>AVERAGE(X35:Z35)</f>
        <v>0.68899999999999995</v>
      </c>
      <c r="R57" s="119">
        <v>1018</v>
      </c>
      <c r="S57" s="119"/>
      <c r="T57" s="119"/>
      <c r="U57" s="56">
        <f>AVERAGE(AA35:AC35)</f>
        <v>0.69366666666666665</v>
      </c>
    </row>
    <row r="58" spans="2:21" ht="15" thickBot="1" x14ac:dyDescent="0.35">
      <c r="B58" s="124"/>
      <c r="C58" s="119">
        <v>355</v>
      </c>
      <c r="D58" s="119"/>
      <c r="E58" s="119"/>
      <c r="F58" s="56">
        <f>AVERAGE(R37:T37)</f>
        <v>1.2256666666666669</v>
      </c>
      <c r="I58" s="119">
        <v>1048</v>
      </c>
      <c r="J58" s="119"/>
      <c r="K58" s="119"/>
      <c r="L58" s="56">
        <f>AVERAGE(U37:W37)</f>
        <v>0.8653333333333334</v>
      </c>
      <c r="N58" s="119">
        <v>396</v>
      </c>
      <c r="O58" s="119"/>
      <c r="P58" s="119"/>
      <c r="Q58" s="56">
        <f>AVERAGE(X37:Z37)</f>
        <v>0.16800000000000001</v>
      </c>
      <c r="R58" s="119">
        <v>324</v>
      </c>
      <c r="S58" s="119"/>
      <c r="T58" s="119"/>
      <c r="U58" s="56">
        <f>AVERAGE(AA37:AC37)</f>
        <v>0.14100000000000001</v>
      </c>
    </row>
    <row r="59" spans="2:21" x14ac:dyDescent="0.3">
      <c r="B59" s="124"/>
      <c r="C59" s="119">
        <v>344</v>
      </c>
      <c r="D59" s="119"/>
      <c r="E59" s="119"/>
      <c r="F59" s="56">
        <f>AVERAGE(R39:T39)</f>
        <v>0.60300000000000009</v>
      </c>
      <c r="I59" s="119">
        <v>75</v>
      </c>
      <c r="J59" s="119"/>
      <c r="K59" s="119"/>
      <c r="L59" s="56">
        <f>AVERAGE(U39:W39)</f>
        <v>0.23366666666666666</v>
      </c>
      <c r="N59" s="119">
        <v>326</v>
      </c>
      <c r="O59" s="119"/>
      <c r="P59" s="119"/>
      <c r="Q59" s="56">
        <f>AVERAGE(X39:Z39)</f>
        <v>0.3076666666666667</v>
      </c>
      <c r="R59" s="119">
        <v>361</v>
      </c>
      <c r="S59" s="119"/>
      <c r="T59" s="119"/>
      <c r="U59" s="56">
        <f>AVERAGE(AA39:AC39)</f>
        <v>0.14266666666666669</v>
      </c>
    </row>
    <row r="60" spans="2:21" x14ac:dyDescent="0.3">
      <c r="B60" s="124"/>
    </row>
    <row r="61" spans="2:21" x14ac:dyDescent="0.3">
      <c r="B61" s="124"/>
    </row>
    <row r="62" spans="2:21" x14ac:dyDescent="0.3">
      <c r="B62" s="124"/>
    </row>
    <row r="63" spans="2:21" x14ac:dyDescent="0.3">
      <c r="B63" s="124"/>
    </row>
    <row r="64" spans="2:21" x14ac:dyDescent="0.3">
      <c r="B64" s="124"/>
    </row>
    <row r="65" spans="1:15" ht="15" thickBot="1" x14ac:dyDescent="0.35">
      <c r="B65" s="125"/>
    </row>
    <row r="66" spans="1:15" x14ac:dyDescent="0.3">
      <c r="B66" s="58"/>
    </row>
    <row r="67" spans="1:15" x14ac:dyDescent="0.3">
      <c r="A67" t="s">
        <v>33</v>
      </c>
      <c r="E67" t="s">
        <v>37</v>
      </c>
      <c r="F67">
        <v>1072</v>
      </c>
      <c r="H67" t="s">
        <v>39</v>
      </c>
      <c r="I67" s="63">
        <v>1513.6</v>
      </c>
    </row>
    <row r="68" spans="1:15" x14ac:dyDescent="0.3">
      <c r="A68" t="s">
        <v>41</v>
      </c>
      <c r="B68">
        <v>110</v>
      </c>
      <c r="F68">
        <v>382</v>
      </c>
    </row>
    <row r="69" spans="1:15" x14ac:dyDescent="0.3">
      <c r="A69" t="s">
        <v>32</v>
      </c>
      <c r="B69">
        <v>0.93049999999999999</v>
      </c>
    </row>
    <row r="71" spans="1:15" x14ac:dyDescent="0.3">
      <c r="B71" t="s">
        <v>9</v>
      </c>
      <c r="C71" t="s">
        <v>36</v>
      </c>
      <c r="D71" t="s">
        <v>42</v>
      </c>
      <c r="E71" t="s">
        <v>40</v>
      </c>
      <c r="F71" t="s">
        <v>43</v>
      </c>
      <c r="G71" t="s">
        <v>38</v>
      </c>
      <c r="H71" t="s">
        <v>44</v>
      </c>
      <c r="I71" t="s">
        <v>45</v>
      </c>
      <c r="J71" t="s">
        <v>46</v>
      </c>
      <c r="K71" t="s">
        <v>919</v>
      </c>
      <c r="L71" t="s">
        <v>940</v>
      </c>
      <c r="N71" t="s">
        <v>942</v>
      </c>
      <c r="O71" t="s">
        <v>941</v>
      </c>
    </row>
    <row r="72" spans="1:15" x14ac:dyDescent="0.3">
      <c r="B72">
        <v>7</v>
      </c>
      <c r="C72">
        <v>0.10766666666666667</v>
      </c>
      <c r="D72">
        <f t="shared" ref="D72:D103" si="0">C72/(B$69*B$68)</f>
        <v>1.0518945500138407E-3</v>
      </c>
      <c r="E72">
        <v>3.6249999999999998E-2</v>
      </c>
      <c r="F72">
        <f t="shared" ref="F72:F103" si="1">D72*$I$67</f>
        <v>1.5921475909009493</v>
      </c>
      <c r="G72">
        <f>VLOOKUP(B72,'LIGNIN BILBAO'!A$2:C$51,3,FALSE)</f>
        <v>109.5</v>
      </c>
      <c r="H72">
        <f t="shared" ref="H72:H103" si="2">F72/G72</f>
        <v>1.4540160647497254E-2</v>
      </c>
      <c r="I72">
        <f t="shared" ref="I72:I103" si="3">H72*1000</f>
        <v>14.540160647497254</v>
      </c>
      <c r="J72">
        <f t="shared" ref="J72:J103" si="4">F72/G72*100</f>
        <v>1.4540160647497253</v>
      </c>
      <c r="K72" s="4" t="str">
        <f>VLOOKUP(B72,Hoja2!A$1:B$872,2,FALSE)</f>
        <v>10-P1S1C1AA</v>
      </c>
      <c r="L72">
        <f>VLOOKUP(B72,'LIGNIN BILBAO'!A$2:F$51,6,FALSE)</f>
        <v>43.799999999999173</v>
      </c>
      <c r="N72">
        <f>(L72/G72)*100</f>
        <v>39.999999999999247</v>
      </c>
      <c r="O72">
        <f>L72+F72</f>
        <v>45.392147590900123</v>
      </c>
    </row>
    <row r="73" spans="1:15" x14ac:dyDescent="0.3">
      <c r="B73">
        <v>84</v>
      </c>
      <c r="C73">
        <v>0.79100000000000004</v>
      </c>
      <c r="D73">
        <f t="shared" si="0"/>
        <v>7.7280054711543157E-3</v>
      </c>
      <c r="E73">
        <v>3.6249999999999998E-2</v>
      </c>
      <c r="F73">
        <f t="shared" si="1"/>
        <v>11.697109081139171</v>
      </c>
      <c r="G73">
        <f>VLOOKUP(B73,'LIGNIN BILBAO'!A$2:C$51,3,FALSE)</f>
        <v>131.69999999999999</v>
      </c>
      <c r="H73">
        <f t="shared" si="2"/>
        <v>8.8816318004093939E-2</v>
      </c>
      <c r="I73">
        <f t="shared" si="3"/>
        <v>88.816318004093944</v>
      </c>
      <c r="J73">
        <f t="shared" si="4"/>
        <v>8.8816318004093944</v>
      </c>
      <c r="K73" s="4" t="str">
        <f>VLOOKUP(B73,Hoja2!A$1:B$872,2,FALSE)</f>
        <v>10-P1S3C4FS</v>
      </c>
      <c r="L73">
        <f>VLOOKUP(B73,'LIGNIN BILBAO'!A$2:F$51,6,FALSE)</f>
        <v>61.499999999998778</v>
      </c>
      <c r="N73">
        <f t="shared" ref="N73:N121" si="5">(L73/G73)*100</f>
        <v>46.697038724372653</v>
      </c>
      <c r="O73">
        <f t="shared" ref="O73:O121" si="6">L73+F73</f>
        <v>73.197109081137953</v>
      </c>
    </row>
    <row r="74" spans="1:15" x14ac:dyDescent="0.3">
      <c r="B74">
        <v>118</v>
      </c>
      <c r="C74">
        <v>0.68899999999999995</v>
      </c>
      <c r="D74">
        <f t="shared" si="0"/>
        <v>6.7314737921938348E-3</v>
      </c>
      <c r="E74">
        <v>3.6249999999999998E-2</v>
      </c>
      <c r="F74">
        <f t="shared" si="1"/>
        <v>10.188758731864588</v>
      </c>
      <c r="G74">
        <f>VLOOKUP(B74,'LIGNIN BILBAO'!A$2:C$51,3,FALSE)</f>
        <v>113.3</v>
      </c>
      <c r="H74">
        <f t="shared" si="2"/>
        <v>8.9927261534550648E-2</v>
      </c>
      <c r="I74">
        <f t="shared" si="3"/>
        <v>89.927261534550652</v>
      </c>
      <c r="J74">
        <f t="shared" si="4"/>
        <v>8.9927261534550649</v>
      </c>
      <c r="K74" s="4" t="str">
        <f>VLOOKUP(B74,Hoja2!A$1:B$872,2,FALSE)</f>
        <v>10-P1S4C1FS</v>
      </c>
      <c r="L74">
        <f>VLOOKUP(B74,'LIGNIN BILBAO'!A$2:F$51,6,FALSE)</f>
        <v>38.499999999999091</v>
      </c>
      <c r="N74">
        <f t="shared" si="5"/>
        <v>33.980582524271043</v>
      </c>
      <c r="O74">
        <f t="shared" si="6"/>
        <v>48.688758731863679</v>
      </c>
    </row>
    <row r="75" spans="1:15" x14ac:dyDescent="0.3">
      <c r="B75">
        <v>120</v>
      </c>
      <c r="C75">
        <v>0.80533333333333335</v>
      </c>
      <c r="D75">
        <f t="shared" si="0"/>
        <v>7.8680409685245797E-3</v>
      </c>
      <c r="E75">
        <v>3.6249999999999998E-2</v>
      </c>
      <c r="F75">
        <f t="shared" si="1"/>
        <v>11.909066809958803</v>
      </c>
      <c r="G75">
        <f>VLOOKUP(B75,'LIGNIN BILBAO'!A$2:C$51,3,FALSE)</f>
        <v>116.7</v>
      </c>
      <c r="H75">
        <f t="shared" si="2"/>
        <v>0.10204855878285178</v>
      </c>
      <c r="I75">
        <f t="shared" si="3"/>
        <v>102.04855878285179</v>
      </c>
      <c r="J75">
        <f t="shared" si="4"/>
        <v>10.204855878285178</v>
      </c>
      <c r="K75" s="4" t="str">
        <f>VLOOKUP(B75,Hoja2!A$1:B$872,2,FALSE)</f>
        <v>10-P1S4C4FS</v>
      </c>
      <c r="L75">
        <f>VLOOKUP(B75,'LIGNIN BILBAO'!A$2:F$51,6,FALSE)</f>
        <v>59.000000000001052</v>
      </c>
      <c r="N75">
        <f t="shared" si="5"/>
        <v>50.556983718938341</v>
      </c>
      <c r="O75">
        <f t="shared" si="6"/>
        <v>70.909066809959853</v>
      </c>
    </row>
    <row r="76" spans="1:15" x14ac:dyDescent="0.3">
      <c r="B76">
        <v>127</v>
      </c>
      <c r="C76">
        <v>0.11899999999999999</v>
      </c>
      <c r="D76">
        <f t="shared" si="0"/>
        <v>1.1626202921205607E-3</v>
      </c>
      <c r="E76">
        <v>3.6249999999999998E-2</v>
      </c>
      <c r="F76">
        <f t="shared" si="1"/>
        <v>1.7597420741536804</v>
      </c>
      <c r="G76">
        <f>VLOOKUP(B76,'LIGNIN BILBAO'!A$2:C$51,3,FALSE)</f>
        <v>110.4</v>
      </c>
      <c r="H76">
        <f t="shared" si="2"/>
        <v>1.5939692700667394E-2</v>
      </c>
      <c r="I76">
        <f t="shared" si="3"/>
        <v>15.939692700667393</v>
      </c>
      <c r="J76">
        <f t="shared" si="4"/>
        <v>1.5939692700667394</v>
      </c>
      <c r="K76" s="4" t="str">
        <f>VLOOKUP(B76,Hoja2!A$1:B$872,2,FALSE)</f>
        <v>10-P1S5C1AA</v>
      </c>
      <c r="L76">
        <f>VLOOKUP(B76,'LIGNIN BILBAO'!A$2:F$51,6,FALSE)</f>
        <v>63.500000000001222</v>
      </c>
      <c r="N76">
        <f t="shared" si="5"/>
        <v>57.518115942030093</v>
      </c>
      <c r="O76">
        <f t="shared" si="6"/>
        <v>65.2597420741549</v>
      </c>
    </row>
    <row r="77" spans="1:15" x14ac:dyDescent="0.3">
      <c r="B77">
        <v>708</v>
      </c>
      <c r="C77">
        <v>0.21933333333333335</v>
      </c>
      <c r="D77">
        <f t="shared" si="0"/>
        <v>2.1428687737124062E-3</v>
      </c>
      <c r="E77">
        <v>3.6249999999999998E-2</v>
      </c>
      <c r="F77">
        <f t="shared" si="1"/>
        <v>3.2434461758910977</v>
      </c>
      <c r="G77">
        <f>VLOOKUP(B77,'LIGNIN BILBAO'!A$2:C$51,3,FALSE)</f>
        <v>124</v>
      </c>
      <c r="H77">
        <f t="shared" si="2"/>
        <v>2.6156823999121757E-2</v>
      </c>
      <c r="I77">
        <f t="shared" si="3"/>
        <v>26.156823999121755</v>
      </c>
      <c r="J77">
        <f t="shared" si="4"/>
        <v>2.6156823999121759</v>
      </c>
      <c r="K77" s="4" t="str">
        <f>VLOOKUP(B77,Hoja2!A$1:B$872,2,FALSE)</f>
        <v>10-P2S4C1AA</v>
      </c>
      <c r="L77">
        <f>VLOOKUP(B77,'LIGNIN BILBAO'!A$2:F$51,6,FALSE)</f>
        <v>98.10000000000052</v>
      </c>
      <c r="N77">
        <f t="shared" si="5"/>
        <v>79.112903225806875</v>
      </c>
      <c r="O77">
        <f t="shared" si="6"/>
        <v>101.34344617589161</v>
      </c>
    </row>
    <row r="78" spans="1:15" x14ac:dyDescent="0.3">
      <c r="B78">
        <v>142</v>
      </c>
      <c r="C78">
        <v>0.23466666666666666</v>
      </c>
      <c r="D78">
        <f t="shared" si="0"/>
        <v>2.2926741895038507E-3</v>
      </c>
      <c r="E78">
        <v>3.6249999999999998E-2</v>
      </c>
      <c r="F78">
        <f t="shared" si="1"/>
        <v>3.4701916532330284</v>
      </c>
      <c r="G78">
        <f>VLOOKUP(B78,'LIGNIN BILBAO'!A$2:C$51,3,FALSE)</f>
        <v>104.2</v>
      </c>
      <c r="H78">
        <f t="shared" si="2"/>
        <v>3.330318285252426E-2</v>
      </c>
      <c r="I78">
        <f t="shared" si="3"/>
        <v>33.303182852524259</v>
      </c>
      <c r="J78">
        <f t="shared" si="4"/>
        <v>3.3303182852524262</v>
      </c>
      <c r="K78" s="4" t="str">
        <f>VLOOKUP(B78,Hoja2!A$1:B$872,2,FALSE)</f>
        <v>10-P3S1C4AA</v>
      </c>
      <c r="L78">
        <f>VLOOKUP(B78,'LIGNIN BILBAO'!A$2:F$51,6,FALSE)</f>
        <v>62.300000000000466</v>
      </c>
      <c r="N78">
        <f t="shared" si="5"/>
        <v>59.788867562380489</v>
      </c>
      <c r="O78">
        <f t="shared" si="6"/>
        <v>65.770191653233496</v>
      </c>
    </row>
    <row r="79" spans="1:15" x14ac:dyDescent="0.3">
      <c r="B79">
        <v>157</v>
      </c>
      <c r="C79">
        <v>0.89833333333333343</v>
      </c>
      <c r="D79">
        <f t="shared" si="0"/>
        <v>8.7766433816944302E-3</v>
      </c>
      <c r="E79">
        <v>3.6249999999999998E-2</v>
      </c>
      <c r="F79">
        <f t="shared" si="1"/>
        <v>13.284327422532689</v>
      </c>
      <c r="G79">
        <f>VLOOKUP(B79,'LIGNIN BILBAO'!A$2:C$51,3,FALSE)</f>
        <v>124.7</v>
      </c>
      <c r="H79">
        <f t="shared" si="2"/>
        <v>0.10653029208125653</v>
      </c>
      <c r="I79">
        <f t="shared" si="3"/>
        <v>106.53029208125653</v>
      </c>
      <c r="J79">
        <f t="shared" si="4"/>
        <v>10.653029208125652</v>
      </c>
      <c r="K79" s="4" t="str">
        <f>VLOOKUP(B79,Hoja2!A$1:B$872,2,FALSE)</f>
        <v>10-P3S2C4FS</v>
      </c>
      <c r="L79">
        <f>VLOOKUP(B79,'LIGNIN BILBAO'!A$2:F$51,6,FALSE)</f>
        <v>65.30000000000058</v>
      </c>
      <c r="N79">
        <f t="shared" si="5"/>
        <v>52.365677626303587</v>
      </c>
      <c r="O79">
        <f t="shared" si="6"/>
        <v>78.584327422533264</v>
      </c>
    </row>
    <row r="80" spans="1:15" x14ac:dyDescent="0.3">
      <c r="B80">
        <v>176</v>
      </c>
      <c r="C80">
        <v>0.39799999999999996</v>
      </c>
      <c r="D80">
        <f t="shared" si="0"/>
        <v>3.8884275316301104E-3</v>
      </c>
      <c r="E80">
        <v>3.6249999999999998E-2</v>
      </c>
      <c r="F80">
        <f t="shared" si="1"/>
        <v>5.8855239118753344</v>
      </c>
      <c r="G80">
        <f>VLOOKUP(B80,'LIGNIN BILBAO'!A$2:C$51,3,FALSE)</f>
        <v>137.6</v>
      </c>
      <c r="H80">
        <f t="shared" si="2"/>
        <v>4.2772702847931214E-2</v>
      </c>
      <c r="I80">
        <f t="shared" si="3"/>
        <v>42.772702847931214</v>
      </c>
      <c r="J80">
        <f t="shared" si="4"/>
        <v>4.2772702847931212</v>
      </c>
      <c r="K80" s="4" t="str">
        <f>VLOOKUP(B80,Hoja2!A$1:B$872,2,FALSE)</f>
        <v>10-P3S4C1AA</v>
      </c>
      <c r="L80">
        <f>VLOOKUP(B80,'LIGNIN BILBAO'!A$2:F$51,6,FALSE)</f>
        <v>160.50000000000074</v>
      </c>
      <c r="N80">
        <f t="shared" si="5"/>
        <v>116.64244186046567</v>
      </c>
      <c r="O80">
        <f t="shared" si="6"/>
        <v>166.38552391187608</v>
      </c>
    </row>
    <row r="81" spans="2:15" x14ac:dyDescent="0.3">
      <c r="B81">
        <v>189</v>
      </c>
      <c r="C81">
        <v>0.20166666666666666</v>
      </c>
      <c r="D81">
        <f t="shared" si="0"/>
        <v>1.9702668816048716E-3</v>
      </c>
      <c r="E81">
        <v>3.6249999999999998E-2</v>
      </c>
      <c r="F81">
        <f t="shared" si="1"/>
        <v>2.9821959519971335</v>
      </c>
      <c r="G81">
        <f>VLOOKUP(B81,'LIGNIN BILBAO'!A$2:C$51,3,FALSE)</f>
        <v>166.4</v>
      </c>
      <c r="H81">
        <f t="shared" si="2"/>
        <v>1.7921850673059694E-2</v>
      </c>
      <c r="I81">
        <f t="shared" si="3"/>
        <v>17.921850673059694</v>
      </c>
      <c r="J81">
        <f t="shared" si="4"/>
        <v>1.7921850673059694</v>
      </c>
      <c r="K81" s="4" t="str">
        <f>VLOOKUP(B81,Hoja2!A$1:B$872,2,FALSE)</f>
        <v>10-P3S5C2AA</v>
      </c>
      <c r="L81">
        <f>VLOOKUP(B81,'LIGNIN BILBAO'!A$2:F$51,6,FALSE)</f>
        <v>137.99999999999989</v>
      </c>
      <c r="N81">
        <f t="shared" si="5"/>
        <v>82.932692307692236</v>
      </c>
      <c r="O81">
        <f t="shared" si="6"/>
        <v>140.98219595199703</v>
      </c>
    </row>
    <row r="82" spans="2:15" x14ac:dyDescent="0.3">
      <c r="B82">
        <v>331</v>
      </c>
      <c r="C82">
        <v>0.108</v>
      </c>
      <c r="D82">
        <f t="shared" si="0"/>
        <v>1.0551511894875678E-3</v>
      </c>
      <c r="E82">
        <v>3.6249999999999998E-2</v>
      </c>
      <c r="F82">
        <f t="shared" si="1"/>
        <v>1.5970768404083826</v>
      </c>
      <c r="G82">
        <f>VLOOKUP(B82,'LIGNIN BILBAO'!A$2:C$51,3,FALSE)</f>
        <v>118.2</v>
      </c>
      <c r="H82">
        <f t="shared" si="2"/>
        <v>1.3511648396010005E-2</v>
      </c>
      <c r="I82">
        <f t="shared" si="3"/>
        <v>13.511648396010006</v>
      </c>
      <c r="J82">
        <f t="shared" si="4"/>
        <v>1.3511648396010005</v>
      </c>
      <c r="K82" s="4" t="str">
        <f>VLOOKUP(B82,Hoja2!A$1:B$872,2,FALSE)</f>
        <v>10-P6S1C1AA -b</v>
      </c>
      <c r="L82">
        <f>VLOOKUP(B82,'LIGNIN BILBAO'!A$2:F$51,6,FALSE)</f>
        <v>64.299999999999358</v>
      </c>
      <c r="N82">
        <f t="shared" si="5"/>
        <v>54.399323181048523</v>
      </c>
      <c r="O82">
        <f t="shared" si="6"/>
        <v>65.897076840407735</v>
      </c>
    </row>
    <row r="83" spans="2:15" x14ac:dyDescent="0.3">
      <c r="B83">
        <v>355</v>
      </c>
      <c r="C83">
        <v>1.2256666666666669</v>
      </c>
      <c r="D83">
        <f t="shared" si="0"/>
        <v>1.1974663344894405E-2</v>
      </c>
      <c r="E83">
        <v>3.6249999999999998E-2</v>
      </c>
      <c r="F83">
        <f t="shared" si="1"/>
        <v>18.124850438832169</v>
      </c>
      <c r="G83">
        <f>VLOOKUP(B83,'LIGNIN BILBAO'!A$2:C$51,3,FALSE)</f>
        <v>207.4</v>
      </c>
      <c r="H83">
        <f t="shared" si="2"/>
        <v>8.739079285840004E-2</v>
      </c>
      <c r="I83">
        <f t="shared" si="3"/>
        <v>87.390792858400047</v>
      </c>
      <c r="J83">
        <f t="shared" si="4"/>
        <v>8.7390792858400044</v>
      </c>
      <c r="K83" s="4" t="str">
        <f>VLOOKUP(B83,Hoja2!A$1:B$872,2,FALSE)</f>
        <v>10-P6S2C1FS -b</v>
      </c>
      <c r="L83">
        <f>VLOOKUP(B83,'LIGNIN BILBAO'!A$2:F$51,6,FALSE)</f>
        <v>130.10000000000053</v>
      </c>
      <c r="N83">
        <f t="shared" si="5"/>
        <v>62.72902603664442</v>
      </c>
      <c r="O83">
        <f t="shared" si="6"/>
        <v>148.2248504388327</v>
      </c>
    </row>
    <row r="84" spans="2:15" x14ac:dyDescent="0.3">
      <c r="B84">
        <v>373</v>
      </c>
      <c r="C84">
        <v>0.79566666666666663</v>
      </c>
      <c r="D84">
        <f t="shared" si="0"/>
        <v>7.7735984237864942E-3</v>
      </c>
      <c r="E84">
        <v>3.6249999999999998E-2</v>
      </c>
      <c r="F84">
        <f t="shared" si="1"/>
        <v>11.766118574243237</v>
      </c>
      <c r="G84">
        <f>VLOOKUP(B84,'LIGNIN BILBAO'!A$2:C$51,3,FALSE)</f>
        <v>138.69999999999999</v>
      </c>
      <c r="H84">
        <f t="shared" si="2"/>
        <v>8.4831424471833006E-2</v>
      </c>
      <c r="I84">
        <f t="shared" si="3"/>
        <v>84.831424471833003</v>
      </c>
      <c r="J84">
        <f t="shared" si="4"/>
        <v>8.483142447183301</v>
      </c>
      <c r="K84" s="4" t="str">
        <f>VLOOKUP(B84,Hoja2!A$1:B$872,2,FALSE)</f>
        <v>10-P6S3C1FS -b</v>
      </c>
      <c r="L84">
        <f>VLOOKUP(B84,'LIGNIN BILBAO'!A$2:F$51,6,FALSE)</f>
        <v>73.299999999999699</v>
      </c>
      <c r="N84">
        <f t="shared" si="5"/>
        <v>52.84787310742589</v>
      </c>
      <c r="O84">
        <f t="shared" si="6"/>
        <v>85.066118574242935</v>
      </c>
    </row>
    <row r="85" spans="2:15" x14ac:dyDescent="0.3">
      <c r="B85">
        <v>368</v>
      </c>
      <c r="C85">
        <v>0.12133333333333333</v>
      </c>
      <c r="D85">
        <f t="shared" si="0"/>
        <v>1.1854167684366501E-3</v>
      </c>
      <c r="E85">
        <v>3.6249999999999998E-2</v>
      </c>
      <c r="F85">
        <f t="shared" si="1"/>
        <v>1.7942468207057136</v>
      </c>
      <c r="G85">
        <f>VLOOKUP(B85,'LIGNIN BILBAO'!A$2:C$51,3,FALSE)</f>
        <v>109.6</v>
      </c>
      <c r="H85">
        <f t="shared" si="2"/>
        <v>1.6370865152424394E-2</v>
      </c>
      <c r="I85">
        <f t="shared" si="3"/>
        <v>16.370865152424393</v>
      </c>
      <c r="J85">
        <f t="shared" si="4"/>
        <v>1.6370865152424394</v>
      </c>
      <c r="K85" s="4" t="str">
        <f>VLOOKUP(B85,Hoja2!A$1:B$872,2,FALSE)</f>
        <v>10-P6S3C2AA</v>
      </c>
      <c r="L85">
        <f>VLOOKUP(B85,'LIGNIN BILBAO'!A$2:F$51,6,FALSE)</f>
        <v>61.500000000000554</v>
      </c>
      <c r="N85">
        <f t="shared" si="5"/>
        <v>56.11313868613189</v>
      </c>
      <c r="O85">
        <f t="shared" si="6"/>
        <v>63.29424682070627</v>
      </c>
    </row>
    <row r="86" spans="2:15" x14ac:dyDescent="0.3">
      <c r="B86">
        <v>385</v>
      </c>
      <c r="C86">
        <v>0.11533333333333333</v>
      </c>
      <c r="D86">
        <f t="shared" si="0"/>
        <v>1.126797257909563E-3</v>
      </c>
      <c r="E86">
        <v>3.6249999999999998E-2</v>
      </c>
      <c r="F86">
        <f t="shared" si="1"/>
        <v>1.7055203295719144</v>
      </c>
      <c r="G86">
        <f>VLOOKUP(B86,'LIGNIN BILBAO'!A$2:C$51,3,FALSE)</f>
        <v>112</v>
      </c>
      <c r="H86">
        <f t="shared" si="2"/>
        <v>1.5227860085463521E-2</v>
      </c>
      <c r="I86">
        <f t="shared" si="3"/>
        <v>15.22786008546352</v>
      </c>
      <c r="J86">
        <f t="shared" si="4"/>
        <v>1.522786008546352</v>
      </c>
      <c r="K86" s="4" t="str">
        <f>VLOOKUP(B86,Hoja2!A$1:B$872,2,FALSE)</f>
        <v>10-P6S4C1AA -b</v>
      </c>
      <c r="L86">
        <f>VLOOKUP(B86,'LIGNIN BILBAO'!A$2:F$51,6,FALSE)</f>
        <v>62.100000000000932</v>
      </c>
      <c r="N86">
        <f t="shared" si="5"/>
        <v>55.446428571429408</v>
      </c>
      <c r="O86">
        <f t="shared" si="6"/>
        <v>63.805520329572843</v>
      </c>
    </row>
    <row r="87" spans="2:15" x14ac:dyDescent="0.3">
      <c r="B87">
        <v>409</v>
      </c>
      <c r="C87">
        <v>0.7496666666666667</v>
      </c>
      <c r="D87">
        <f t="shared" si="0"/>
        <v>7.3241821764121603E-3</v>
      </c>
      <c r="E87">
        <v>3.6249999999999998E-2</v>
      </c>
      <c r="F87">
        <f t="shared" si="1"/>
        <v>11.085882142217445</v>
      </c>
      <c r="G87">
        <f>VLOOKUP(B87,'LIGNIN BILBAO'!A$2:C$51,3,FALSE)</f>
        <v>118.7</v>
      </c>
      <c r="H87">
        <f t="shared" si="2"/>
        <v>9.3394120827442667E-2</v>
      </c>
      <c r="I87">
        <f t="shared" si="3"/>
        <v>93.394120827442663</v>
      </c>
      <c r="J87">
        <f t="shared" si="4"/>
        <v>9.3394120827442659</v>
      </c>
      <c r="K87" s="4" t="str">
        <f>VLOOKUP(B87,Hoja2!A$1:B$872,2,FALSE)</f>
        <v>10-P6S5C1FS -b</v>
      </c>
      <c r="L87">
        <f>VLOOKUP(B87,'LIGNIN BILBAO'!A$2:F$51,6,FALSE)</f>
        <v>80.89999999999975</v>
      </c>
      <c r="N87">
        <f t="shared" si="5"/>
        <v>68.155012636899542</v>
      </c>
      <c r="O87">
        <f t="shared" si="6"/>
        <v>91.985882142217193</v>
      </c>
    </row>
    <row r="88" spans="2:15" x14ac:dyDescent="0.3">
      <c r="B88">
        <v>1003</v>
      </c>
      <c r="C88">
        <v>0.21633333333333335</v>
      </c>
      <c r="D88">
        <f t="shared" si="0"/>
        <v>2.1135590184488628E-3</v>
      </c>
      <c r="E88">
        <v>3.6249999999999998E-2</v>
      </c>
      <c r="F88">
        <f t="shared" si="1"/>
        <v>3.1990829303241983</v>
      </c>
      <c r="G88">
        <f>VLOOKUP(B88,'LIGNIN BILBAO'!A$2:C$51,3,FALSE)</f>
        <v>106.7</v>
      </c>
      <c r="H88">
        <f t="shared" si="2"/>
        <v>2.9982033086449842E-2</v>
      </c>
      <c r="I88">
        <f t="shared" si="3"/>
        <v>29.982033086449842</v>
      </c>
      <c r="J88">
        <f t="shared" si="4"/>
        <v>2.9982033086449844</v>
      </c>
      <c r="K88" s="4" t="str">
        <f>VLOOKUP(B88,Hoja2!A$1:B$872,2,FALSE)</f>
        <v>11AA4</v>
      </c>
      <c r="L88">
        <f>VLOOKUP(B88,'LIGNIN BILBAO'!A$2:F$51,6,FALSE)</f>
        <v>112.2999999999994</v>
      </c>
      <c r="N88">
        <f t="shared" si="5"/>
        <v>105.24835988753458</v>
      </c>
      <c r="O88">
        <f t="shared" si="6"/>
        <v>115.4990829303236</v>
      </c>
    </row>
    <row r="89" spans="2:15" x14ac:dyDescent="0.3">
      <c r="B89">
        <v>1007</v>
      </c>
      <c r="C89">
        <v>0.22500000000000001</v>
      </c>
      <c r="D89">
        <f t="shared" si="0"/>
        <v>2.1982316447657661E-3</v>
      </c>
      <c r="E89">
        <v>3.6249999999999998E-2</v>
      </c>
      <c r="F89">
        <f t="shared" si="1"/>
        <v>3.3272434175174634</v>
      </c>
      <c r="G89">
        <f>VLOOKUP(B89,'LIGNIN BILBAO'!A$2:C$51,3,FALSE)</f>
        <v>107.3</v>
      </c>
      <c r="H89">
        <f t="shared" si="2"/>
        <v>3.1008792334738709E-2</v>
      </c>
      <c r="I89">
        <f t="shared" si="3"/>
        <v>31.008792334738708</v>
      </c>
      <c r="J89">
        <f t="shared" si="4"/>
        <v>3.1008792334738708</v>
      </c>
      <c r="K89" s="4" t="str">
        <f>VLOOKUP(B89,Hoja2!A$1:B$872,2,FALSE)</f>
        <v>12AA1</v>
      </c>
      <c r="L89">
        <f>VLOOKUP(B89,'LIGNIN BILBAO'!A$2:F$51,6,FALSE)</f>
        <v>156.2000000000001</v>
      </c>
      <c r="N89">
        <f t="shared" si="5"/>
        <v>145.57315936626293</v>
      </c>
      <c r="O89">
        <f t="shared" si="6"/>
        <v>159.52724341751755</v>
      </c>
    </row>
    <row r="90" spans="2:15" x14ac:dyDescent="0.3">
      <c r="B90">
        <v>1055</v>
      </c>
      <c r="C90">
        <v>0.17866666666666667</v>
      </c>
      <c r="D90">
        <f t="shared" si="0"/>
        <v>1.7455587579177046E-3</v>
      </c>
      <c r="E90">
        <v>3.6249999999999998E-2</v>
      </c>
      <c r="F90">
        <f t="shared" si="1"/>
        <v>2.6420777359842376</v>
      </c>
      <c r="G90">
        <f>VLOOKUP(B90,'LIGNIN BILBAO'!A$2:C$51,3,FALSE)</f>
        <v>116.4</v>
      </c>
      <c r="H90">
        <f t="shared" si="2"/>
        <v>2.2698262336634342E-2</v>
      </c>
      <c r="I90">
        <f t="shared" si="3"/>
        <v>22.698262336634343</v>
      </c>
      <c r="J90">
        <f t="shared" si="4"/>
        <v>2.2698262336634341</v>
      </c>
      <c r="K90" s="4" t="str">
        <f>VLOOKUP(B90,Hoja2!A$1:B$872,2,FALSE)</f>
        <v>14AA1</v>
      </c>
      <c r="L90">
        <f>VLOOKUP(B90,'LIGNIN BILBAO'!A$2:F$51,6,FALSE)</f>
        <v>79.800000000000537</v>
      </c>
      <c r="N90">
        <f t="shared" si="5"/>
        <v>68.556701030928295</v>
      </c>
      <c r="O90">
        <f t="shared" si="6"/>
        <v>82.442077735984782</v>
      </c>
    </row>
    <row r="91" spans="2:15" x14ac:dyDescent="0.3">
      <c r="B91">
        <v>1018</v>
      </c>
      <c r="C91">
        <v>0.69366666666666665</v>
      </c>
      <c r="D91">
        <f t="shared" si="0"/>
        <v>6.7770667448260134E-3</v>
      </c>
      <c r="E91">
        <v>3.6249999999999998E-2</v>
      </c>
      <c r="F91">
        <f t="shared" si="1"/>
        <v>10.257768224968654</v>
      </c>
      <c r="G91">
        <f>VLOOKUP(B91,'LIGNIN BILBAO'!A$2:C$51,3,FALSE)</f>
        <v>105.1</v>
      </c>
      <c r="H91">
        <f t="shared" si="2"/>
        <v>9.7600078258502893E-2</v>
      </c>
      <c r="I91">
        <f t="shared" si="3"/>
        <v>97.60007825850289</v>
      </c>
      <c r="J91">
        <f t="shared" si="4"/>
        <v>9.7600078258502894</v>
      </c>
      <c r="K91" s="4" t="str">
        <f>VLOOKUP(B91,Hoja2!A$1:B$872,2,FALSE)</f>
        <v>15FS4</v>
      </c>
      <c r="L91">
        <f>VLOOKUP(B91,'LIGNIN BILBAO'!A$2:F$51,6,FALSE)</f>
        <v>47.599999999999199</v>
      </c>
      <c r="N91">
        <f t="shared" si="5"/>
        <v>45.290199809704283</v>
      </c>
      <c r="O91">
        <f t="shared" si="6"/>
        <v>57.857768224967856</v>
      </c>
    </row>
    <row r="92" spans="2:15" x14ac:dyDescent="0.3">
      <c r="B92">
        <v>3</v>
      </c>
      <c r="C92">
        <v>0.22500000000000001</v>
      </c>
      <c r="D92">
        <f t="shared" si="0"/>
        <v>2.1982316447657661E-3</v>
      </c>
      <c r="E92">
        <v>3.6249999999999998E-2</v>
      </c>
      <c r="F92">
        <f t="shared" si="1"/>
        <v>3.3272434175174634</v>
      </c>
      <c r="G92">
        <f>VLOOKUP(B92,'LIGNIN BILBAO'!A$2:C$51,3,FALSE)</f>
        <v>124.2</v>
      </c>
      <c r="H92">
        <f t="shared" si="2"/>
        <v>2.6789399496919993E-2</v>
      </c>
      <c r="I92">
        <f t="shared" si="3"/>
        <v>26.789399496919994</v>
      </c>
      <c r="J92">
        <f t="shared" si="4"/>
        <v>2.6789399496919994</v>
      </c>
      <c r="K92" s="4" t="str">
        <f>VLOOKUP(B92,Hoja2!A$1:B$872,2,FALSE)</f>
        <v>25-P1S1C4AA</v>
      </c>
      <c r="L92">
        <f>VLOOKUP(B92,'LIGNIN BILBAO'!A$2:F$51,6,FALSE)</f>
        <v>52.700000000001523</v>
      </c>
      <c r="N92">
        <f t="shared" si="5"/>
        <v>42.431561996780616</v>
      </c>
      <c r="O92">
        <f t="shared" si="6"/>
        <v>56.027243417518989</v>
      </c>
    </row>
    <row r="93" spans="2:15" x14ac:dyDescent="0.3">
      <c r="B93">
        <v>40</v>
      </c>
      <c r="C93">
        <v>0.73366666666666658</v>
      </c>
      <c r="D93">
        <f t="shared" si="0"/>
        <v>7.1678634816732603E-3</v>
      </c>
      <c r="E93">
        <v>3.6249999999999998E-2</v>
      </c>
      <c r="F93">
        <f t="shared" si="1"/>
        <v>10.849278165860646</v>
      </c>
      <c r="G93">
        <f>VLOOKUP(B93,'LIGNIN BILBAO'!A$2:C$51,3,FALSE)</f>
        <v>103.1</v>
      </c>
      <c r="H93">
        <f t="shared" si="2"/>
        <v>0.10523063206460376</v>
      </c>
      <c r="I93">
        <f t="shared" si="3"/>
        <v>105.23063206460375</v>
      </c>
      <c r="J93">
        <f t="shared" si="4"/>
        <v>10.523063206460376</v>
      </c>
      <c r="K93" s="4" t="str">
        <f>VLOOKUP(B93,Hoja2!A$1:B$872,2,FALSE)</f>
        <v>25-P1S2C1FS</v>
      </c>
      <c r="L93">
        <f>VLOOKUP(B93,'LIGNIN BILBAO'!A$2:F$51,6,FALSE)</f>
        <v>226.59999999999945</v>
      </c>
      <c r="N93">
        <f t="shared" si="5"/>
        <v>219.7866149369539</v>
      </c>
      <c r="O93">
        <f t="shared" si="6"/>
        <v>237.44927816586011</v>
      </c>
    </row>
    <row r="94" spans="2:15" x14ac:dyDescent="0.3">
      <c r="B94">
        <v>75</v>
      </c>
      <c r="C94">
        <v>0.23366666666666666</v>
      </c>
      <c r="D94">
        <f t="shared" si="0"/>
        <v>2.2829042710826699E-3</v>
      </c>
      <c r="E94">
        <v>3.6249999999999998E-2</v>
      </c>
      <c r="F94">
        <f t="shared" si="1"/>
        <v>3.455403904710729</v>
      </c>
      <c r="G94">
        <f>VLOOKUP(B94,'LIGNIN BILBAO'!A$2:C$51,3,FALSE)</f>
        <v>107.2</v>
      </c>
      <c r="H94">
        <f t="shared" si="2"/>
        <v>3.2233245379764262E-2</v>
      </c>
      <c r="I94">
        <f t="shared" si="3"/>
        <v>32.233245379764263</v>
      </c>
      <c r="J94">
        <f t="shared" si="4"/>
        <v>3.2233245379764264</v>
      </c>
      <c r="K94" s="4" t="str">
        <f>VLOOKUP(B94,Hoja2!A$1:B$872,2,FALSE)</f>
        <v>25-P1S3C4AA</v>
      </c>
      <c r="L94">
        <f>VLOOKUP(B94,'LIGNIN BILBAO'!A$2:F$51,6,FALSE)</f>
        <v>111.80000000000057</v>
      </c>
      <c r="N94">
        <f t="shared" si="5"/>
        <v>104.29104477611992</v>
      </c>
      <c r="O94">
        <f t="shared" si="6"/>
        <v>115.2554039047113</v>
      </c>
    </row>
    <row r="95" spans="2:15" x14ac:dyDescent="0.3">
      <c r="B95">
        <v>125</v>
      </c>
      <c r="C95">
        <v>0.71566666666666678</v>
      </c>
      <c r="D95">
        <f t="shared" si="0"/>
        <v>6.9920049500920012E-3</v>
      </c>
      <c r="E95">
        <v>3.6249999999999998E-2</v>
      </c>
      <c r="F95">
        <f t="shared" si="1"/>
        <v>10.583098692459252</v>
      </c>
      <c r="G95">
        <f>VLOOKUP(B95,'LIGNIN BILBAO'!A$2:C$51,3,FALSE)</f>
        <v>105.5</v>
      </c>
      <c r="H95">
        <f t="shared" si="2"/>
        <v>0.10031373168207822</v>
      </c>
      <c r="I95">
        <f t="shared" si="3"/>
        <v>100.31373168207821</v>
      </c>
      <c r="J95">
        <f t="shared" si="4"/>
        <v>10.031373168207821</v>
      </c>
      <c r="K95" s="4" t="str">
        <f>VLOOKUP(B95,Hoja2!A$1:B$872,2,FALSE)</f>
        <v>25-P1S5C2FS</v>
      </c>
      <c r="L95">
        <f>VLOOKUP(B95,'LIGNIN BILBAO'!A$2:F$51,6,FALSE)</f>
        <v>137.99999999999989</v>
      </c>
      <c r="N95">
        <f t="shared" si="5"/>
        <v>130.80568720379136</v>
      </c>
      <c r="O95">
        <f t="shared" si="6"/>
        <v>148.58309869245915</v>
      </c>
    </row>
    <row r="96" spans="2:15" x14ac:dyDescent="0.3">
      <c r="B96">
        <v>146</v>
      </c>
      <c r="C96">
        <v>0.16733333333333333</v>
      </c>
      <c r="D96">
        <f t="shared" si="0"/>
        <v>1.6348330158109845E-3</v>
      </c>
      <c r="E96">
        <v>3.6249999999999998E-2</v>
      </c>
      <c r="F96">
        <f t="shared" si="1"/>
        <v>2.4744832527315062</v>
      </c>
      <c r="G96">
        <f>VLOOKUP(B96,'LIGNIN BILBAO'!A$2:C$51,3,FALSE)</f>
        <v>115.5</v>
      </c>
      <c r="H96">
        <f t="shared" si="2"/>
        <v>2.1424097426246808E-2</v>
      </c>
      <c r="I96">
        <f t="shared" si="3"/>
        <v>21.42409742624681</v>
      </c>
      <c r="J96">
        <f t="shared" si="4"/>
        <v>2.1424097426246806</v>
      </c>
      <c r="K96" s="4" t="str">
        <f>VLOOKUP(B96,Hoja2!A$1:B$872,2,FALSE)</f>
        <v>25-P3S2C1AA</v>
      </c>
      <c r="L96">
        <f>VLOOKUP(B96,'LIGNIN BILBAO'!A$2:F$51,6,FALSE)</f>
        <v>115.70000000000036</v>
      </c>
      <c r="N96">
        <f t="shared" si="5"/>
        <v>100.1731601731605</v>
      </c>
      <c r="O96">
        <f t="shared" si="6"/>
        <v>118.17448325273186</v>
      </c>
    </row>
    <row r="97" spans="2:15" x14ac:dyDescent="0.3">
      <c r="B97">
        <v>149</v>
      </c>
      <c r="C97">
        <v>0.53799999999999992</v>
      </c>
      <c r="D97">
        <f t="shared" si="0"/>
        <v>5.2562161105954757E-3</v>
      </c>
      <c r="E97">
        <v>3.6249999999999998E-2</v>
      </c>
      <c r="F97">
        <f t="shared" si="1"/>
        <v>7.9558087049973114</v>
      </c>
      <c r="G97">
        <f>VLOOKUP(B97,'LIGNIN BILBAO'!A$2:C$51,3,FALSE)</f>
        <v>103.6</v>
      </c>
      <c r="H97">
        <f t="shared" si="2"/>
        <v>7.6793520318506878E-2</v>
      </c>
      <c r="I97">
        <f t="shared" si="3"/>
        <v>76.793520318506879</v>
      </c>
      <c r="J97">
        <f t="shared" si="4"/>
        <v>7.679352031850688</v>
      </c>
      <c r="K97" s="4" t="str">
        <f>VLOOKUP(B97,Hoja2!A$1:B$872,2,FALSE)</f>
        <v>25-P3S2C1FS</v>
      </c>
      <c r="L97">
        <f>VLOOKUP(B97,'LIGNIN BILBAO'!A$2:F$51,6,FALSE)</f>
        <v>203.40000000000026</v>
      </c>
      <c r="N97">
        <f t="shared" si="5"/>
        <v>196.33204633204659</v>
      </c>
      <c r="O97">
        <f t="shared" si="6"/>
        <v>211.35580870499757</v>
      </c>
    </row>
    <row r="98" spans="2:15" x14ac:dyDescent="0.3">
      <c r="B98">
        <v>150</v>
      </c>
      <c r="C98">
        <v>0.68633333333333335</v>
      </c>
      <c r="D98">
        <f t="shared" si="0"/>
        <v>6.7054206764040189E-3</v>
      </c>
      <c r="E98">
        <v>3.6249999999999998E-2</v>
      </c>
      <c r="F98">
        <f t="shared" si="1"/>
        <v>10.149324735805122</v>
      </c>
      <c r="G98">
        <f>VLOOKUP(B98,'LIGNIN BILBAO'!A$2:C$51,3,FALSE)</f>
        <v>105.9</v>
      </c>
      <c r="H98">
        <f t="shared" si="2"/>
        <v>9.5838760489189059E-2</v>
      </c>
      <c r="I98">
        <f t="shared" si="3"/>
        <v>95.838760489189056</v>
      </c>
      <c r="J98">
        <f t="shared" si="4"/>
        <v>9.5838760489189063</v>
      </c>
      <c r="K98" s="4" t="str">
        <f>VLOOKUP(B98,Hoja2!A$1:B$872,2,FALSE)</f>
        <v>25-P3S2C2FS</v>
      </c>
      <c r="L98">
        <f>VLOOKUP(B98,'LIGNIN BILBAO'!A$2:F$51,6,FALSE)</f>
        <v>182.0000000000004</v>
      </c>
      <c r="N98">
        <f t="shared" si="5"/>
        <v>171.8602455146368</v>
      </c>
      <c r="O98">
        <f t="shared" si="6"/>
        <v>192.14932473580552</v>
      </c>
    </row>
    <row r="99" spans="2:15" x14ac:dyDescent="0.3">
      <c r="B99">
        <v>162</v>
      </c>
      <c r="C99">
        <v>0.7403333333333334</v>
      </c>
      <c r="D99">
        <f t="shared" si="0"/>
        <v>7.2329962711478032E-3</v>
      </c>
      <c r="E99">
        <v>3.6249999999999998E-2</v>
      </c>
      <c r="F99">
        <f t="shared" si="1"/>
        <v>10.947863156009314</v>
      </c>
      <c r="G99">
        <f>VLOOKUP(B99,'LIGNIN BILBAO'!A$2:C$51,3,FALSE)</f>
        <v>113.1</v>
      </c>
      <c r="H99">
        <f t="shared" si="2"/>
        <v>9.6798082723336107E-2</v>
      </c>
      <c r="I99">
        <f t="shared" si="3"/>
        <v>96.798082723336108</v>
      </c>
      <c r="J99">
        <f t="shared" si="4"/>
        <v>9.6798082723336112</v>
      </c>
      <c r="K99" s="4" t="str">
        <f>VLOOKUP(B99,Hoja2!A$1:B$872,2,FALSE)</f>
        <v>25-P3S3C2FS</v>
      </c>
      <c r="L99">
        <f>VLOOKUP(B99,'LIGNIN BILBAO'!A$2:F$51,6,FALSE)</f>
        <v>183.10000000000139</v>
      </c>
      <c r="N99">
        <f t="shared" si="5"/>
        <v>161.89213085764933</v>
      </c>
      <c r="O99">
        <f t="shared" si="6"/>
        <v>194.04786315601069</v>
      </c>
    </row>
    <row r="100" spans="2:15" x14ac:dyDescent="0.3">
      <c r="B100">
        <v>170</v>
      </c>
      <c r="C100">
        <v>0.17866666666666667</v>
      </c>
      <c r="D100">
        <f t="shared" si="0"/>
        <v>1.7455587579177046E-3</v>
      </c>
      <c r="E100">
        <v>3.6249999999999998E-2</v>
      </c>
      <c r="F100">
        <f t="shared" si="1"/>
        <v>2.6420777359842376</v>
      </c>
      <c r="G100">
        <f>VLOOKUP(B100,'LIGNIN BILBAO'!A$2:C$51,3,FALSE)</f>
        <v>119.1</v>
      </c>
      <c r="H100">
        <f t="shared" si="2"/>
        <v>2.2183692157718201E-2</v>
      </c>
      <c r="I100">
        <f t="shared" si="3"/>
        <v>22.183692157718202</v>
      </c>
      <c r="J100">
        <f t="shared" si="4"/>
        <v>2.21836921577182</v>
      </c>
      <c r="K100" s="4" t="str">
        <f>VLOOKUP(B100,Hoja2!A$1:B$872,2,FALSE)</f>
        <v>25-P3S4C1AA</v>
      </c>
      <c r="L100">
        <f>VLOOKUP(B100,'LIGNIN BILBAO'!A$2:F$51,6,FALSE)</f>
        <v>48.299999999999343</v>
      </c>
      <c r="N100">
        <f t="shared" si="5"/>
        <v>40.554156171284085</v>
      </c>
      <c r="O100">
        <f t="shared" si="6"/>
        <v>50.942077735983581</v>
      </c>
    </row>
    <row r="101" spans="2:15" x14ac:dyDescent="0.3">
      <c r="B101">
        <v>171</v>
      </c>
      <c r="C101">
        <v>0.11433333333333333</v>
      </c>
      <c r="D101">
        <f t="shared" si="0"/>
        <v>1.1170273394883819E-3</v>
      </c>
      <c r="E101">
        <v>3.6249999999999998E-2</v>
      </c>
      <c r="F101">
        <f t="shared" si="1"/>
        <v>1.6907325810496148</v>
      </c>
      <c r="G101">
        <f>VLOOKUP(B101,'LIGNIN BILBAO'!A$2:C$51,3,FALSE)</f>
        <v>106</v>
      </c>
      <c r="H101">
        <f t="shared" si="2"/>
        <v>1.5950307368392591E-2</v>
      </c>
      <c r="I101">
        <f t="shared" si="3"/>
        <v>15.950307368392592</v>
      </c>
      <c r="J101">
        <f t="shared" si="4"/>
        <v>1.5950307368392591</v>
      </c>
      <c r="K101" s="4" t="str">
        <f>VLOOKUP(B101,Hoja2!A$1:B$872,2,FALSE)</f>
        <v>25-P3S4C2AA</v>
      </c>
      <c r="L101">
        <f>VLOOKUP(B101,'LIGNIN BILBAO'!A$2:F$51,6,FALSE)</f>
        <v>173.0999999999998</v>
      </c>
      <c r="N101">
        <f t="shared" si="5"/>
        <v>163.30188679245262</v>
      </c>
      <c r="O101">
        <f t="shared" si="6"/>
        <v>174.79073258104941</v>
      </c>
    </row>
    <row r="102" spans="2:15" x14ac:dyDescent="0.3">
      <c r="B102">
        <v>324</v>
      </c>
      <c r="C102">
        <v>0.14100000000000001</v>
      </c>
      <c r="D102">
        <f t="shared" si="0"/>
        <v>1.377558497386547E-3</v>
      </c>
      <c r="E102">
        <v>3.6249999999999998E-2</v>
      </c>
      <c r="F102">
        <f t="shared" si="1"/>
        <v>2.0850725416442772</v>
      </c>
      <c r="G102">
        <f>VLOOKUP(B102,'LIGNIN BILBAO'!A$2:C$51,3,FALSE)</f>
        <v>156.80000000000001</v>
      </c>
      <c r="H102">
        <f t="shared" si="2"/>
        <v>1.3297656515588502E-2</v>
      </c>
      <c r="I102">
        <f t="shared" si="3"/>
        <v>13.297656515588502</v>
      </c>
      <c r="J102">
        <f t="shared" si="4"/>
        <v>1.3297656515588503</v>
      </c>
      <c r="K102" s="4" t="str">
        <f>VLOOKUP(B102,Hoja2!A$1:B$872,2,FALSE)</f>
        <v>25-P6S1C1AA</v>
      </c>
      <c r="L102">
        <f>VLOOKUP(B102,'LIGNIN BILBAO'!A$2:F$51,6,FALSE)</f>
        <v>100.30000000000072</v>
      </c>
      <c r="N102">
        <f t="shared" si="5"/>
        <v>63.966836734694333</v>
      </c>
      <c r="O102">
        <f t="shared" si="6"/>
        <v>102.385072541645</v>
      </c>
    </row>
    <row r="103" spans="2:15" x14ac:dyDescent="0.3">
      <c r="B103">
        <v>326</v>
      </c>
      <c r="C103">
        <v>0.3076666666666667</v>
      </c>
      <c r="D103">
        <f t="shared" si="0"/>
        <v>3.0058782342500777E-3</v>
      </c>
      <c r="E103">
        <v>3.6249999999999998E-2</v>
      </c>
      <c r="F103">
        <f t="shared" si="1"/>
        <v>4.5496972953609172</v>
      </c>
      <c r="G103">
        <f>VLOOKUP(B103,'LIGNIN BILBAO'!A$2:C$51,3,FALSE)</f>
        <v>119.4</v>
      </c>
      <c r="H103">
        <f t="shared" si="2"/>
        <v>3.8104667465334315E-2</v>
      </c>
      <c r="I103">
        <f t="shared" si="3"/>
        <v>38.104667465334316</v>
      </c>
      <c r="J103">
        <f t="shared" si="4"/>
        <v>3.8104667465334314</v>
      </c>
      <c r="K103" s="4" t="str">
        <f>VLOOKUP(B103,Hoja2!A$1:B$872,2,FALSE)</f>
        <v>25-P6S1C4AA</v>
      </c>
      <c r="L103">
        <f>VLOOKUP(B103,'LIGNIN BILBAO'!A$2:F$51,6,FALSE)</f>
        <v>56.999999999998607</v>
      </c>
      <c r="N103">
        <f t="shared" si="5"/>
        <v>47.738693467335516</v>
      </c>
      <c r="O103">
        <f t="shared" si="6"/>
        <v>61.549697295359522</v>
      </c>
    </row>
    <row r="104" spans="2:15" x14ac:dyDescent="0.3">
      <c r="B104">
        <v>344</v>
      </c>
      <c r="C104">
        <v>0.60300000000000009</v>
      </c>
      <c r="D104">
        <f t="shared" ref="D104:D121" si="7">C104/(B$69*B$68)</f>
        <v>5.8912608079722539E-3</v>
      </c>
      <c r="E104">
        <v>3.6249999999999998E-2</v>
      </c>
      <c r="F104">
        <f t="shared" ref="F104:F121" si="8">D104*$I$67</f>
        <v>8.9170123589468027</v>
      </c>
      <c r="G104">
        <f>VLOOKUP(B104,'LIGNIN BILBAO'!A$2:C$51,3,FALSE)</f>
        <v>121.8</v>
      </c>
      <c r="H104">
        <f t="shared" ref="H104:H121" si="9">F104/G104</f>
        <v>7.3210282093159301E-2</v>
      </c>
      <c r="I104">
        <f t="shared" ref="I104:I121" si="10">H104*1000</f>
        <v>73.210282093159307</v>
      </c>
      <c r="J104">
        <f t="shared" ref="J104:J121" si="11">F104/G104*100</f>
        <v>7.32102820931593</v>
      </c>
      <c r="K104" s="4" t="str">
        <f>VLOOKUP(B104,Hoja2!A$1:B$872,2,FALSE)</f>
        <v>25-P6S2C4AA</v>
      </c>
      <c r="L104">
        <f>VLOOKUP(B104,'LIGNIN BILBAO'!A$2:F$51,6,FALSE)</f>
        <v>124.09999999999854</v>
      </c>
      <c r="N104">
        <f t="shared" si="5"/>
        <v>101.88834154351277</v>
      </c>
      <c r="O104">
        <f t="shared" si="6"/>
        <v>133.01701235894535</v>
      </c>
    </row>
    <row r="105" spans="2:15" x14ac:dyDescent="0.3">
      <c r="B105">
        <v>361</v>
      </c>
      <c r="C105">
        <v>0.14266666666666669</v>
      </c>
      <c r="D105">
        <f t="shared" si="7"/>
        <v>1.3938416947551823E-3</v>
      </c>
      <c r="E105">
        <v>3.6249999999999998E-2</v>
      </c>
      <c r="F105">
        <f t="shared" si="8"/>
        <v>2.1097187891814437</v>
      </c>
      <c r="G105">
        <f>VLOOKUP(B105,'LIGNIN BILBAO'!A$2:C$51,3,FALSE)</f>
        <v>106.3</v>
      </c>
      <c r="H105">
        <f t="shared" si="9"/>
        <v>1.9846837151283572E-2</v>
      </c>
      <c r="I105">
        <f t="shared" si="10"/>
        <v>19.846837151283573</v>
      </c>
      <c r="J105">
        <f t="shared" si="11"/>
        <v>1.9846837151283572</v>
      </c>
      <c r="K105" s="4" t="str">
        <f>VLOOKUP(B105,Hoja2!A$1:B$872,2,FALSE)</f>
        <v>25-P6S3C2AA</v>
      </c>
      <c r="L105">
        <f>VLOOKUP(B105,'LIGNIN BILBAO'!A$2:F$51,6,FALSE)</f>
        <v>88.300000000000267</v>
      </c>
      <c r="N105">
        <f t="shared" si="5"/>
        <v>83.066792097836554</v>
      </c>
      <c r="O105">
        <f t="shared" si="6"/>
        <v>90.40971878918171</v>
      </c>
    </row>
    <row r="106" spans="2:15" x14ac:dyDescent="0.3">
      <c r="B106">
        <v>362</v>
      </c>
      <c r="C106">
        <v>0.42799999999999999</v>
      </c>
      <c r="D106">
        <f t="shared" si="7"/>
        <v>4.1815250842655461E-3</v>
      </c>
      <c r="E106">
        <v>3.6249999999999998E-2</v>
      </c>
      <c r="F106">
        <f t="shared" si="8"/>
        <v>6.3291563675443303</v>
      </c>
      <c r="G106">
        <f>VLOOKUP(B106,'LIGNIN BILBAO'!A$2:C$51,3,FALSE)</f>
        <v>109.2</v>
      </c>
      <c r="H106">
        <f t="shared" si="9"/>
        <v>5.7959307395094598E-2</v>
      </c>
      <c r="I106">
        <f t="shared" si="10"/>
        <v>57.959307395094598</v>
      </c>
      <c r="J106">
        <f t="shared" si="11"/>
        <v>5.7959307395094601</v>
      </c>
      <c r="K106" s="4" t="str">
        <f>VLOOKUP(B106,Hoja2!A$1:B$872,2,FALSE)</f>
        <v>25-P6S3C4AA</v>
      </c>
      <c r="L106">
        <f>VLOOKUP(B106,'LIGNIN BILBAO'!A$2:F$51,6,FALSE)</f>
        <v>67.299999999999471</v>
      </c>
      <c r="N106">
        <f t="shared" si="5"/>
        <v>61.630036630036145</v>
      </c>
      <c r="O106">
        <f t="shared" si="6"/>
        <v>73.6291563675438</v>
      </c>
    </row>
    <row r="107" spans="2:15" x14ac:dyDescent="0.3">
      <c r="B107">
        <v>396</v>
      </c>
      <c r="C107">
        <v>0.16800000000000001</v>
      </c>
      <c r="D107">
        <f t="shared" si="7"/>
        <v>1.6413462947584387E-3</v>
      </c>
      <c r="E107">
        <v>3.6249999999999998E-2</v>
      </c>
      <c r="F107">
        <f t="shared" si="8"/>
        <v>2.4843417517463728</v>
      </c>
      <c r="G107">
        <f>VLOOKUP(B107,'LIGNIN BILBAO'!A$2:C$51,3,FALSE)</f>
        <v>159.1</v>
      </c>
      <c r="H107">
        <f t="shared" si="9"/>
        <v>1.5614970155539741E-2</v>
      </c>
      <c r="I107">
        <f t="shared" si="10"/>
        <v>15.614970155539741</v>
      </c>
      <c r="J107">
        <f t="shared" si="11"/>
        <v>1.5614970155539742</v>
      </c>
      <c r="K107" s="4" t="str">
        <f>VLOOKUP(B107,Hoja2!A$1:B$872,2,FALSE)</f>
        <v>25-P6S5C1AA</v>
      </c>
      <c r="L107">
        <f>VLOOKUP(B107,'LIGNIN BILBAO'!A$2:F$51,6,FALSE)</f>
        <v>118.29999999999963</v>
      </c>
      <c r="N107">
        <f t="shared" si="5"/>
        <v>74.355751099936924</v>
      </c>
      <c r="O107">
        <f t="shared" si="6"/>
        <v>120.784341751746</v>
      </c>
    </row>
    <row r="108" spans="2:15" x14ac:dyDescent="0.3">
      <c r="B108">
        <v>1019</v>
      </c>
      <c r="C108">
        <v>0.21099999999999999</v>
      </c>
      <c r="D108">
        <f t="shared" si="7"/>
        <v>2.0614527868692296E-3</v>
      </c>
      <c r="E108">
        <v>3.6249999999999998E-2</v>
      </c>
      <c r="F108">
        <f t="shared" si="8"/>
        <v>3.1202149382052657</v>
      </c>
      <c r="G108">
        <f>VLOOKUP(B108,'LIGNIN BILBAO'!A$2:C$51,3,FALSE)</f>
        <v>133</v>
      </c>
      <c r="H108">
        <f t="shared" si="9"/>
        <v>2.3460262693272674E-2</v>
      </c>
      <c r="I108">
        <f t="shared" si="10"/>
        <v>23.460262693272675</v>
      </c>
      <c r="J108">
        <f t="shared" si="11"/>
        <v>2.3460262693272673</v>
      </c>
      <c r="K108" s="4" t="str">
        <f>VLOOKUP(B108,Hoja2!A$1:B$872,2,FALSE)</f>
        <v>31AA1</v>
      </c>
      <c r="L108">
        <f>VLOOKUP(B108,'LIGNIN BILBAO'!A$2:F$51,6,FALSE)</f>
        <v>249.59999999999917</v>
      </c>
      <c r="N108">
        <f t="shared" si="5"/>
        <v>187.66917293233021</v>
      </c>
      <c r="O108">
        <f t="shared" si="6"/>
        <v>252.72021493820444</v>
      </c>
    </row>
    <row r="109" spans="2:15" x14ac:dyDescent="0.3">
      <c r="B109">
        <v>1023</v>
      </c>
      <c r="C109">
        <v>0.94299999999999995</v>
      </c>
      <c r="D109">
        <f t="shared" si="7"/>
        <v>9.2130330711738557E-3</v>
      </c>
      <c r="E109">
        <v>3.6249999999999998E-2</v>
      </c>
      <c r="F109">
        <f t="shared" si="8"/>
        <v>13.944846856528747</v>
      </c>
      <c r="G109">
        <f>VLOOKUP(B109,'LIGNIN BILBAO'!A$2:C$51,3,FALSE)</f>
        <v>144.4</v>
      </c>
      <c r="H109">
        <f t="shared" si="9"/>
        <v>9.6570961610309883E-2</v>
      </c>
      <c r="I109">
        <f t="shared" si="10"/>
        <v>96.57096161030988</v>
      </c>
      <c r="J109">
        <f t="shared" si="11"/>
        <v>9.6570961610309887</v>
      </c>
      <c r="K109" s="4" t="str">
        <f>VLOOKUP(B109,Hoja2!A$1:B$872,2,FALSE)</f>
        <v>31FS2</v>
      </c>
      <c r="L109">
        <f>VLOOKUP(B109,'LIGNIN BILBAO'!A$2:F$51,6,FALSE)</f>
        <v>119.19999999999931</v>
      </c>
      <c r="N109">
        <f t="shared" si="5"/>
        <v>82.548476454293137</v>
      </c>
      <c r="O109">
        <f t="shared" si="6"/>
        <v>133.14484685652806</v>
      </c>
    </row>
    <row r="110" spans="2:15" x14ac:dyDescent="0.3">
      <c r="B110">
        <v>1063</v>
      </c>
      <c r="C110">
        <v>0.23699999999999999</v>
      </c>
      <c r="D110">
        <f t="shared" si="7"/>
        <v>2.31547066581994E-3</v>
      </c>
      <c r="E110">
        <v>3.6249999999999998E-2</v>
      </c>
      <c r="F110">
        <f t="shared" si="8"/>
        <v>3.5046963997850611</v>
      </c>
      <c r="G110">
        <f>VLOOKUP(B110,'LIGNIN BILBAO'!A$2:C$51,3,FALSE)</f>
        <v>109.6</v>
      </c>
      <c r="H110">
        <f t="shared" si="9"/>
        <v>3.197715693234545E-2</v>
      </c>
      <c r="I110">
        <f t="shared" si="10"/>
        <v>31.977156932345451</v>
      </c>
      <c r="J110">
        <f t="shared" si="11"/>
        <v>3.197715693234545</v>
      </c>
      <c r="K110" s="4" t="str">
        <f>VLOOKUP(B110,Hoja2!A$1:B$872,2,FALSE)</f>
        <v>32AA4</v>
      </c>
      <c r="L110">
        <f>VLOOKUP(B110,'LIGNIN BILBAO'!A$2:F$51,6,FALSE)</f>
        <v>198.70000000000056</v>
      </c>
      <c r="N110">
        <f t="shared" si="5"/>
        <v>181.29562043795673</v>
      </c>
      <c r="O110">
        <f t="shared" si="6"/>
        <v>202.20469639978563</v>
      </c>
    </row>
    <row r="111" spans="2:15" x14ac:dyDescent="0.3">
      <c r="B111">
        <v>1070</v>
      </c>
      <c r="C111">
        <v>0.88966666666666672</v>
      </c>
      <c r="D111">
        <f t="shared" si="7"/>
        <v>8.6919707553775264E-3</v>
      </c>
      <c r="E111">
        <v>3.6249999999999998E-2</v>
      </c>
      <c r="F111">
        <f t="shared" si="8"/>
        <v>13.156166935339423</v>
      </c>
      <c r="G111">
        <f>VLOOKUP(B111,'LIGNIN BILBAO'!A$2:C$51,3,FALSE)</f>
        <v>150.5</v>
      </c>
      <c r="H111">
        <f t="shared" si="9"/>
        <v>8.7416391596939688E-2</v>
      </c>
      <c r="I111">
        <f t="shared" si="10"/>
        <v>87.41639159693969</v>
      </c>
      <c r="J111">
        <f t="shared" si="11"/>
        <v>8.7416391596939693</v>
      </c>
      <c r="K111" s="4" t="str">
        <f>VLOOKUP(B111,Hoja2!A$1:B$872,2,FALSE)</f>
        <v>33FS1</v>
      </c>
      <c r="L111">
        <f>VLOOKUP(B111,'LIGNIN BILBAO'!A$2:F$51,6,FALSE)</f>
        <v>151.5000000000004</v>
      </c>
      <c r="N111">
        <f t="shared" si="5"/>
        <v>100.6644518272428</v>
      </c>
      <c r="O111">
        <f t="shared" si="6"/>
        <v>164.65616693533983</v>
      </c>
    </row>
    <row r="112" spans="2:15" x14ac:dyDescent="0.3">
      <c r="B112">
        <v>1025</v>
      </c>
      <c r="C112">
        <v>0.14599999999999999</v>
      </c>
      <c r="D112">
        <f t="shared" si="7"/>
        <v>1.4264080894924526E-3</v>
      </c>
      <c r="E112">
        <v>3.6249999999999998E-2</v>
      </c>
      <c r="F112">
        <f t="shared" si="8"/>
        <v>2.1590112842557763</v>
      </c>
      <c r="G112">
        <f>VLOOKUP(B112,'LIGNIN BILBAO'!A$2:C$51,3,FALSE)</f>
        <v>105.1</v>
      </c>
      <c r="H112">
        <f t="shared" si="9"/>
        <v>2.0542447994821848E-2</v>
      </c>
      <c r="I112">
        <f t="shared" si="10"/>
        <v>20.542447994821849</v>
      </c>
      <c r="J112">
        <f t="shared" si="11"/>
        <v>2.0542447994821846</v>
      </c>
      <c r="K112" s="4" t="str">
        <f>VLOOKUP(B112,Hoja2!A$1:B$872,2,FALSE)</f>
        <v>34AA1</v>
      </c>
      <c r="L112">
        <f>VLOOKUP(B112,'LIGNIN BILBAO'!A$2:F$51,6,FALSE)</f>
        <v>115.39999999999928</v>
      </c>
      <c r="N112">
        <f t="shared" si="5"/>
        <v>109.80019029495651</v>
      </c>
      <c r="O112">
        <f t="shared" si="6"/>
        <v>117.55901128425506</v>
      </c>
    </row>
    <row r="113" spans="1:23" x14ac:dyDescent="0.3">
      <c r="B113">
        <v>1027</v>
      </c>
      <c r="C113">
        <v>0.20000000000000004</v>
      </c>
      <c r="D113">
        <f t="shared" si="7"/>
        <v>1.953983684236237E-3</v>
      </c>
      <c r="E113">
        <v>3.6249999999999998E-2</v>
      </c>
      <c r="F113">
        <f t="shared" si="8"/>
        <v>2.9575497044599679</v>
      </c>
      <c r="G113">
        <f>VLOOKUP(B113,'LIGNIN BILBAO'!A$2:C$51,3,FALSE)</f>
        <v>116.3</v>
      </c>
      <c r="H113">
        <f t="shared" si="9"/>
        <v>2.5430349995356559E-2</v>
      </c>
      <c r="I113">
        <f t="shared" si="10"/>
        <v>25.430349995356558</v>
      </c>
      <c r="J113">
        <f t="shared" si="11"/>
        <v>2.543034999535656</v>
      </c>
      <c r="K113" s="4" t="str">
        <f>VLOOKUP(B113,Hoja2!A$1:B$872,2,FALSE)</f>
        <v>34AA4</v>
      </c>
      <c r="L113">
        <f>VLOOKUP(B113,'LIGNIN BILBAO'!A$2:F$51,6,FALSE)</f>
        <v>96.8</v>
      </c>
      <c r="N113">
        <f t="shared" si="5"/>
        <v>83.233018056749785</v>
      </c>
      <c r="O113">
        <f t="shared" si="6"/>
        <v>99.757549704459962</v>
      </c>
    </row>
    <row r="114" spans="1:23" x14ac:dyDescent="0.3">
      <c r="B114">
        <v>1032</v>
      </c>
      <c r="C114">
        <v>0.17066666666666666</v>
      </c>
      <c r="D114">
        <f t="shared" si="7"/>
        <v>1.6673994105482551E-3</v>
      </c>
      <c r="E114">
        <v>3.6249999999999998E-2</v>
      </c>
      <c r="F114">
        <f t="shared" si="8"/>
        <v>2.5237757478058387</v>
      </c>
      <c r="G114">
        <f>VLOOKUP(B114,'LIGNIN BILBAO'!A$2:C$51,3,FALSE)</f>
        <v>151.30000000000001</v>
      </c>
      <c r="H114">
        <f t="shared" si="9"/>
        <v>1.6680606396601707E-2</v>
      </c>
      <c r="I114">
        <f t="shared" si="10"/>
        <v>16.680606396601707</v>
      </c>
      <c r="J114">
        <f t="shared" si="11"/>
        <v>1.6680606396601707</v>
      </c>
      <c r="K114" s="4" t="str">
        <f>VLOOKUP(B114,Hoja2!A$1:B$872,2,FALSE)</f>
        <v>35AA2</v>
      </c>
      <c r="L114">
        <f>VLOOKUP(B114,'LIGNIN BILBAO'!A$2:F$51,6,FALSE)</f>
        <v>112.09999999999987</v>
      </c>
      <c r="N114">
        <f t="shared" si="5"/>
        <v>74.091209517514784</v>
      </c>
      <c r="O114">
        <f t="shared" si="6"/>
        <v>114.62377574780571</v>
      </c>
    </row>
    <row r="115" spans="1:23" x14ac:dyDescent="0.3">
      <c r="B115">
        <v>1039</v>
      </c>
      <c r="C115">
        <v>0.27199999999999996</v>
      </c>
      <c r="D115">
        <f t="shared" si="7"/>
        <v>2.6574178105612813E-3</v>
      </c>
      <c r="E115">
        <v>3.6249999999999998E-2</v>
      </c>
      <c r="F115">
        <f t="shared" si="8"/>
        <v>4.0222675980655556</v>
      </c>
      <c r="G115">
        <f>VLOOKUP(B115,'LIGNIN BILBAO'!A$2:C$51,3,FALSE)</f>
        <v>122.1</v>
      </c>
      <c r="H115">
        <f t="shared" si="9"/>
        <v>3.2942404570561475E-2</v>
      </c>
      <c r="I115">
        <f t="shared" si="10"/>
        <v>32.942404570561472</v>
      </c>
      <c r="J115">
        <f t="shared" si="11"/>
        <v>3.2942404570561474</v>
      </c>
      <c r="K115" s="4" t="str">
        <f>VLOOKUP(B115,Hoja2!A$1:B$872,2,FALSE)</f>
        <v>63AA4</v>
      </c>
      <c r="L115">
        <f>VLOOKUP(B115,'LIGNIN BILBAO'!A$2:F$51,6,FALSE)</f>
        <v>85.300000000000153</v>
      </c>
      <c r="N115">
        <f t="shared" si="5"/>
        <v>69.860769860769992</v>
      </c>
      <c r="O115">
        <f t="shared" si="6"/>
        <v>89.322267598065707</v>
      </c>
    </row>
    <row r="116" spans="1:23" x14ac:dyDescent="0.3">
      <c r="B116">
        <v>1047</v>
      </c>
      <c r="C116">
        <v>0.78833333333333344</v>
      </c>
      <c r="D116">
        <f t="shared" si="7"/>
        <v>7.7019523553644997E-3</v>
      </c>
      <c r="E116">
        <v>3.6249999999999998E-2</v>
      </c>
      <c r="F116">
        <f t="shared" si="8"/>
        <v>11.657675085079706</v>
      </c>
      <c r="G116">
        <f>VLOOKUP(B116,'LIGNIN BILBAO'!A$2:C$51,3,FALSE)</f>
        <v>122.5</v>
      </c>
      <c r="H116">
        <f t="shared" si="9"/>
        <v>9.5164694572079239E-2</v>
      </c>
      <c r="I116">
        <f t="shared" si="10"/>
        <v>95.164694572079242</v>
      </c>
      <c r="J116">
        <f t="shared" si="11"/>
        <v>9.5164694572079238</v>
      </c>
      <c r="K116" s="4" t="str">
        <f>VLOOKUP(B116,Hoja2!A$1:B$872,2,FALSE)</f>
        <v>64FS2</v>
      </c>
      <c r="L116">
        <f>VLOOKUP(B116,'LIGNIN BILBAO'!A$2:F$51,6,FALSE)</f>
        <v>185.50000000000111</v>
      </c>
      <c r="N116">
        <f t="shared" si="5"/>
        <v>151.42857142857233</v>
      </c>
      <c r="O116">
        <f t="shared" si="6"/>
        <v>197.15767508508083</v>
      </c>
    </row>
    <row r="117" spans="1:23" x14ac:dyDescent="0.3">
      <c r="B117">
        <v>1048</v>
      </c>
      <c r="C117">
        <v>0.8653333333333334</v>
      </c>
      <c r="D117">
        <f t="shared" si="7"/>
        <v>8.454236073795451E-3</v>
      </c>
      <c r="E117">
        <v>3.6249999999999998E-2</v>
      </c>
      <c r="F117">
        <f t="shared" si="8"/>
        <v>12.796331721296793</v>
      </c>
      <c r="G117">
        <f>VLOOKUP(B117,'LIGNIN BILBAO'!A$2:C$51,3,FALSE)</f>
        <v>136.19999999999999</v>
      </c>
      <c r="H117">
        <f t="shared" si="9"/>
        <v>9.3952508966936812E-2</v>
      </c>
      <c r="I117">
        <f t="shared" si="10"/>
        <v>93.952508966936819</v>
      </c>
      <c r="J117">
        <f t="shared" si="11"/>
        <v>9.3952508966936819</v>
      </c>
      <c r="K117" s="4" t="str">
        <f>VLOOKUP(B117,Hoja2!A$1:B$872,2,FALSE)</f>
        <v>64FS4</v>
      </c>
      <c r="L117">
        <f>VLOOKUP(B117,'LIGNIN BILBAO'!A$2:F$51,6,FALSE)</f>
        <v>55.299999999999017</v>
      </c>
      <c r="N117">
        <f t="shared" si="5"/>
        <v>40.602055800292966</v>
      </c>
      <c r="O117">
        <f t="shared" si="6"/>
        <v>68.096331721295812</v>
      </c>
    </row>
    <row r="118" spans="1:23" x14ac:dyDescent="0.3">
      <c r="B118">
        <v>1086</v>
      </c>
      <c r="C118">
        <v>0.12233333333333334</v>
      </c>
      <c r="D118">
        <f t="shared" si="7"/>
        <v>1.1951866868578315E-3</v>
      </c>
      <c r="E118">
        <v>3.6249999999999998E-2</v>
      </c>
      <c r="F118">
        <f t="shared" si="8"/>
        <v>1.8090345692280136</v>
      </c>
      <c r="G118">
        <f>VLOOKUP(B118,'LIGNIN BILBAO'!A$2:C$51,3,FALSE)</f>
        <v>118.4</v>
      </c>
      <c r="H118">
        <f t="shared" si="9"/>
        <v>1.5279008186047412E-2</v>
      </c>
      <c r="I118">
        <f t="shared" si="10"/>
        <v>15.279008186047411</v>
      </c>
      <c r="J118">
        <f t="shared" si="11"/>
        <v>1.5279008186047411</v>
      </c>
      <c r="K118" s="4" t="str">
        <f>VLOOKUP(B118,Hoja2!A$1:B$872,2,FALSE)</f>
        <v>65AA2</v>
      </c>
      <c r="L118">
        <f>VLOOKUP(B118,'LIGNIN BILBAO'!A$2:F$51,6,FALSE)</f>
        <v>107.40000000000016</v>
      </c>
      <c r="N118">
        <f t="shared" si="5"/>
        <v>90.709459459459595</v>
      </c>
      <c r="O118">
        <f t="shared" si="6"/>
        <v>109.20903456922818</v>
      </c>
    </row>
    <row r="119" spans="1:23" x14ac:dyDescent="0.3">
      <c r="B119">
        <v>1089</v>
      </c>
      <c r="C119">
        <v>0.82266666666666666</v>
      </c>
      <c r="D119">
        <f t="shared" si="7"/>
        <v>8.0373862211583855E-3</v>
      </c>
      <c r="E119">
        <v>3.6249999999999998E-2</v>
      </c>
      <c r="F119">
        <f t="shared" si="8"/>
        <v>12.165387784345331</v>
      </c>
      <c r="G119">
        <f>VLOOKUP(B119,'LIGNIN BILBAO'!A$2:C$51,3,FALSE)</f>
        <v>141.5</v>
      </c>
      <c r="H119">
        <f t="shared" si="9"/>
        <v>8.5974471974171948E-2</v>
      </c>
      <c r="I119">
        <f t="shared" si="10"/>
        <v>85.974471974171948</v>
      </c>
      <c r="J119">
        <f t="shared" si="11"/>
        <v>8.5974471974171944</v>
      </c>
      <c r="K119" s="4" t="str">
        <f>VLOOKUP(B119,Hoja2!A$1:B$872,2,FALSE)</f>
        <v>65FS2</v>
      </c>
      <c r="L119">
        <f>VLOOKUP(B119,'LIGNIN BILBAO'!A$2:F$51,6,FALSE)</f>
        <v>127.09999999999866</v>
      </c>
      <c r="N119">
        <f t="shared" si="5"/>
        <v>89.823321554769379</v>
      </c>
      <c r="O119">
        <f t="shared" si="6"/>
        <v>139.265387784344</v>
      </c>
    </row>
    <row r="120" spans="1:23" x14ac:dyDescent="0.3">
      <c r="B120" s="79">
        <v>1072</v>
      </c>
      <c r="C120" s="79">
        <v>0.65166666666666662</v>
      </c>
      <c r="D120" s="79">
        <f t="shared" si="7"/>
        <v>6.3667301711364038E-3</v>
      </c>
      <c r="E120" s="79">
        <v>3.6249999999999998E-2</v>
      </c>
      <c r="F120" s="79">
        <f t="shared" si="8"/>
        <v>9.6366827870320595</v>
      </c>
      <c r="G120" s="79">
        <f>VLOOKUP(B120,'LIGNIN BILBAO'!A$2:C$51,3,FALSE)</f>
        <v>115.7</v>
      </c>
      <c r="H120" s="79">
        <f t="shared" si="9"/>
        <v>8.3290257450579594E-2</v>
      </c>
      <c r="I120" s="79">
        <f t="shared" si="10"/>
        <v>83.290257450579588</v>
      </c>
      <c r="J120" s="79">
        <f t="shared" si="11"/>
        <v>8.3290257450579599</v>
      </c>
      <c r="K120" s="80" t="str">
        <f>VLOOKUP(B120,Hoja2!A$1:B$872,2,FALSE)</f>
        <v>33FS4</v>
      </c>
      <c r="L120">
        <f>VLOOKUP(B120,'LIGNIN BILBAO'!A$2:F$51,6,FALSE)</f>
        <v>89.900000000000091</v>
      </c>
      <c r="N120">
        <f t="shared" si="5"/>
        <v>77.700950734658676</v>
      </c>
      <c r="O120">
        <f t="shared" si="6"/>
        <v>99.536682787032149</v>
      </c>
    </row>
    <row r="121" spans="1:23" x14ac:dyDescent="0.3">
      <c r="B121" s="79">
        <v>382</v>
      </c>
      <c r="C121" s="79">
        <v>0.68233333333333335</v>
      </c>
      <c r="D121" s="79">
        <f t="shared" si="7"/>
        <v>6.6663410027192936E-3</v>
      </c>
      <c r="E121" s="79">
        <v>3.6249999999999998E-2</v>
      </c>
      <c r="F121" s="79">
        <f t="shared" si="8"/>
        <v>10.090173741715923</v>
      </c>
      <c r="G121" s="79">
        <f>VLOOKUP(B121,'LIGNIN BILBAO'!A$2:C$51,3,FALSE)</f>
        <v>117.4</v>
      </c>
      <c r="H121" s="79">
        <f t="shared" si="9"/>
        <v>8.5946965431992525E-2</v>
      </c>
      <c r="I121" s="79">
        <f t="shared" si="10"/>
        <v>85.946965431992524</v>
      </c>
      <c r="J121" s="79">
        <f t="shared" si="11"/>
        <v>8.5946965431992517</v>
      </c>
      <c r="K121" s="80" t="str">
        <f>VLOOKUP(B121,Hoja2!A$1:B$872,2,FALSE)</f>
        <v>25-P6S4C2FS</v>
      </c>
      <c r="L121">
        <f>VLOOKUP(B121,'LIGNIN BILBAO'!A$2:F$51,6,FALSE)</f>
        <v>191.20000000000027</v>
      </c>
      <c r="N121">
        <f t="shared" si="5"/>
        <v>162.86201022146528</v>
      </c>
      <c r="O121">
        <f t="shared" si="6"/>
        <v>201.29017374171619</v>
      </c>
    </row>
    <row r="124" spans="1:23" x14ac:dyDescent="0.3">
      <c r="A124" t="s">
        <v>920</v>
      </c>
      <c r="B124" t="s">
        <v>9</v>
      </c>
      <c r="C124" t="s">
        <v>36</v>
      </c>
      <c r="D124" t="s">
        <v>42</v>
      </c>
      <c r="E124" t="s">
        <v>40</v>
      </c>
      <c r="F124" t="s">
        <v>43</v>
      </c>
      <c r="G124" t="s">
        <v>38</v>
      </c>
      <c r="H124" t="s">
        <v>44</v>
      </c>
      <c r="I124" t="s">
        <v>45</v>
      </c>
      <c r="J124" t="s">
        <v>46</v>
      </c>
      <c r="K124" t="s">
        <v>924</v>
      </c>
      <c r="L124" t="s">
        <v>923</v>
      </c>
      <c r="M124" t="s">
        <v>921</v>
      </c>
      <c r="N124" t="s">
        <v>919</v>
      </c>
    </row>
    <row r="125" spans="1:23" x14ac:dyDescent="0.3">
      <c r="B125">
        <v>1019</v>
      </c>
      <c r="C125">
        <v>0.21099999999999999</v>
      </c>
      <c r="D125">
        <v>2.0614527868692296E-3</v>
      </c>
      <c r="E125">
        <v>3.6249999999999998E-2</v>
      </c>
      <c r="F125">
        <v>3.1202149382052657</v>
      </c>
      <c r="G125">
        <v>133</v>
      </c>
      <c r="H125">
        <v>2.3460262693272674E-2</v>
      </c>
      <c r="I125">
        <v>23.460262693272675</v>
      </c>
      <c r="J125">
        <v>2.3460262693272673</v>
      </c>
      <c r="K125" t="s">
        <v>847</v>
      </c>
      <c r="L125">
        <v>1</v>
      </c>
      <c r="M125" t="str">
        <f t="shared" ref="M125:M141" si="12">RIGHT(K125,1)</f>
        <v>1</v>
      </c>
      <c r="N125" t="str">
        <f t="shared" ref="N125:N141" si="13">LEFT(RIGHT(K125,3),2)</f>
        <v>AA</v>
      </c>
      <c r="Q125" t="s">
        <v>931</v>
      </c>
      <c r="R125" t="s">
        <v>933</v>
      </c>
      <c r="S125" t="s">
        <v>935</v>
      </c>
      <c r="U125" t="s">
        <v>932</v>
      </c>
      <c r="V125" t="s">
        <v>934</v>
      </c>
      <c r="W125" t="s">
        <v>936</v>
      </c>
    </row>
    <row r="126" spans="1:23" x14ac:dyDescent="0.3">
      <c r="B126">
        <v>1025</v>
      </c>
      <c r="C126">
        <v>0.14599999999999999</v>
      </c>
      <c r="D126">
        <v>1.4264080894924526E-3</v>
      </c>
      <c r="E126">
        <v>3.6249999999999998E-2</v>
      </c>
      <c r="F126">
        <v>2.1590112842557763</v>
      </c>
      <c r="G126">
        <v>105.1</v>
      </c>
      <c r="H126">
        <v>2.0542447994821848E-2</v>
      </c>
      <c r="I126">
        <v>20.542447994821849</v>
      </c>
      <c r="J126">
        <v>2.0542447994821846</v>
      </c>
      <c r="K126" t="s">
        <v>853</v>
      </c>
      <c r="L126">
        <v>1</v>
      </c>
      <c r="M126" t="str">
        <f t="shared" si="12"/>
        <v>1</v>
      </c>
      <c r="N126" t="str">
        <f t="shared" si="13"/>
        <v>AA</v>
      </c>
      <c r="P126" t="s">
        <v>925</v>
      </c>
      <c r="Q126">
        <f>AVERAGE(J125:J128)</f>
        <v>2.4427441339866891</v>
      </c>
      <c r="R126">
        <f>AVERAGE(J162:J167)</f>
        <v>2.1358148112781858</v>
      </c>
      <c r="S126">
        <f>AVERAGE(J145:J148)</f>
        <v>1.8130104063773314</v>
      </c>
      <c r="U126">
        <f>_xlfn.STDEV.P(J125:J128)/SQRT(COUNT(J125:J128))</f>
        <v>0.19737788751591573</v>
      </c>
      <c r="V126">
        <f>_xlfn.STDEV.P(J162:J167)/SQRT(COUNT(J162:J167))</f>
        <v>0.42707111234543499</v>
      </c>
      <c r="W126">
        <f>_xlfn.STDEV.P(J145:J148)/SQRT(COUNT(J145:J148))</f>
        <v>0.18868031261517282</v>
      </c>
    </row>
    <row r="127" spans="1:23" x14ac:dyDescent="0.3">
      <c r="B127">
        <v>1007</v>
      </c>
      <c r="C127">
        <v>0.22500000000000001</v>
      </c>
      <c r="D127">
        <v>2.1982316447657661E-3</v>
      </c>
      <c r="E127">
        <v>3.6249999999999998E-2</v>
      </c>
      <c r="F127">
        <v>3.3272434175174634</v>
      </c>
      <c r="G127">
        <v>107.3</v>
      </c>
      <c r="H127">
        <v>3.1008792334738709E-2</v>
      </c>
      <c r="I127">
        <v>31.008792334738708</v>
      </c>
      <c r="J127">
        <v>3.1008792334738708</v>
      </c>
      <c r="K127" t="s">
        <v>835</v>
      </c>
      <c r="L127">
        <v>1</v>
      </c>
      <c r="M127" t="str">
        <f t="shared" si="12"/>
        <v>1</v>
      </c>
      <c r="N127" t="str">
        <f t="shared" si="13"/>
        <v>AA</v>
      </c>
      <c r="P127" t="s">
        <v>926</v>
      </c>
      <c r="Q127">
        <f>AVERAGE(J130:J131)</f>
        <v>1.5979807291324559</v>
      </c>
      <c r="R127">
        <f>AVERAGE(J168:J169)</f>
        <v>1.7146357912742043</v>
      </c>
      <c r="S127">
        <f>AVERAGE(J151:J152)</f>
        <v>1.7898572259838081</v>
      </c>
      <c r="U127">
        <f>_xlfn.STDEV.P(J130:J131)/SQRT(COUNT(J130:J131))</f>
        <v>4.9553979959093643E-2</v>
      </c>
      <c r="V127">
        <f>_xlfn.STDEV.P(J168:J169)/SQRT(COUNT(J168:J169))</f>
        <v>5.4835618958168408E-2</v>
      </c>
      <c r="W127">
        <f>_xlfn.STDEV.P(J151:J152)/SQRT(COUNT(J151:J152))</f>
        <v>0.13776313162887793</v>
      </c>
    </row>
    <row r="128" spans="1:23" x14ac:dyDescent="0.3">
      <c r="B128">
        <v>1055</v>
      </c>
      <c r="C128">
        <v>0.17866666666666667</v>
      </c>
      <c r="D128">
        <v>1.7455587579177046E-3</v>
      </c>
      <c r="E128">
        <v>3.6249999999999998E-2</v>
      </c>
      <c r="F128">
        <v>2.6420777359842376</v>
      </c>
      <c r="G128">
        <v>116.4</v>
      </c>
      <c r="H128">
        <v>2.2698262336634342E-2</v>
      </c>
      <c r="I128">
        <v>22.698262336634343</v>
      </c>
      <c r="J128">
        <v>2.2698262336634341</v>
      </c>
      <c r="K128" t="s">
        <v>883</v>
      </c>
      <c r="L128">
        <v>1</v>
      </c>
      <c r="M128" t="str">
        <f t="shared" si="12"/>
        <v>1</v>
      </c>
      <c r="N128" t="str">
        <f t="shared" si="13"/>
        <v>AA</v>
      </c>
      <c r="P128" t="s">
        <v>927</v>
      </c>
      <c r="Q128">
        <f>AVERAGE(J135:J138)</f>
        <v>3.008298614617833</v>
      </c>
      <c r="R128">
        <f>AVERAGE(J170)</f>
        <v>3.3303182852524262</v>
      </c>
      <c r="S128">
        <f>AVERAGE(J157:J161)</f>
        <v>4.5659380366054494</v>
      </c>
      <c r="U128">
        <f>_xlfn.STDEV.P(J135:J138)/SQRT(COUNT(J135:J138))</f>
        <v>0.14452804953769549</v>
      </c>
      <c r="V128">
        <f>_xlfn.STDEV.P(J170)/SQRT(COUNT(J170))</f>
        <v>0</v>
      </c>
      <c r="W128">
        <f>_xlfn.STDEV.P(J157:J161)/SQRT(COUNT(J157:J161))</f>
        <v>0.77556466051005546</v>
      </c>
    </row>
    <row r="129" spans="1:23" x14ac:dyDescent="0.3">
      <c r="B129">
        <v>1070</v>
      </c>
      <c r="C129">
        <v>0.88966666666666672</v>
      </c>
      <c r="D129">
        <v>8.6919707553775264E-3</v>
      </c>
      <c r="E129">
        <v>3.6249999999999998E-2</v>
      </c>
      <c r="F129">
        <v>13.156166935339423</v>
      </c>
      <c r="G129">
        <v>150.5</v>
      </c>
      <c r="H129">
        <v>8.7416391596939688E-2</v>
      </c>
      <c r="I129">
        <v>87.41639159693969</v>
      </c>
      <c r="J129">
        <v>8.7416391596939693</v>
      </c>
      <c r="K129" t="s">
        <v>898</v>
      </c>
      <c r="L129">
        <v>1</v>
      </c>
      <c r="M129" t="str">
        <f t="shared" si="12"/>
        <v>1</v>
      </c>
      <c r="N129" t="str">
        <f t="shared" si="13"/>
        <v>FS</v>
      </c>
      <c r="P129" t="s">
        <v>928</v>
      </c>
      <c r="Q129">
        <f>AVERAGE(J129)</f>
        <v>8.7416391596939693</v>
      </c>
      <c r="R129">
        <f>AVERAGE(J171:J174)</f>
        <v>8.8885899923056595</v>
      </c>
      <c r="S129">
        <f>AVERAGE(J149:J150)</f>
        <v>9.1012076191555327</v>
      </c>
      <c r="U129">
        <f>_xlfn.STDEV.P(J129)/SQRT(COUNT(J129))</f>
        <v>0</v>
      </c>
      <c r="V129">
        <f>_xlfn.STDEV.P(J171:J174)/SQRT(COUNT(J171:J174))</f>
        <v>0.15827706334146621</v>
      </c>
      <c r="W129">
        <f>_xlfn.STDEV.P(J149:J150)/SQRT(COUNT(J149:J150))</f>
        <v>1.0054037276512382</v>
      </c>
    </row>
    <row r="130" spans="1:23" x14ac:dyDescent="0.3">
      <c r="B130">
        <v>1032</v>
      </c>
      <c r="C130">
        <v>0.17066666666666666</v>
      </c>
      <c r="D130">
        <v>1.6673994105482551E-3</v>
      </c>
      <c r="E130">
        <v>3.6249999999999998E-2</v>
      </c>
      <c r="F130">
        <v>2.5237757478058387</v>
      </c>
      <c r="G130">
        <v>151.30000000000001</v>
      </c>
      <c r="H130">
        <v>1.6680606396601707E-2</v>
      </c>
      <c r="I130">
        <v>16.680606396601707</v>
      </c>
      <c r="J130">
        <v>1.6680606396601707</v>
      </c>
      <c r="K130" t="s">
        <v>860</v>
      </c>
      <c r="L130">
        <v>1</v>
      </c>
      <c r="M130" t="str">
        <f t="shared" si="12"/>
        <v>2</v>
      </c>
      <c r="N130" t="str">
        <f t="shared" si="13"/>
        <v>AA</v>
      </c>
      <c r="P130" t="s">
        <v>929</v>
      </c>
      <c r="Q130">
        <f>AVERAGE(J132:J134)</f>
        <v>9.2570042718853696</v>
      </c>
      <c r="S130">
        <f>AVERAGE(J153:J156)</f>
        <v>9.4724385081648972</v>
      </c>
      <c r="U130">
        <f>_xlfn.STDEV.P(J132:J134)/SQRT(COUNT(J132:J134))</f>
        <v>0.27129550035904793</v>
      </c>
      <c r="W130">
        <f>_xlfn.STDEV.P(J153:J156)/SQRT(COUNT(J153:J156))</f>
        <v>0.26672310734164717</v>
      </c>
    </row>
    <row r="131" spans="1:23" x14ac:dyDescent="0.3">
      <c r="B131">
        <v>1086</v>
      </c>
      <c r="C131">
        <v>0.12233333333333334</v>
      </c>
      <c r="D131">
        <v>1.1951866868578315E-3</v>
      </c>
      <c r="E131">
        <v>3.6249999999999998E-2</v>
      </c>
      <c r="F131">
        <v>1.8090345692280136</v>
      </c>
      <c r="G131">
        <v>118.4</v>
      </c>
      <c r="H131">
        <v>1.5279008186047412E-2</v>
      </c>
      <c r="I131">
        <v>15.279008186047411</v>
      </c>
      <c r="J131">
        <v>1.5279008186047411</v>
      </c>
      <c r="K131" t="s">
        <v>914</v>
      </c>
      <c r="L131">
        <v>1</v>
      </c>
      <c r="M131" t="str">
        <f t="shared" si="12"/>
        <v>2</v>
      </c>
      <c r="N131" t="str">
        <f t="shared" si="13"/>
        <v>AA</v>
      </c>
      <c r="P131" t="s">
        <v>930</v>
      </c>
      <c r="Q131">
        <f>AVERAGE(J139:J141)</f>
        <v>9.161428155867311</v>
      </c>
      <c r="R131">
        <f>AVERAGE(J175:J177)</f>
        <v>9.9131722956067421</v>
      </c>
      <c r="U131">
        <f>_xlfn.STDEV.P(J139:J141)/SQRT(COUNT(J139:J141))</f>
        <v>0.35053363588260483</v>
      </c>
      <c r="V131">
        <f>_xlfn.STDEV.P(J175:J177)/SQRT(COUNT(J175:J177))</f>
        <v>0.43417141477098287</v>
      </c>
    </row>
    <row r="132" spans="1:23" x14ac:dyDescent="0.3">
      <c r="B132">
        <v>1023</v>
      </c>
      <c r="C132">
        <v>0.94299999999999995</v>
      </c>
      <c r="D132">
        <v>9.2130330711738557E-3</v>
      </c>
      <c r="E132">
        <v>3.6249999999999998E-2</v>
      </c>
      <c r="F132">
        <v>13.944846856528747</v>
      </c>
      <c r="G132">
        <v>144.4</v>
      </c>
      <c r="H132">
        <v>9.6570961610309883E-2</v>
      </c>
      <c r="I132">
        <v>96.57096161030988</v>
      </c>
      <c r="J132">
        <v>9.6570961610309887</v>
      </c>
      <c r="K132" t="s">
        <v>851</v>
      </c>
      <c r="L132">
        <v>1</v>
      </c>
      <c r="M132" t="str">
        <f t="shared" si="12"/>
        <v>2</v>
      </c>
      <c r="N132" t="str">
        <f t="shared" si="13"/>
        <v>FS</v>
      </c>
    </row>
    <row r="133" spans="1:23" x14ac:dyDescent="0.3">
      <c r="B133">
        <v>1047</v>
      </c>
      <c r="C133">
        <v>0.78833333333333344</v>
      </c>
      <c r="D133">
        <v>7.7019523553644997E-3</v>
      </c>
      <c r="E133">
        <v>3.6249999999999998E-2</v>
      </c>
      <c r="F133">
        <v>11.657675085079706</v>
      </c>
      <c r="G133">
        <v>122.5</v>
      </c>
      <c r="H133">
        <v>9.5164694572079239E-2</v>
      </c>
      <c r="I133">
        <v>95.164694572079242</v>
      </c>
      <c r="J133">
        <v>9.5164694572079238</v>
      </c>
      <c r="K133" t="s">
        <v>875</v>
      </c>
      <c r="L133">
        <v>1</v>
      </c>
      <c r="M133" t="str">
        <f t="shared" si="12"/>
        <v>2</v>
      </c>
      <c r="N133" t="str">
        <f t="shared" si="13"/>
        <v>FS</v>
      </c>
    </row>
    <row r="134" spans="1:23" x14ac:dyDescent="0.3">
      <c r="B134">
        <v>1089</v>
      </c>
      <c r="C134">
        <v>0.82266666666666666</v>
      </c>
      <c r="D134">
        <v>8.0373862211583855E-3</v>
      </c>
      <c r="E134">
        <v>3.6249999999999998E-2</v>
      </c>
      <c r="F134">
        <v>12.165387784345331</v>
      </c>
      <c r="G134">
        <v>141.5</v>
      </c>
      <c r="H134">
        <v>8.5974471974171948E-2</v>
      </c>
      <c r="I134">
        <v>85.974471974171948</v>
      </c>
      <c r="J134">
        <v>8.5974471974171944</v>
      </c>
      <c r="K134" t="s">
        <v>917</v>
      </c>
      <c r="L134">
        <v>1</v>
      </c>
      <c r="M134" t="str">
        <f t="shared" si="12"/>
        <v>2</v>
      </c>
      <c r="N134" t="str">
        <f t="shared" si="13"/>
        <v>FS</v>
      </c>
    </row>
    <row r="135" spans="1:23" x14ac:dyDescent="0.3">
      <c r="B135">
        <v>1063</v>
      </c>
      <c r="C135">
        <v>0.23699999999999999</v>
      </c>
      <c r="D135">
        <v>2.31547066581994E-3</v>
      </c>
      <c r="E135">
        <v>3.6249999999999998E-2</v>
      </c>
      <c r="F135">
        <v>3.5046963997850611</v>
      </c>
      <c r="G135">
        <v>109.6</v>
      </c>
      <c r="H135">
        <v>3.197715693234545E-2</v>
      </c>
      <c r="I135">
        <v>31.977156932345451</v>
      </c>
      <c r="J135">
        <v>3.197715693234545</v>
      </c>
      <c r="K135" t="s">
        <v>891</v>
      </c>
      <c r="L135">
        <v>1</v>
      </c>
      <c r="M135" t="str">
        <f t="shared" si="12"/>
        <v>4</v>
      </c>
      <c r="N135" t="str">
        <f t="shared" si="13"/>
        <v>AA</v>
      </c>
    </row>
    <row r="136" spans="1:23" x14ac:dyDescent="0.3">
      <c r="B136">
        <v>1027</v>
      </c>
      <c r="C136">
        <v>0.20000000000000004</v>
      </c>
      <c r="D136">
        <v>1.953983684236237E-3</v>
      </c>
      <c r="E136">
        <v>3.6249999999999998E-2</v>
      </c>
      <c r="F136">
        <v>2.9575497044599679</v>
      </c>
      <c r="G136">
        <v>116.3</v>
      </c>
      <c r="H136">
        <v>2.5430349995356559E-2</v>
      </c>
      <c r="I136">
        <v>25.430349995356558</v>
      </c>
      <c r="J136">
        <v>2.543034999535656</v>
      </c>
      <c r="K136" t="s">
        <v>855</v>
      </c>
      <c r="L136">
        <v>1</v>
      </c>
      <c r="M136" t="str">
        <f t="shared" si="12"/>
        <v>4</v>
      </c>
      <c r="N136" t="str">
        <f t="shared" si="13"/>
        <v>AA</v>
      </c>
    </row>
    <row r="137" spans="1:23" x14ac:dyDescent="0.3">
      <c r="B137">
        <v>1039</v>
      </c>
      <c r="C137">
        <v>0.27199999999999996</v>
      </c>
      <c r="D137">
        <v>2.6574178105612813E-3</v>
      </c>
      <c r="E137">
        <v>3.6249999999999998E-2</v>
      </c>
      <c r="F137">
        <v>4.0222675980655556</v>
      </c>
      <c r="G137">
        <v>122.1</v>
      </c>
      <c r="H137">
        <v>3.2942404570561475E-2</v>
      </c>
      <c r="I137">
        <v>32.942404570561472</v>
      </c>
      <c r="J137">
        <v>3.2942404570561474</v>
      </c>
      <c r="K137" t="s">
        <v>867</v>
      </c>
      <c r="L137">
        <v>1</v>
      </c>
      <c r="M137" t="str">
        <f t="shared" si="12"/>
        <v>4</v>
      </c>
      <c r="N137" t="str">
        <f t="shared" si="13"/>
        <v>AA</v>
      </c>
    </row>
    <row r="138" spans="1:23" x14ac:dyDescent="0.3">
      <c r="B138">
        <v>1003</v>
      </c>
      <c r="C138">
        <v>0.21633333333333335</v>
      </c>
      <c r="D138">
        <v>2.1135590184488628E-3</v>
      </c>
      <c r="E138">
        <v>3.6249999999999998E-2</v>
      </c>
      <c r="F138">
        <v>3.1990829303241983</v>
      </c>
      <c r="G138">
        <v>106.7</v>
      </c>
      <c r="H138">
        <v>2.9982033086449842E-2</v>
      </c>
      <c r="I138">
        <v>29.982033086449842</v>
      </c>
      <c r="J138">
        <v>2.9982033086449844</v>
      </c>
      <c r="K138" t="s">
        <v>831</v>
      </c>
      <c r="L138">
        <v>1</v>
      </c>
      <c r="M138" t="str">
        <f t="shared" si="12"/>
        <v>4</v>
      </c>
      <c r="N138" t="str">
        <f t="shared" si="13"/>
        <v>AA</v>
      </c>
    </row>
    <row r="139" spans="1:23" x14ac:dyDescent="0.3">
      <c r="B139">
        <v>1048</v>
      </c>
      <c r="C139">
        <v>0.8653333333333334</v>
      </c>
      <c r="D139">
        <v>8.454236073795451E-3</v>
      </c>
      <c r="E139">
        <v>3.6249999999999998E-2</v>
      </c>
      <c r="F139">
        <v>12.796331721296793</v>
      </c>
      <c r="G139">
        <v>136.19999999999999</v>
      </c>
      <c r="H139">
        <v>9.3952508966936812E-2</v>
      </c>
      <c r="I139">
        <v>93.952508966936819</v>
      </c>
      <c r="J139">
        <v>9.3952508966936819</v>
      </c>
      <c r="K139" t="s">
        <v>876</v>
      </c>
      <c r="L139">
        <v>1</v>
      </c>
      <c r="M139" t="str">
        <f t="shared" si="12"/>
        <v>4</v>
      </c>
      <c r="N139" t="str">
        <f t="shared" si="13"/>
        <v>FS</v>
      </c>
    </row>
    <row r="140" spans="1:23" x14ac:dyDescent="0.3">
      <c r="B140">
        <v>1072</v>
      </c>
      <c r="C140">
        <v>0.65166666666666662</v>
      </c>
      <c r="D140">
        <v>6.3667301711364038E-3</v>
      </c>
      <c r="E140">
        <v>3.6249999999999998E-2</v>
      </c>
      <c r="F140">
        <v>9.6366827870320595</v>
      </c>
      <c r="G140">
        <v>115.7</v>
      </c>
      <c r="H140">
        <v>8.3290257450579594E-2</v>
      </c>
      <c r="I140">
        <v>83.290257450579588</v>
      </c>
      <c r="J140">
        <v>8.3290257450579599</v>
      </c>
      <c r="K140" t="s">
        <v>900</v>
      </c>
      <c r="L140">
        <v>1</v>
      </c>
      <c r="M140" t="str">
        <f t="shared" si="12"/>
        <v>4</v>
      </c>
      <c r="N140" t="str">
        <f t="shared" si="13"/>
        <v>FS</v>
      </c>
    </row>
    <row r="141" spans="1:23" x14ac:dyDescent="0.3">
      <c r="B141">
        <v>1018</v>
      </c>
      <c r="C141">
        <v>0.69366666666666665</v>
      </c>
      <c r="D141">
        <v>6.7770667448260134E-3</v>
      </c>
      <c r="E141">
        <v>3.6249999999999998E-2</v>
      </c>
      <c r="F141">
        <v>10.257768224968654</v>
      </c>
      <c r="G141">
        <v>105.1</v>
      </c>
      <c r="H141">
        <v>9.7600078258502893E-2</v>
      </c>
      <c r="I141">
        <v>97.60007825850289</v>
      </c>
      <c r="J141">
        <v>9.7600078258502894</v>
      </c>
      <c r="K141" t="s">
        <v>846</v>
      </c>
      <c r="L141">
        <v>1</v>
      </c>
      <c r="M141" t="str">
        <f t="shared" si="12"/>
        <v>4</v>
      </c>
      <c r="N141" t="str">
        <f t="shared" si="13"/>
        <v>FS</v>
      </c>
    </row>
    <row r="144" spans="1:23" x14ac:dyDescent="0.3">
      <c r="A144" t="s">
        <v>922</v>
      </c>
      <c r="B144" s="81" t="s">
        <v>9</v>
      </c>
      <c r="C144" s="82" t="s">
        <v>36</v>
      </c>
      <c r="D144" s="82" t="s">
        <v>42</v>
      </c>
      <c r="E144" s="82" t="s">
        <v>40</v>
      </c>
      <c r="F144" s="82" t="s">
        <v>43</v>
      </c>
      <c r="G144" s="82" t="s">
        <v>38</v>
      </c>
      <c r="H144" s="82" t="s">
        <v>44</v>
      </c>
      <c r="I144" s="82" t="s">
        <v>45</v>
      </c>
      <c r="J144" s="82" t="s">
        <v>46</v>
      </c>
      <c r="K144" s="82" t="s">
        <v>924</v>
      </c>
      <c r="L144" s="82" t="s">
        <v>923</v>
      </c>
      <c r="M144" s="82" t="s">
        <v>919</v>
      </c>
      <c r="N144" s="83" t="s">
        <v>921</v>
      </c>
    </row>
    <row r="145" spans="2:14" hidden="1" x14ac:dyDescent="0.3">
      <c r="B145">
        <v>146</v>
      </c>
      <c r="C145">
        <v>0.16733333333333333</v>
      </c>
      <c r="D145">
        <v>1.6348330158109845E-3</v>
      </c>
      <c r="E145">
        <v>3.6249999999999998E-2</v>
      </c>
      <c r="F145">
        <v>2.4744832527315062</v>
      </c>
      <c r="G145">
        <v>115.5</v>
      </c>
      <c r="H145">
        <v>2.1424097426246808E-2</v>
      </c>
      <c r="I145">
        <v>21.42409742624681</v>
      </c>
      <c r="J145">
        <v>2.1424097426246806</v>
      </c>
      <c r="K145" s="4" t="s">
        <v>85</v>
      </c>
      <c r="L145" t="str">
        <f t="shared" ref="L145:L177" si="14">LEFT(K145,2)</f>
        <v>25</v>
      </c>
      <c r="M145" t="str">
        <f t="shared" ref="M145:M177" si="15">RIGHT(K145,2)</f>
        <v>AA</v>
      </c>
      <c r="N145" t="str">
        <f t="shared" ref="N145:N177" si="16">LEFT(RIGHT(K145,3),1)</f>
        <v>1</v>
      </c>
    </row>
    <row r="146" spans="2:14" hidden="1" x14ac:dyDescent="0.3">
      <c r="B146">
        <v>170</v>
      </c>
      <c r="C146">
        <v>0.17866666666666667</v>
      </c>
      <c r="D146">
        <v>1.7455587579177046E-3</v>
      </c>
      <c r="E146">
        <v>3.6249999999999998E-2</v>
      </c>
      <c r="F146">
        <v>2.6420777359842376</v>
      </c>
      <c r="G146">
        <v>119.1</v>
      </c>
      <c r="H146">
        <v>2.2183692157718201E-2</v>
      </c>
      <c r="I146">
        <v>22.183692157718202</v>
      </c>
      <c r="J146">
        <v>2.21836921577182</v>
      </c>
      <c r="K146" s="4" t="s">
        <v>97</v>
      </c>
      <c r="L146" t="str">
        <f t="shared" si="14"/>
        <v>25</v>
      </c>
      <c r="M146" t="str">
        <f t="shared" si="15"/>
        <v>AA</v>
      </c>
      <c r="N146" t="str">
        <f t="shared" si="16"/>
        <v>1</v>
      </c>
    </row>
    <row r="147" spans="2:14" hidden="1" x14ac:dyDescent="0.3">
      <c r="B147">
        <v>324</v>
      </c>
      <c r="C147">
        <v>0.14100000000000001</v>
      </c>
      <c r="D147">
        <v>1.377558497386547E-3</v>
      </c>
      <c r="E147">
        <v>3.6249999999999998E-2</v>
      </c>
      <c r="F147">
        <v>2.0850725416442772</v>
      </c>
      <c r="G147">
        <v>156.80000000000001</v>
      </c>
      <c r="H147">
        <v>1.3297656515588502E-2</v>
      </c>
      <c r="I147">
        <v>13.297656515588502</v>
      </c>
      <c r="J147">
        <v>1.3297656515588503</v>
      </c>
      <c r="K147" s="4" t="s">
        <v>109</v>
      </c>
      <c r="L147" t="str">
        <f t="shared" si="14"/>
        <v>25</v>
      </c>
      <c r="M147" t="str">
        <f t="shared" si="15"/>
        <v>AA</v>
      </c>
      <c r="N147" t="str">
        <f t="shared" si="16"/>
        <v>1</v>
      </c>
    </row>
    <row r="148" spans="2:14" hidden="1" x14ac:dyDescent="0.3">
      <c r="B148">
        <v>396</v>
      </c>
      <c r="C148">
        <v>0.16800000000000001</v>
      </c>
      <c r="D148">
        <v>1.6413462947584387E-3</v>
      </c>
      <c r="E148">
        <v>3.6249999999999998E-2</v>
      </c>
      <c r="F148">
        <v>2.4843417517463728</v>
      </c>
      <c r="G148">
        <v>159.1</v>
      </c>
      <c r="H148">
        <v>1.5614970155539741E-2</v>
      </c>
      <c r="I148">
        <v>15.614970155539741</v>
      </c>
      <c r="J148">
        <v>1.5614970155539742</v>
      </c>
      <c r="K148" s="4" t="s">
        <v>133</v>
      </c>
      <c r="L148" t="str">
        <f t="shared" si="14"/>
        <v>25</v>
      </c>
      <c r="M148" t="str">
        <f t="shared" si="15"/>
        <v>AA</v>
      </c>
      <c r="N148" t="str">
        <f t="shared" si="16"/>
        <v>1</v>
      </c>
    </row>
    <row r="149" spans="2:14" hidden="1" x14ac:dyDescent="0.3">
      <c r="B149">
        <v>40</v>
      </c>
      <c r="C149">
        <v>0.73366666666666658</v>
      </c>
      <c r="D149">
        <v>7.1678634816732603E-3</v>
      </c>
      <c r="E149">
        <v>3.6249999999999998E-2</v>
      </c>
      <c r="F149">
        <v>10.849278165860646</v>
      </c>
      <c r="G149">
        <v>103.1</v>
      </c>
      <c r="H149">
        <v>0.10523063206460376</v>
      </c>
      <c r="I149">
        <v>105.23063206460375</v>
      </c>
      <c r="J149">
        <v>10.523063206460376</v>
      </c>
      <c r="K149" s="4" t="s">
        <v>58</v>
      </c>
      <c r="L149" t="str">
        <f t="shared" si="14"/>
        <v>25</v>
      </c>
      <c r="M149" t="str">
        <f t="shared" si="15"/>
        <v>FS</v>
      </c>
      <c r="N149" t="str">
        <f t="shared" si="16"/>
        <v>1</v>
      </c>
    </row>
    <row r="150" spans="2:14" hidden="1" x14ac:dyDescent="0.3">
      <c r="B150">
        <v>149</v>
      </c>
      <c r="C150">
        <v>0.53799999999999992</v>
      </c>
      <c r="D150">
        <v>5.2562161105954757E-3</v>
      </c>
      <c r="E150">
        <v>3.6249999999999998E-2</v>
      </c>
      <c r="F150">
        <v>7.9558087049973114</v>
      </c>
      <c r="G150">
        <v>103.6</v>
      </c>
      <c r="H150">
        <v>7.6793520318506878E-2</v>
      </c>
      <c r="I150">
        <v>76.793520318506879</v>
      </c>
      <c r="J150">
        <v>7.679352031850688</v>
      </c>
      <c r="K150" s="4" t="s">
        <v>88</v>
      </c>
      <c r="L150" t="str">
        <f t="shared" si="14"/>
        <v>25</v>
      </c>
      <c r="M150" t="str">
        <f t="shared" si="15"/>
        <v>FS</v>
      </c>
      <c r="N150" t="str">
        <f t="shared" si="16"/>
        <v>1</v>
      </c>
    </row>
    <row r="151" spans="2:14" hidden="1" x14ac:dyDescent="0.3">
      <c r="B151">
        <v>171</v>
      </c>
      <c r="C151">
        <v>0.11433333333333333</v>
      </c>
      <c r="D151">
        <v>1.1170273394883819E-3</v>
      </c>
      <c r="E151">
        <v>3.6249999999999998E-2</v>
      </c>
      <c r="F151">
        <v>1.6907325810496148</v>
      </c>
      <c r="G151">
        <v>106</v>
      </c>
      <c r="H151">
        <v>1.5950307368392591E-2</v>
      </c>
      <c r="I151">
        <v>15.950307368392592</v>
      </c>
      <c r="J151">
        <v>1.5950307368392591</v>
      </c>
      <c r="K151" s="4" t="s">
        <v>98</v>
      </c>
      <c r="L151" t="str">
        <f t="shared" si="14"/>
        <v>25</v>
      </c>
      <c r="M151" t="str">
        <f t="shared" si="15"/>
        <v>AA</v>
      </c>
      <c r="N151" t="str">
        <f t="shared" si="16"/>
        <v>2</v>
      </c>
    </row>
    <row r="152" spans="2:14" hidden="1" x14ac:dyDescent="0.3">
      <c r="B152">
        <v>361</v>
      </c>
      <c r="C152">
        <v>0.14266666666666669</v>
      </c>
      <c r="D152">
        <v>1.3938416947551823E-3</v>
      </c>
      <c r="E152">
        <v>3.6249999999999998E-2</v>
      </c>
      <c r="F152">
        <v>2.1097187891814437</v>
      </c>
      <c r="G152">
        <v>106.3</v>
      </c>
      <c r="H152">
        <v>1.9846837151283572E-2</v>
      </c>
      <c r="I152">
        <v>19.846837151283573</v>
      </c>
      <c r="J152">
        <v>1.9846837151283572</v>
      </c>
      <c r="K152" s="4" t="s">
        <v>122</v>
      </c>
      <c r="L152" t="str">
        <f t="shared" si="14"/>
        <v>25</v>
      </c>
      <c r="M152" t="str">
        <f t="shared" si="15"/>
        <v>AA</v>
      </c>
      <c r="N152" t="str">
        <f t="shared" si="16"/>
        <v>2</v>
      </c>
    </row>
    <row r="153" spans="2:14" hidden="1" x14ac:dyDescent="0.3">
      <c r="B153" s="79">
        <v>382</v>
      </c>
      <c r="C153" s="79">
        <v>0.68233333333333335</v>
      </c>
      <c r="D153" s="79">
        <f>C153/(B$69*B$68)</f>
        <v>6.6663410027192936E-3</v>
      </c>
      <c r="E153" s="79">
        <v>3.6249999999999998E-2</v>
      </c>
      <c r="F153" s="79">
        <f>D153*$I$67</f>
        <v>10.090173741715923</v>
      </c>
      <c r="G153" s="79">
        <f>VLOOKUP(B153,'LIGNIN BILBAO'!A$2:C$51,3,FALSE)</f>
        <v>117.4</v>
      </c>
      <c r="H153" s="79">
        <f>F153/G153</f>
        <v>8.5946965431992525E-2</v>
      </c>
      <c r="I153" s="79">
        <f>H153*1000</f>
        <v>85.946965431992524</v>
      </c>
      <c r="J153" s="79">
        <f>F153/G153*100</f>
        <v>8.5946965431992517</v>
      </c>
      <c r="K153" s="80" t="str">
        <f>VLOOKUP(B153,Hoja2!A$1:B$872,2,FALSE)</f>
        <v>25-P6S4C2FS</v>
      </c>
      <c r="L153" t="str">
        <f t="shared" si="14"/>
        <v>25</v>
      </c>
      <c r="M153" t="str">
        <f t="shared" si="15"/>
        <v>FS</v>
      </c>
      <c r="N153" t="str">
        <f t="shared" si="16"/>
        <v>2</v>
      </c>
    </row>
    <row r="154" spans="2:14" hidden="1" x14ac:dyDescent="0.3">
      <c r="B154">
        <v>125</v>
      </c>
      <c r="C154">
        <v>0.71566666666666678</v>
      </c>
      <c r="D154">
        <v>6.9920049500920012E-3</v>
      </c>
      <c r="E154">
        <v>3.6249999999999998E-2</v>
      </c>
      <c r="F154">
        <v>10.583098692459252</v>
      </c>
      <c r="G154">
        <v>105.5</v>
      </c>
      <c r="H154">
        <v>0.10031373168207822</v>
      </c>
      <c r="I154">
        <v>100.31373168207821</v>
      </c>
      <c r="J154">
        <v>10.031373168207821</v>
      </c>
      <c r="K154" s="4" t="s">
        <v>77</v>
      </c>
      <c r="L154" t="str">
        <f t="shared" si="14"/>
        <v>25</v>
      </c>
      <c r="M154" t="str">
        <f t="shared" si="15"/>
        <v>FS</v>
      </c>
      <c r="N154" t="str">
        <f t="shared" si="16"/>
        <v>2</v>
      </c>
    </row>
    <row r="155" spans="2:14" hidden="1" x14ac:dyDescent="0.3">
      <c r="B155">
        <v>150</v>
      </c>
      <c r="C155">
        <v>0.68633333333333335</v>
      </c>
      <c r="D155">
        <v>6.7054206764040189E-3</v>
      </c>
      <c r="E155">
        <v>3.6249999999999998E-2</v>
      </c>
      <c r="F155">
        <v>10.149324735805122</v>
      </c>
      <c r="G155">
        <v>105.9</v>
      </c>
      <c r="H155">
        <v>9.5838760489189059E-2</v>
      </c>
      <c r="I155">
        <v>95.838760489189056</v>
      </c>
      <c r="J155">
        <v>9.5838760489189063</v>
      </c>
      <c r="K155" s="4" t="s">
        <v>89</v>
      </c>
      <c r="L155" t="str">
        <f t="shared" si="14"/>
        <v>25</v>
      </c>
      <c r="M155" t="str">
        <f t="shared" si="15"/>
        <v>FS</v>
      </c>
      <c r="N155" t="str">
        <f t="shared" si="16"/>
        <v>2</v>
      </c>
    </row>
    <row r="156" spans="2:14" hidden="1" x14ac:dyDescent="0.3">
      <c r="B156">
        <v>162</v>
      </c>
      <c r="C156">
        <v>0.7403333333333334</v>
      </c>
      <c r="D156">
        <v>7.2329962711478032E-3</v>
      </c>
      <c r="E156">
        <v>3.6249999999999998E-2</v>
      </c>
      <c r="F156">
        <v>10.947863156009314</v>
      </c>
      <c r="G156">
        <v>113.1</v>
      </c>
      <c r="H156">
        <v>9.6798082723336107E-2</v>
      </c>
      <c r="I156">
        <v>96.798082723336108</v>
      </c>
      <c r="J156">
        <v>9.6798082723336112</v>
      </c>
      <c r="K156" s="4" t="s">
        <v>95</v>
      </c>
      <c r="L156" t="str">
        <f t="shared" si="14"/>
        <v>25</v>
      </c>
      <c r="M156" t="str">
        <f t="shared" si="15"/>
        <v>FS</v>
      </c>
      <c r="N156" t="str">
        <f t="shared" si="16"/>
        <v>2</v>
      </c>
    </row>
    <row r="157" spans="2:14" hidden="1" x14ac:dyDescent="0.3">
      <c r="B157">
        <v>3</v>
      </c>
      <c r="C157">
        <v>0.22500000000000001</v>
      </c>
      <c r="D157">
        <v>2.1982316447657661E-3</v>
      </c>
      <c r="E157">
        <v>3.6249999999999998E-2</v>
      </c>
      <c r="F157">
        <v>3.3272434175174634</v>
      </c>
      <c r="G157">
        <v>124.2</v>
      </c>
      <c r="H157">
        <v>2.6789399496919993E-2</v>
      </c>
      <c r="I157">
        <v>26.789399496919994</v>
      </c>
      <c r="J157">
        <v>2.6789399496919994</v>
      </c>
      <c r="K157" s="4" t="s">
        <v>51</v>
      </c>
      <c r="L157" t="str">
        <f t="shared" si="14"/>
        <v>25</v>
      </c>
      <c r="M157" t="str">
        <f t="shared" si="15"/>
        <v>AA</v>
      </c>
      <c r="N157" t="str">
        <f t="shared" si="16"/>
        <v>4</v>
      </c>
    </row>
    <row r="158" spans="2:14" hidden="1" x14ac:dyDescent="0.3">
      <c r="B158">
        <v>75</v>
      </c>
      <c r="C158">
        <v>0.23366666666666666</v>
      </c>
      <c r="D158">
        <v>2.2829042710826699E-3</v>
      </c>
      <c r="E158">
        <v>3.6249999999999998E-2</v>
      </c>
      <c r="F158">
        <v>3.455403904710729</v>
      </c>
      <c r="G158">
        <v>107.2</v>
      </c>
      <c r="H158">
        <v>3.2233245379764262E-2</v>
      </c>
      <c r="I158">
        <v>32.233245379764263</v>
      </c>
      <c r="J158">
        <v>3.2233245379764264</v>
      </c>
      <c r="K158" s="4" t="s">
        <v>63</v>
      </c>
      <c r="L158" t="str">
        <f t="shared" si="14"/>
        <v>25</v>
      </c>
      <c r="M158" t="str">
        <f t="shared" si="15"/>
        <v>AA</v>
      </c>
      <c r="N158" t="str">
        <f t="shared" si="16"/>
        <v>4</v>
      </c>
    </row>
    <row r="159" spans="2:14" hidden="1" x14ac:dyDescent="0.3">
      <c r="B159">
        <v>326</v>
      </c>
      <c r="C159">
        <v>0.3076666666666667</v>
      </c>
      <c r="D159">
        <v>3.0058782342500777E-3</v>
      </c>
      <c r="E159">
        <v>3.6249999999999998E-2</v>
      </c>
      <c r="F159">
        <v>4.5496972953609172</v>
      </c>
      <c r="G159">
        <v>119.4</v>
      </c>
      <c r="H159">
        <v>3.8104667465334315E-2</v>
      </c>
      <c r="I159">
        <v>38.104667465334316</v>
      </c>
      <c r="J159">
        <v>3.8104667465334314</v>
      </c>
      <c r="K159" s="4" t="s">
        <v>111</v>
      </c>
      <c r="L159" t="str">
        <f t="shared" si="14"/>
        <v>25</v>
      </c>
      <c r="M159" t="str">
        <f t="shared" si="15"/>
        <v>AA</v>
      </c>
      <c r="N159" t="str">
        <f t="shared" si="16"/>
        <v>4</v>
      </c>
    </row>
    <row r="160" spans="2:14" hidden="1" x14ac:dyDescent="0.3">
      <c r="B160">
        <v>344</v>
      </c>
      <c r="C160">
        <v>0.60300000000000009</v>
      </c>
      <c r="D160">
        <v>5.8912608079722539E-3</v>
      </c>
      <c r="E160">
        <v>3.6249999999999998E-2</v>
      </c>
      <c r="F160">
        <v>8.9170123589468027</v>
      </c>
      <c r="G160">
        <v>121.8</v>
      </c>
      <c r="H160">
        <v>7.3210282093159301E-2</v>
      </c>
      <c r="I160">
        <v>73.210282093159307</v>
      </c>
      <c r="J160">
        <v>7.32102820931593</v>
      </c>
      <c r="K160" s="4" t="s">
        <v>117</v>
      </c>
      <c r="L160" t="str">
        <f t="shared" si="14"/>
        <v>25</v>
      </c>
      <c r="M160" t="str">
        <f t="shared" si="15"/>
        <v>AA</v>
      </c>
      <c r="N160" t="str">
        <f t="shared" si="16"/>
        <v>4</v>
      </c>
    </row>
    <row r="161" spans="2:14" hidden="1" x14ac:dyDescent="0.3">
      <c r="B161">
        <v>362</v>
      </c>
      <c r="C161">
        <v>0.42799999999999999</v>
      </c>
      <c r="D161">
        <v>4.1815250842655461E-3</v>
      </c>
      <c r="E161">
        <v>3.6249999999999998E-2</v>
      </c>
      <c r="F161">
        <v>6.3291563675443303</v>
      </c>
      <c r="G161">
        <v>109.2</v>
      </c>
      <c r="H161">
        <v>5.7959307395094598E-2</v>
      </c>
      <c r="I161">
        <v>57.959307395094598</v>
      </c>
      <c r="J161">
        <v>5.7959307395094601</v>
      </c>
      <c r="K161" s="4" t="s">
        <v>123</v>
      </c>
      <c r="L161" t="str">
        <f t="shared" si="14"/>
        <v>25</v>
      </c>
      <c r="M161" t="str">
        <f t="shared" si="15"/>
        <v>AA</v>
      </c>
      <c r="N161" t="str">
        <f t="shared" si="16"/>
        <v>4</v>
      </c>
    </row>
    <row r="162" spans="2:14" x14ac:dyDescent="0.3">
      <c r="B162">
        <v>7</v>
      </c>
      <c r="C162">
        <v>0.10766666666666667</v>
      </c>
      <c r="D162">
        <v>1.0518945500138407E-3</v>
      </c>
      <c r="E162">
        <v>3.6249999999999998E-2</v>
      </c>
      <c r="F162">
        <v>1.5921475909009493</v>
      </c>
      <c r="G162">
        <v>109.5</v>
      </c>
      <c r="H162">
        <v>1.4540160647497254E-2</v>
      </c>
      <c r="I162">
        <v>14.540160647497254</v>
      </c>
      <c r="J162">
        <v>1.4540160647497253</v>
      </c>
      <c r="K162" t="s">
        <v>139</v>
      </c>
      <c r="L162" t="str">
        <f t="shared" si="14"/>
        <v>10</v>
      </c>
      <c r="M162" t="str">
        <f t="shared" si="15"/>
        <v>AA</v>
      </c>
      <c r="N162" t="str">
        <f t="shared" si="16"/>
        <v>1</v>
      </c>
    </row>
    <row r="163" spans="2:14" x14ac:dyDescent="0.3">
      <c r="B163">
        <v>127</v>
      </c>
      <c r="C163">
        <v>0.11899999999999999</v>
      </c>
      <c r="D163">
        <v>1.1626202921205607E-3</v>
      </c>
      <c r="E163">
        <v>3.6249999999999998E-2</v>
      </c>
      <c r="F163">
        <v>1.7597420741536804</v>
      </c>
      <c r="G163">
        <v>110.4</v>
      </c>
      <c r="H163">
        <v>1.5939692700667394E-2</v>
      </c>
      <c r="I163">
        <v>15.939692700667393</v>
      </c>
      <c r="J163">
        <v>1.5939692700667394</v>
      </c>
      <c r="K163" t="s">
        <v>163</v>
      </c>
      <c r="L163" t="str">
        <f t="shared" si="14"/>
        <v>10</v>
      </c>
      <c r="M163" t="str">
        <f t="shared" si="15"/>
        <v>AA</v>
      </c>
      <c r="N163" t="str">
        <f t="shared" si="16"/>
        <v>1</v>
      </c>
    </row>
    <row r="164" spans="2:14" x14ac:dyDescent="0.3">
      <c r="B164">
        <v>708</v>
      </c>
      <c r="C164">
        <v>0.21933333333333335</v>
      </c>
      <c r="D164">
        <v>2.1428687737124062E-3</v>
      </c>
      <c r="E164">
        <v>3.6249999999999998E-2</v>
      </c>
      <c r="F164">
        <v>3.2434461758910977</v>
      </c>
      <c r="G164">
        <v>124</v>
      </c>
      <c r="H164">
        <v>2.6156823999121757E-2</v>
      </c>
      <c r="I164">
        <v>26.156823999121755</v>
      </c>
      <c r="J164">
        <v>2.6156823999121759</v>
      </c>
      <c r="K164" t="s">
        <v>727</v>
      </c>
      <c r="M164" t="str">
        <f t="shared" si="15"/>
        <v>AA</v>
      </c>
      <c r="N164" t="str">
        <f t="shared" si="16"/>
        <v>1</v>
      </c>
    </row>
    <row r="165" spans="2:14" x14ac:dyDescent="0.3">
      <c r="B165">
        <v>176</v>
      </c>
      <c r="C165">
        <v>0.39799999999999996</v>
      </c>
      <c r="D165">
        <v>3.8884275316301104E-3</v>
      </c>
      <c r="E165">
        <v>3.6249999999999998E-2</v>
      </c>
      <c r="F165">
        <v>5.8855239118753344</v>
      </c>
      <c r="G165">
        <v>137.6</v>
      </c>
      <c r="H165">
        <v>4.2772702847931214E-2</v>
      </c>
      <c r="I165">
        <v>42.772702847931214</v>
      </c>
      <c r="J165">
        <v>4.2772702847931212</v>
      </c>
      <c r="K165" t="s">
        <v>187</v>
      </c>
      <c r="L165" t="str">
        <f t="shared" si="14"/>
        <v>10</v>
      </c>
      <c r="M165" t="str">
        <f t="shared" si="15"/>
        <v>AA</v>
      </c>
      <c r="N165" t="str">
        <f t="shared" si="16"/>
        <v>1</v>
      </c>
    </row>
    <row r="166" spans="2:14" x14ac:dyDescent="0.3">
      <c r="B166">
        <v>331</v>
      </c>
      <c r="C166">
        <v>0.108</v>
      </c>
      <c r="D166">
        <v>1.0551511894875678E-3</v>
      </c>
      <c r="E166">
        <v>3.6249999999999998E-2</v>
      </c>
      <c r="F166">
        <v>1.5970768404083826</v>
      </c>
      <c r="G166">
        <v>118.2</v>
      </c>
      <c r="H166">
        <v>1.3511648396010005E-2</v>
      </c>
      <c r="I166">
        <v>13.511648396010006</v>
      </c>
      <c r="J166">
        <v>1.3511648396010005</v>
      </c>
      <c r="K166" t="s">
        <v>199</v>
      </c>
      <c r="L166" t="str">
        <f t="shared" si="14"/>
        <v>10</v>
      </c>
      <c r="M166" t="str">
        <f t="shared" si="15"/>
        <v>AA</v>
      </c>
      <c r="N166" t="str">
        <f t="shared" si="16"/>
        <v>1</v>
      </c>
    </row>
    <row r="167" spans="2:14" x14ac:dyDescent="0.3">
      <c r="B167">
        <v>385</v>
      </c>
      <c r="C167">
        <v>0.11533333333333333</v>
      </c>
      <c r="D167">
        <v>1.126797257909563E-3</v>
      </c>
      <c r="E167">
        <v>3.6249999999999998E-2</v>
      </c>
      <c r="F167">
        <v>1.7055203295719144</v>
      </c>
      <c r="G167">
        <v>112</v>
      </c>
      <c r="H167">
        <v>1.5227860085463521E-2</v>
      </c>
      <c r="I167">
        <v>15.22786008546352</v>
      </c>
      <c r="J167">
        <v>1.522786008546352</v>
      </c>
      <c r="K167" t="s">
        <v>217</v>
      </c>
      <c r="L167" t="str">
        <f t="shared" si="14"/>
        <v>10</v>
      </c>
      <c r="M167" t="str">
        <f t="shared" si="15"/>
        <v>AA</v>
      </c>
      <c r="N167" t="str">
        <f t="shared" si="16"/>
        <v>1</v>
      </c>
    </row>
    <row r="168" spans="2:14" x14ac:dyDescent="0.3">
      <c r="B168">
        <v>189</v>
      </c>
      <c r="C168">
        <v>0.20166666666666666</v>
      </c>
      <c r="D168">
        <v>1.9702668816048716E-3</v>
      </c>
      <c r="E168">
        <v>3.6249999999999998E-2</v>
      </c>
      <c r="F168">
        <v>2.9821959519971335</v>
      </c>
      <c r="G168">
        <v>166.4</v>
      </c>
      <c r="H168">
        <v>1.7921850673059694E-2</v>
      </c>
      <c r="I168">
        <v>17.921850673059694</v>
      </c>
      <c r="J168">
        <v>1.7921850673059694</v>
      </c>
      <c r="K168" t="s">
        <v>194</v>
      </c>
      <c r="L168" t="str">
        <f t="shared" si="14"/>
        <v>10</v>
      </c>
      <c r="M168" t="str">
        <f t="shared" si="15"/>
        <v>AA</v>
      </c>
      <c r="N168" t="str">
        <f t="shared" si="16"/>
        <v>2</v>
      </c>
    </row>
    <row r="169" spans="2:14" x14ac:dyDescent="0.3">
      <c r="B169">
        <v>368</v>
      </c>
      <c r="C169">
        <v>0.12133333333333333</v>
      </c>
      <c r="D169">
        <v>1.1854167684366501E-3</v>
      </c>
      <c r="E169">
        <v>3.6249999999999998E-2</v>
      </c>
      <c r="F169">
        <v>1.7942468207057136</v>
      </c>
      <c r="G169">
        <v>109.6</v>
      </c>
      <c r="H169">
        <v>1.6370865152424394E-2</v>
      </c>
      <c r="I169">
        <v>16.370865152424393</v>
      </c>
      <c r="J169">
        <v>1.6370865152424394</v>
      </c>
      <c r="K169" t="s">
        <v>212</v>
      </c>
      <c r="L169" t="str">
        <f t="shared" si="14"/>
        <v>10</v>
      </c>
      <c r="M169" t="str">
        <f t="shared" si="15"/>
        <v>AA</v>
      </c>
      <c r="N169" t="str">
        <f t="shared" si="16"/>
        <v>2</v>
      </c>
    </row>
    <row r="170" spans="2:14" x14ac:dyDescent="0.3">
      <c r="B170">
        <v>142</v>
      </c>
      <c r="C170">
        <v>0.23466666666666666</v>
      </c>
      <c r="D170">
        <v>2.2926741895038507E-3</v>
      </c>
      <c r="E170">
        <v>3.6249999999999998E-2</v>
      </c>
      <c r="F170">
        <v>3.4701916532330284</v>
      </c>
      <c r="G170">
        <v>104.2</v>
      </c>
      <c r="H170">
        <v>3.330318285252426E-2</v>
      </c>
      <c r="I170">
        <v>33.303182852524259</v>
      </c>
      <c r="J170">
        <v>3.3303182852524262</v>
      </c>
      <c r="K170" t="s">
        <v>171</v>
      </c>
      <c r="L170" t="str">
        <f t="shared" si="14"/>
        <v>10</v>
      </c>
      <c r="M170" t="str">
        <f t="shared" si="15"/>
        <v>AA</v>
      </c>
      <c r="N170" t="str">
        <f t="shared" si="16"/>
        <v>4</v>
      </c>
    </row>
    <row r="171" spans="2:14" x14ac:dyDescent="0.3">
      <c r="B171">
        <v>118</v>
      </c>
      <c r="C171">
        <v>0.68899999999999995</v>
      </c>
      <c r="D171">
        <v>6.7314737921938348E-3</v>
      </c>
      <c r="E171">
        <v>3.6249999999999998E-2</v>
      </c>
      <c r="F171">
        <v>10.188758731864588</v>
      </c>
      <c r="G171">
        <v>113.3</v>
      </c>
      <c r="H171">
        <v>8.9927261534550648E-2</v>
      </c>
      <c r="I171">
        <v>89.927261534550652</v>
      </c>
      <c r="J171">
        <v>8.9927261534550649</v>
      </c>
      <c r="K171" t="s">
        <v>160</v>
      </c>
      <c r="L171" t="str">
        <f t="shared" si="14"/>
        <v>10</v>
      </c>
      <c r="M171" t="str">
        <f t="shared" si="15"/>
        <v>FS</v>
      </c>
      <c r="N171" t="str">
        <f t="shared" si="16"/>
        <v>1</v>
      </c>
    </row>
    <row r="172" spans="2:14" x14ac:dyDescent="0.3">
      <c r="B172">
        <v>355</v>
      </c>
      <c r="C172">
        <v>1.2256666666666669</v>
      </c>
      <c r="D172">
        <v>1.1974663344894405E-2</v>
      </c>
      <c r="E172">
        <v>3.6249999999999998E-2</v>
      </c>
      <c r="F172">
        <v>18.124850438832169</v>
      </c>
      <c r="G172">
        <v>207.4</v>
      </c>
      <c r="H172">
        <v>8.739079285840004E-2</v>
      </c>
      <c r="I172">
        <v>87.390792858400047</v>
      </c>
      <c r="J172">
        <v>8.7390792858400044</v>
      </c>
      <c r="K172" t="s">
        <v>208</v>
      </c>
      <c r="L172" t="str">
        <f t="shared" si="14"/>
        <v>10</v>
      </c>
      <c r="M172" t="str">
        <f t="shared" si="15"/>
        <v>FS</v>
      </c>
      <c r="N172" t="str">
        <f t="shared" si="16"/>
        <v>1</v>
      </c>
    </row>
    <row r="173" spans="2:14" x14ac:dyDescent="0.3">
      <c r="B173">
        <v>373</v>
      </c>
      <c r="C173">
        <v>0.79566666666666663</v>
      </c>
      <c r="D173">
        <v>7.7735984237864942E-3</v>
      </c>
      <c r="E173">
        <v>3.6249999999999998E-2</v>
      </c>
      <c r="F173">
        <v>11.766118574243237</v>
      </c>
      <c r="G173">
        <v>138.69999999999999</v>
      </c>
      <c r="H173">
        <v>8.4831424471833006E-2</v>
      </c>
      <c r="I173">
        <v>84.831424471833003</v>
      </c>
      <c r="J173">
        <v>8.483142447183301</v>
      </c>
      <c r="K173" t="s">
        <v>214</v>
      </c>
      <c r="L173" t="str">
        <f t="shared" si="14"/>
        <v>10</v>
      </c>
      <c r="M173" t="str">
        <f t="shared" si="15"/>
        <v>FS</v>
      </c>
      <c r="N173" t="str">
        <f t="shared" si="16"/>
        <v>1</v>
      </c>
    </row>
    <row r="174" spans="2:14" x14ac:dyDescent="0.3">
      <c r="B174">
        <v>409</v>
      </c>
      <c r="C174">
        <v>0.7496666666666667</v>
      </c>
      <c r="D174">
        <v>7.3241821764121603E-3</v>
      </c>
      <c r="E174">
        <v>3.6249999999999998E-2</v>
      </c>
      <c r="F174">
        <v>11.085882142217445</v>
      </c>
      <c r="G174">
        <v>118.7</v>
      </c>
      <c r="H174">
        <v>9.3394120827442667E-2</v>
      </c>
      <c r="I174">
        <v>93.394120827442663</v>
      </c>
      <c r="J174">
        <v>9.3394120827442659</v>
      </c>
      <c r="K174" t="s">
        <v>226</v>
      </c>
      <c r="L174" t="str">
        <f t="shared" si="14"/>
        <v>10</v>
      </c>
      <c r="M174" t="str">
        <f t="shared" si="15"/>
        <v>FS</v>
      </c>
      <c r="N174" t="str">
        <f t="shared" si="16"/>
        <v>1</v>
      </c>
    </row>
    <row r="175" spans="2:14" x14ac:dyDescent="0.3">
      <c r="B175">
        <v>84</v>
      </c>
      <c r="C175">
        <v>0.79100000000000004</v>
      </c>
      <c r="D175">
        <v>7.7280054711543157E-3</v>
      </c>
      <c r="E175">
        <v>3.6249999999999998E-2</v>
      </c>
      <c r="F175">
        <v>11.697109081139171</v>
      </c>
      <c r="G175">
        <v>131.69999999999999</v>
      </c>
      <c r="H175">
        <v>8.8816318004093939E-2</v>
      </c>
      <c r="I175">
        <v>88.816318004093944</v>
      </c>
      <c r="J175">
        <v>8.8816318004093944</v>
      </c>
      <c r="K175" t="s">
        <v>156</v>
      </c>
      <c r="L175" t="str">
        <f t="shared" si="14"/>
        <v>10</v>
      </c>
      <c r="M175" t="str">
        <f t="shared" si="15"/>
        <v>FS</v>
      </c>
      <c r="N175" t="str">
        <f t="shared" si="16"/>
        <v>4</v>
      </c>
    </row>
    <row r="176" spans="2:14" x14ac:dyDescent="0.3">
      <c r="B176">
        <v>120</v>
      </c>
      <c r="C176">
        <v>0.80533333333333335</v>
      </c>
      <c r="D176">
        <v>7.8680409685245797E-3</v>
      </c>
      <c r="E176">
        <v>3.6249999999999998E-2</v>
      </c>
      <c r="F176">
        <v>11.909066809958803</v>
      </c>
      <c r="G176">
        <v>116.7</v>
      </c>
      <c r="H176">
        <v>0.10204855878285178</v>
      </c>
      <c r="I176">
        <v>102.04855878285179</v>
      </c>
      <c r="J176">
        <v>10.204855878285178</v>
      </c>
      <c r="K176" t="s">
        <v>162</v>
      </c>
      <c r="L176" t="str">
        <f t="shared" si="14"/>
        <v>10</v>
      </c>
      <c r="M176" t="str">
        <f t="shared" si="15"/>
        <v>FS</v>
      </c>
      <c r="N176" t="str">
        <f t="shared" si="16"/>
        <v>4</v>
      </c>
    </row>
    <row r="177" spans="2:14" x14ac:dyDescent="0.3">
      <c r="B177">
        <v>157</v>
      </c>
      <c r="C177">
        <v>0.89833333333333343</v>
      </c>
      <c r="D177">
        <v>8.7766433816944302E-3</v>
      </c>
      <c r="E177">
        <v>3.6249999999999998E-2</v>
      </c>
      <c r="F177">
        <v>13.284327422532689</v>
      </c>
      <c r="G177">
        <v>124.7</v>
      </c>
      <c r="H177">
        <v>0.10653029208125653</v>
      </c>
      <c r="I177">
        <v>106.53029208125653</v>
      </c>
      <c r="J177">
        <v>10.653029208125652</v>
      </c>
      <c r="K177" t="s">
        <v>180</v>
      </c>
      <c r="L177" t="str">
        <f t="shared" si="14"/>
        <v>10</v>
      </c>
      <c r="M177" t="str">
        <f t="shared" si="15"/>
        <v>FS</v>
      </c>
      <c r="N177" t="str">
        <f t="shared" si="16"/>
        <v>4</v>
      </c>
    </row>
    <row r="181" spans="2:14" x14ac:dyDescent="0.3">
      <c r="D181" t="s">
        <v>9</v>
      </c>
      <c r="E181" t="s">
        <v>44</v>
      </c>
      <c r="F181" t="s">
        <v>958</v>
      </c>
    </row>
    <row r="182" spans="2:14" x14ac:dyDescent="0.3">
      <c r="D182">
        <v>1019</v>
      </c>
      <c r="E182">
        <v>2.3460262693272674E-2</v>
      </c>
      <c r="F182">
        <f>E182*100</f>
        <v>2.3460262693272673</v>
      </c>
    </row>
    <row r="183" spans="2:14" x14ac:dyDescent="0.3">
      <c r="D183">
        <v>1025</v>
      </c>
      <c r="E183">
        <v>2.0542447994821848E-2</v>
      </c>
      <c r="F183">
        <f t="shared" ref="F183:F231" si="17">E183*100</f>
        <v>2.0542447994821846</v>
      </c>
    </row>
    <row r="184" spans="2:14" x14ac:dyDescent="0.3">
      <c r="D184">
        <v>1007</v>
      </c>
      <c r="E184">
        <v>3.1008792334738709E-2</v>
      </c>
      <c r="F184">
        <f t="shared" si="17"/>
        <v>3.1008792334738708</v>
      </c>
    </row>
    <row r="185" spans="2:14" x14ac:dyDescent="0.3">
      <c r="D185">
        <v>1055</v>
      </c>
      <c r="E185">
        <v>2.2698262336634342E-2</v>
      </c>
      <c r="F185">
        <f t="shared" si="17"/>
        <v>2.2698262336634341</v>
      </c>
    </row>
    <row r="186" spans="2:14" x14ac:dyDescent="0.3">
      <c r="D186">
        <v>1070</v>
      </c>
      <c r="E186">
        <v>8.7416391596939688E-2</v>
      </c>
      <c r="F186">
        <f t="shared" si="17"/>
        <v>8.7416391596939693</v>
      </c>
    </row>
    <row r="187" spans="2:14" x14ac:dyDescent="0.3">
      <c r="D187">
        <v>1032</v>
      </c>
      <c r="E187">
        <v>1.6680606396601707E-2</v>
      </c>
      <c r="F187">
        <f t="shared" si="17"/>
        <v>1.6680606396601707</v>
      </c>
    </row>
    <row r="188" spans="2:14" x14ac:dyDescent="0.3">
      <c r="D188">
        <v>1086</v>
      </c>
      <c r="E188">
        <v>1.5279008186047412E-2</v>
      </c>
      <c r="F188">
        <f t="shared" si="17"/>
        <v>1.5279008186047411</v>
      </c>
    </row>
    <row r="189" spans="2:14" x14ac:dyDescent="0.3">
      <c r="D189">
        <v>1023</v>
      </c>
      <c r="E189">
        <v>9.6570961610309883E-2</v>
      </c>
      <c r="F189">
        <f t="shared" si="17"/>
        <v>9.6570961610309887</v>
      </c>
    </row>
    <row r="190" spans="2:14" x14ac:dyDescent="0.3">
      <c r="D190">
        <v>1047</v>
      </c>
      <c r="E190">
        <v>9.5164694572079239E-2</v>
      </c>
      <c r="F190">
        <f t="shared" si="17"/>
        <v>9.5164694572079238</v>
      </c>
    </row>
    <row r="191" spans="2:14" x14ac:dyDescent="0.3">
      <c r="D191">
        <v>1089</v>
      </c>
      <c r="E191">
        <v>8.5974471974171948E-2</v>
      </c>
      <c r="F191">
        <f t="shared" si="17"/>
        <v>8.5974471974171944</v>
      </c>
    </row>
    <row r="192" spans="2:14" x14ac:dyDescent="0.3">
      <c r="D192">
        <v>1063</v>
      </c>
      <c r="E192">
        <v>3.197715693234545E-2</v>
      </c>
      <c r="F192">
        <f t="shared" si="17"/>
        <v>3.197715693234545</v>
      </c>
    </row>
    <row r="193" spans="4:6" x14ac:dyDescent="0.3">
      <c r="D193">
        <v>1027</v>
      </c>
      <c r="E193">
        <v>2.5430349995356559E-2</v>
      </c>
      <c r="F193">
        <f t="shared" si="17"/>
        <v>2.543034999535656</v>
      </c>
    </row>
    <row r="194" spans="4:6" x14ac:dyDescent="0.3">
      <c r="D194">
        <v>1039</v>
      </c>
      <c r="E194">
        <v>3.2942404570561475E-2</v>
      </c>
      <c r="F194">
        <f t="shared" si="17"/>
        <v>3.2942404570561474</v>
      </c>
    </row>
    <row r="195" spans="4:6" x14ac:dyDescent="0.3">
      <c r="D195">
        <v>1003</v>
      </c>
      <c r="E195">
        <v>2.9982033086449842E-2</v>
      </c>
      <c r="F195">
        <f t="shared" si="17"/>
        <v>2.9982033086449844</v>
      </c>
    </row>
    <row r="196" spans="4:6" x14ac:dyDescent="0.3">
      <c r="D196">
        <v>1048</v>
      </c>
      <c r="E196">
        <v>9.3952508966936812E-2</v>
      </c>
      <c r="F196">
        <f t="shared" si="17"/>
        <v>9.3952508966936819</v>
      </c>
    </row>
    <row r="197" spans="4:6" x14ac:dyDescent="0.3">
      <c r="D197">
        <v>1072</v>
      </c>
      <c r="E197">
        <v>8.3290257450579594E-2</v>
      </c>
      <c r="F197">
        <f t="shared" si="17"/>
        <v>8.3290257450579599</v>
      </c>
    </row>
    <row r="198" spans="4:6" x14ac:dyDescent="0.3">
      <c r="D198">
        <v>1018</v>
      </c>
      <c r="E198">
        <v>9.7600078258502893E-2</v>
      </c>
      <c r="F198">
        <f t="shared" si="17"/>
        <v>9.7600078258502894</v>
      </c>
    </row>
    <row r="199" spans="4:6" x14ac:dyDescent="0.3">
      <c r="D199">
        <v>146</v>
      </c>
      <c r="E199">
        <v>2.1424097426246808E-2</v>
      </c>
      <c r="F199">
        <f t="shared" si="17"/>
        <v>2.1424097426246806</v>
      </c>
    </row>
    <row r="200" spans="4:6" x14ac:dyDescent="0.3">
      <c r="D200">
        <v>170</v>
      </c>
      <c r="E200">
        <v>2.2183692157718201E-2</v>
      </c>
      <c r="F200">
        <f t="shared" si="17"/>
        <v>2.21836921577182</v>
      </c>
    </row>
    <row r="201" spans="4:6" x14ac:dyDescent="0.3">
      <c r="D201">
        <v>324</v>
      </c>
      <c r="E201">
        <v>1.3297656515588502E-2</v>
      </c>
      <c r="F201">
        <f t="shared" si="17"/>
        <v>1.3297656515588503</v>
      </c>
    </row>
    <row r="202" spans="4:6" x14ac:dyDescent="0.3">
      <c r="D202">
        <v>396</v>
      </c>
      <c r="E202">
        <v>1.5614970155539741E-2</v>
      </c>
      <c r="F202">
        <f t="shared" si="17"/>
        <v>1.5614970155539742</v>
      </c>
    </row>
    <row r="203" spans="4:6" x14ac:dyDescent="0.3">
      <c r="D203">
        <v>40</v>
      </c>
      <c r="E203">
        <v>0.10523063206460376</v>
      </c>
      <c r="F203">
        <f t="shared" si="17"/>
        <v>10.523063206460376</v>
      </c>
    </row>
    <row r="204" spans="4:6" x14ac:dyDescent="0.3">
      <c r="D204">
        <v>149</v>
      </c>
      <c r="E204">
        <v>7.6793520318506878E-2</v>
      </c>
      <c r="F204">
        <f t="shared" si="17"/>
        <v>7.679352031850688</v>
      </c>
    </row>
    <row r="205" spans="4:6" x14ac:dyDescent="0.3">
      <c r="D205">
        <v>171</v>
      </c>
      <c r="E205">
        <v>1.5950307368392591E-2</v>
      </c>
      <c r="F205">
        <f t="shared" si="17"/>
        <v>1.5950307368392591</v>
      </c>
    </row>
    <row r="206" spans="4:6" x14ac:dyDescent="0.3">
      <c r="D206">
        <v>361</v>
      </c>
      <c r="E206">
        <v>1.9846837151283572E-2</v>
      </c>
      <c r="F206">
        <f t="shared" si="17"/>
        <v>1.9846837151283572</v>
      </c>
    </row>
    <row r="207" spans="4:6" x14ac:dyDescent="0.3">
      <c r="D207">
        <v>382</v>
      </c>
      <c r="E207">
        <v>8.5946965431992525E-2</v>
      </c>
      <c r="F207">
        <f t="shared" si="17"/>
        <v>8.5946965431992517</v>
      </c>
    </row>
    <row r="208" spans="4:6" x14ac:dyDescent="0.3">
      <c r="D208">
        <v>125</v>
      </c>
      <c r="E208">
        <v>0.10031373168207822</v>
      </c>
      <c r="F208">
        <f t="shared" si="17"/>
        <v>10.031373168207821</v>
      </c>
    </row>
    <row r="209" spans="4:6" x14ac:dyDescent="0.3">
      <c r="D209">
        <v>150</v>
      </c>
      <c r="E209">
        <v>9.5838760489189059E-2</v>
      </c>
      <c r="F209">
        <f t="shared" si="17"/>
        <v>9.5838760489189063</v>
      </c>
    </row>
    <row r="210" spans="4:6" x14ac:dyDescent="0.3">
      <c r="D210">
        <v>162</v>
      </c>
      <c r="E210">
        <v>9.6798082723336107E-2</v>
      </c>
      <c r="F210">
        <f t="shared" si="17"/>
        <v>9.6798082723336112</v>
      </c>
    </row>
    <row r="211" spans="4:6" x14ac:dyDescent="0.3">
      <c r="D211">
        <v>3</v>
      </c>
      <c r="E211">
        <v>2.6789399496919993E-2</v>
      </c>
      <c r="F211">
        <f t="shared" si="17"/>
        <v>2.6789399496919994</v>
      </c>
    </row>
    <row r="212" spans="4:6" x14ac:dyDescent="0.3">
      <c r="D212">
        <v>75</v>
      </c>
      <c r="E212">
        <v>3.2233245379764262E-2</v>
      </c>
      <c r="F212">
        <f t="shared" si="17"/>
        <v>3.2233245379764264</v>
      </c>
    </row>
    <row r="213" spans="4:6" x14ac:dyDescent="0.3">
      <c r="D213">
        <v>326</v>
      </c>
      <c r="E213">
        <v>3.8104667465334315E-2</v>
      </c>
      <c r="F213">
        <f t="shared" si="17"/>
        <v>3.8104667465334314</v>
      </c>
    </row>
    <row r="214" spans="4:6" x14ac:dyDescent="0.3">
      <c r="D214">
        <v>344</v>
      </c>
      <c r="E214">
        <v>7.3210282093159301E-2</v>
      </c>
      <c r="F214">
        <f t="shared" si="17"/>
        <v>7.32102820931593</v>
      </c>
    </row>
    <row r="215" spans="4:6" x14ac:dyDescent="0.3">
      <c r="D215">
        <v>362</v>
      </c>
      <c r="E215">
        <v>5.7959307395094598E-2</v>
      </c>
      <c r="F215">
        <f t="shared" si="17"/>
        <v>5.7959307395094601</v>
      </c>
    </row>
    <row r="216" spans="4:6" x14ac:dyDescent="0.3">
      <c r="D216">
        <v>7</v>
      </c>
      <c r="E216">
        <v>1.4540160647497254E-2</v>
      </c>
      <c r="F216">
        <f t="shared" si="17"/>
        <v>1.4540160647497253</v>
      </c>
    </row>
    <row r="217" spans="4:6" x14ac:dyDescent="0.3">
      <c r="D217">
        <v>127</v>
      </c>
      <c r="E217">
        <v>1.5939692700667394E-2</v>
      </c>
      <c r="F217">
        <f t="shared" si="17"/>
        <v>1.5939692700667394</v>
      </c>
    </row>
    <row r="218" spans="4:6" x14ac:dyDescent="0.3">
      <c r="D218">
        <v>708</v>
      </c>
      <c r="E218">
        <v>2.6156823999121757E-2</v>
      </c>
      <c r="F218">
        <f t="shared" si="17"/>
        <v>2.6156823999121759</v>
      </c>
    </row>
    <row r="219" spans="4:6" x14ac:dyDescent="0.3">
      <c r="D219">
        <v>176</v>
      </c>
      <c r="E219">
        <v>4.2772702847931214E-2</v>
      </c>
      <c r="F219">
        <f t="shared" si="17"/>
        <v>4.2772702847931212</v>
      </c>
    </row>
    <row r="220" spans="4:6" x14ac:dyDescent="0.3">
      <c r="D220">
        <v>331</v>
      </c>
      <c r="E220">
        <v>1.3511648396010005E-2</v>
      </c>
      <c r="F220">
        <f t="shared" si="17"/>
        <v>1.3511648396010005</v>
      </c>
    </row>
    <row r="221" spans="4:6" x14ac:dyDescent="0.3">
      <c r="D221">
        <v>385</v>
      </c>
      <c r="E221">
        <v>1.5227860085463521E-2</v>
      </c>
      <c r="F221">
        <f t="shared" si="17"/>
        <v>1.522786008546352</v>
      </c>
    </row>
    <row r="222" spans="4:6" x14ac:dyDescent="0.3">
      <c r="D222">
        <v>189</v>
      </c>
      <c r="E222">
        <v>1.7921850673059694E-2</v>
      </c>
      <c r="F222">
        <f t="shared" si="17"/>
        <v>1.7921850673059694</v>
      </c>
    </row>
    <row r="223" spans="4:6" x14ac:dyDescent="0.3">
      <c r="D223">
        <v>368</v>
      </c>
      <c r="E223">
        <v>1.6370865152424394E-2</v>
      </c>
      <c r="F223">
        <f t="shared" si="17"/>
        <v>1.6370865152424394</v>
      </c>
    </row>
    <row r="224" spans="4:6" x14ac:dyDescent="0.3">
      <c r="D224">
        <v>142</v>
      </c>
      <c r="E224">
        <v>3.330318285252426E-2</v>
      </c>
      <c r="F224">
        <f t="shared" si="17"/>
        <v>3.3303182852524262</v>
      </c>
    </row>
    <row r="225" spans="4:6" x14ac:dyDescent="0.3">
      <c r="D225">
        <v>118</v>
      </c>
      <c r="E225">
        <v>8.9927261534550648E-2</v>
      </c>
      <c r="F225">
        <f t="shared" si="17"/>
        <v>8.9927261534550649</v>
      </c>
    </row>
    <row r="226" spans="4:6" x14ac:dyDescent="0.3">
      <c r="D226">
        <v>355</v>
      </c>
      <c r="E226">
        <v>8.739079285840004E-2</v>
      </c>
      <c r="F226">
        <f t="shared" si="17"/>
        <v>8.7390792858400044</v>
      </c>
    </row>
    <row r="227" spans="4:6" x14ac:dyDescent="0.3">
      <c r="D227">
        <v>373</v>
      </c>
      <c r="E227">
        <v>8.4831424471833006E-2</v>
      </c>
      <c r="F227">
        <f t="shared" si="17"/>
        <v>8.483142447183301</v>
      </c>
    </row>
    <row r="228" spans="4:6" x14ac:dyDescent="0.3">
      <c r="D228">
        <v>409</v>
      </c>
      <c r="E228">
        <v>9.3394120827442667E-2</v>
      </c>
      <c r="F228">
        <f t="shared" si="17"/>
        <v>9.3394120827442659</v>
      </c>
    </row>
    <row r="229" spans="4:6" x14ac:dyDescent="0.3">
      <c r="D229">
        <v>84</v>
      </c>
      <c r="E229">
        <v>8.8816318004093939E-2</v>
      </c>
      <c r="F229">
        <f t="shared" si="17"/>
        <v>8.8816318004093944</v>
      </c>
    </row>
    <row r="230" spans="4:6" x14ac:dyDescent="0.3">
      <c r="D230">
        <v>120</v>
      </c>
      <c r="E230">
        <v>0.10204855878285178</v>
      </c>
      <c r="F230">
        <f t="shared" si="17"/>
        <v>10.204855878285178</v>
      </c>
    </row>
    <row r="231" spans="4:6" x14ac:dyDescent="0.3">
      <c r="D231">
        <v>157</v>
      </c>
      <c r="E231">
        <v>0.10653029208125653</v>
      </c>
      <c r="F231">
        <f t="shared" si="17"/>
        <v>10.653029208125652</v>
      </c>
    </row>
  </sheetData>
  <sortState xmlns:xlrd2="http://schemas.microsoft.com/office/spreadsheetml/2017/richdata2" ref="B72:K121">
    <sortCondition ref="K71:K121"/>
  </sortState>
  <mergeCells count="139">
    <mergeCell ref="R59:T59"/>
    <mergeCell ref="R58:T58"/>
    <mergeCell ref="R57:T57"/>
    <mergeCell ref="R56:T56"/>
    <mergeCell ref="R55:T55"/>
    <mergeCell ref="R53:T53"/>
    <mergeCell ref="T48:V48"/>
    <mergeCell ref="N59:P59"/>
    <mergeCell ref="N58:P58"/>
    <mergeCell ref="N57:P57"/>
    <mergeCell ref="N56:P56"/>
    <mergeCell ref="N55:P55"/>
    <mergeCell ref="O41:Q41"/>
    <mergeCell ref="O43:Q43"/>
    <mergeCell ref="O45:Q45"/>
    <mergeCell ref="O47:Q47"/>
    <mergeCell ref="O42:Q42"/>
    <mergeCell ref="O44:Q44"/>
    <mergeCell ref="O46:Q46"/>
    <mergeCell ref="O48:Q48"/>
    <mergeCell ref="L52:N52"/>
    <mergeCell ref="L50:N50"/>
    <mergeCell ref="B55:B65"/>
    <mergeCell ref="I49:K49"/>
    <mergeCell ref="F51:H51"/>
    <mergeCell ref="C53:E53"/>
    <mergeCell ref="C55:E55"/>
    <mergeCell ref="C56:E56"/>
    <mergeCell ref="C57:E57"/>
    <mergeCell ref="C58:E58"/>
    <mergeCell ref="C59:E59"/>
    <mergeCell ref="I58:K58"/>
    <mergeCell ref="I56:K56"/>
    <mergeCell ref="I57:K57"/>
    <mergeCell ref="I59:K59"/>
    <mergeCell ref="I41:K41"/>
    <mergeCell ref="I42:K42"/>
    <mergeCell ref="I43:K43"/>
    <mergeCell ref="I44:K44"/>
    <mergeCell ref="T41:V41"/>
    <mergeCell ref="T42:V42"/>
    <mergeCell ref="T43:V43"/>
    <mergeCell ref="T44:V44"/>
    <mergeCell ref="B41:B48"/>
    <mergeCell ref="I45:K45"/>
    <mergeCell ref="I46:K46"/>
    <mergeCell ref="I47:K47"/>
    <mergeCell ref="I48:K48"/>
    <mergeCell ref="C41:E41"/>
    <mergeCell ref="C42:E42"/>
    <mergeCell ref="C43:E43"/>
    <mergeCell ref="C44:E44"/>
    <mergeCell ref="C45:E45"/>
    <mergeCell ref="C46:E46"/>
    <mergeCell ref="C47:E47"/>
    <mergeCell ref="C48:E48"/>
    <mergeCell ref="T45:V45"/>
    <mergeCell ref="T46:V46"/>
    <mergeCell ref="T47:V47"/>
    <mergeCell ref="Q28:Q29"/>
    <mergeCell ref="Q30:Q31"/>
    <mergeCell ref="Q32:Q33"/>
    <mergeCell ref="Q34:Q35"/>
    <mergeCell ref="Q36:Q37"/>
    <mergeCell ref="Q14:Q15"/>
    <mergeCell ref="Q16:Q17"/>
    <mergeCell ref="Q18:Q19"/>
    <mergeCell ref="Q24:Q25"/>
    <mergeCell ref="Q26:Q27"/>
    <mergeCell ref="Q38:Q39"/>
    <mergeCell ref="Q4:Q5"/>
    <mergeCell ref="Q6:Q7"/>
    <mergeCell ref="Q8:Q9"/>
    <mergeCell ref="Q10:Q11"/>
    <mergeCell ref="Q12:Q13"/>
    <mergeCell ref="E7:G7"/>
    <mergeCell ref="B3:D3"/>
    <mergeCell ref="B4:D4"/>
    <mergeCell ref="B5:D5"/>
    <mergeCell ref="B6:D6"/>
    <mergeCell ref="B7:D7"/>
    <mergeCell ref="B9:D9"/>
    <mergeCell ref="B10:D10"/>
    <mergeCell ref="E10:G10"/>
    <mergeCell ref="E9:G9"/>
    <mergeCell ref="E8:G8"/>
    <mergeCell ref="B8:D8"/>
    <mergeCell ref="E6:G6"/>
    <mergeCell ref="E5:G5"/>
    <mergeCell ref="E4:G4"/>
    <mergeCell ref="E3:G3"/>
    <mergeCell ref="H3:J3"/>
    <mergeCell ref="H4:J4"/>
    <mergeCell ref="H5:J5"/>
    <mergeCell ref="H6:J6"/>
    <mergeCell ref="K6:M6"/>
    <mergeCell ref="K5:M5"/>
    <mergeCell ref="K4:M4"/>
    <mergeCell ref="K3:M3"/>
    <mergeCell ref="H10:J10"/>
    <mergeCell ref="K10:M10"/>
    <mergeCell ref="H7:J7"/>
    <mergeCell ref="H8:J8"/>
    <mergeCell ref="H9:J9"/>
    <mergeCell ref="K9:M9"/>
    <mergeCell ref="K8:M8"/>
    <mergeCell ref="K7:M7"/>
    <mergeCell ref="B24:D24"/>
    <mergeCell ref="E24:G24"/>
    <mergeCell ref="H24:J24"/>
    <mergeCell ref="K24:M24"/>
    <mergeCell ref="B25:D25"/>
    <mergeCell ref="E25:G25"/>
    <mergeCell ref="H25:J25"/>
    <mergeCell ref="K25:M25"/>
    <mergeCell ref="B26:D26"/>
    <mergeCell ref="E26:G26"/>
    <mergeCell ref="H26:J26"/>
    <mergeCell ref="K26:M26"/>
    <mergeCell ref="B30:D30"/>
    <mergeCell ref="E30:G30"/>
    <mergeCell ref="H30:J30"/>
    <mergeCell ref="K30:M30"/>
    <mergeCell ref="B31:D31"/>
    <mergeCell ref="E31:G31"/>
    <mergeCell ref="H31:J31"/>
    <mergeCell ref="K31:M31"/>
    <mergeCell ref="B27:D27"/>
    <mergeCell ref="E27:G27"/>
    <mergeCell ref="H27:J27"/>
    <mergeCell ref="K27:M27"/>
    <mergeCell ref="B28:D28"/>
    <mergeCell ref="E28:G28"/>
    <mergeCell ref="H28:J28"/>
    <mergeCell ref="K28:M28"/>
    <mergeCell ref="B29:D29"/>
    <mergeCell ref="E29:G29"/>
    <mergeCell ref="H29:J29"/>
    <mergeCell ref="K29:M29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6854-50D2-40D3-99F1-1A82F506E022}">
  <dimension ref="A1:E872"/>
  <sheetViews>
    <sheetView topLeftCell="A845" workbookViewId="0">
      <selection activeCell="C1" sqref="C1:E1048576"/>
    </sheetView>
  </sheetViews>
  <sheetFormatPr baseColWidth="10" defaultColWidth="11.44140625" defaultRowHeight="14.4" x14ac:dyDescent="0.3"/>
  <cols>
    <col min="2" max="2" width="14.33203125" bestFit="1" customWidth="1"/>
  </cols>
  <sheetData>
    <row r="1" spans="1:5" x14ac:dyDescent="0.3">
      <c r="A1" s="64" t="s">
        <v>47</v>
      </c>
      <c r="B1" s="65" t="s">
        <v>48</v>
      </c>
      <c r="C1" s="4"/>
      <c r="D1" s="4"/>
      <c r="E1" s="4"/>
    </row>
    <row r="2" spans="1:5" x14ac:dyDescent="0.3">
      <c r="A2" s="66">
        <v>1</v>
      </c>
      <c r="B2" s="67" t="s">
        <v>49</v>
      </c>
      <c r="D2" s="2"/>
      <c r="E2" s="2"/>
    </row>
    <row r="3" spans="1:5" x14ac:dyDescent="0.3">
      <c r="A3" s="66">
        <v>2</v>
      </c>
      <c r="B3" s="67" t="s">
        <v>50</v>
      </c>
      <c r="D3" s="2"/>
      <c r="E3" s="2"/>
    </row>
    <row r="4" spans="1:5" x14ac:dyDescent="0.3">
      <c r="A4" s="66">
        <v>3</v>
      </c>
      <c r="B4" s="67" t="s">
        <v>51</v>
      </c>
      <c r="D4" s="2"/>
      <c r="E4" s="2"/>
    </row>
    <row r="5" spans="1:5" x14ac:dyDescent="0.3">
      <c r="A5" s="66">
        <v>4</v>
      </c>
      <c r="B5" s="67" t="s">
        <v>52</v>
      </c>
      <c r="D5" s="2"/>
      <c r="E5" s="2"/>
    </row>
    <row r="6" spans="1:5" x14ac:dyDescent="0.3">
      <c r="A6" s="66">
        <v>5</v>
      </c>
      <c r="B6" s="67" t="s">
        <v>53</v>
      </c>
      <c r="D6" s="2"/>
      <c r="E6" s="2"/>
    </row>
    <row r="7" spans="1:5" x14ac:dyDescent="0.3">
      <c r="A7" s="66">
        <v>6</v>
      </c>
      <c r="B7" s="67" t="s">
        <v>54</v>
      </c>
      <c r="D7" s="2"/>
      <c r="E7" s="2"/>
    </row>
    <row r="8" spans="1:5" x14ac:dyDescent="0.3">
      <c r="A8" s="66">
        <v>37</v>
      </c>
      <c r="B8" s="67" t="s">
        <v>55</v>
      </c>
      <c r="D8" s="2"/>
      <c r="E8" s="2"/>
    </row>
    <row r="9" spans="1:5" x14ac:dyDescent="0.3">
      <c r="A9" s="66">
        <v>38</v>
      </c>
      <c r="B9" s="67" t="s">
        <v>56</v>
      </c>
      <c r="D9" s="2"/>
      <c r="E9" s="2"/>
    </row>
    <row r="10" spans="1:5" x14ac:dyDescent="0.3">
      <c r="A10" s="66">
        <v>39</v>
      </c>
      <c r="B10" s="67" t="s">
        <v>57</v>
      </c>
      <c r="D10" s="2"/>
      <c r="E10" s="2"/>
    </row>
    <row r="11" spans="1:5" x14ac:dyDescent="0.3">
      <c r="A11" s="66">
        <v>40</v>
      </c>
      <c r="B11" s="67" t="s">
        <v>58</v>
      </c>
      <c r="D11" s="2"/>
      <c r="E11" s="2"/>
    </row>
    <row r="12" spans="1:5" x14ac:dyDescent="0.3">
      <c r="A12" s="66">
        <v>41</v>
      </c>
      <c r="B12" s="67" t="s">
        <v>59</v>
      </c>
      <c r="D12" s="2"/>
      <c r="E12" s="2"/>
    </row>
    <row r="13" spans="1:5" x14ac:dyDescent="0.3">
      <c r="A13" s="66">
        <v>42</v>
      </c>
      <c r="B13" s="67" t="s">
        <v>60</v>
      </c>
      <c r="D13" s="2"/>
      <c r="E13" s="2"/>
    </row>
    <row r="14" spans="1:5" x14ac:dyDescent="0.3">
      <c r="A14" s="66">
        <v>73</v>
      </c>
      <c r="B14" s="67" t="s">
        <v>61</v>
      </c>
      <c r="D14" s="2"/>
      <c r="E14" s="2"/>
    </row>
    <row r="15" spans="1:5" x14ac:dyDescent="0.3">
      <c r="A15" s="66">
        <v>74</v>
      </c>
      <c r="B15" s="67" t="s">
        <v>62</v>
      </c>
      <c r="D15" s="2"/>
      <c r="E15" s="2"/>
    </row>
    <row r="16" spans="1:5" x14ac:dyDescent="0.3">
      <c r="A16" s="66">
        <v>75</v>
      </c>
      <c r="B16" s="67" t="s">
        <v>63</v>
      </c>
      <c r="D16" s="2"/>
      <c r="E16" s="2"/>
    </row>
    <row r="17" spans="1:5" x14ac:dyDescent="0.3">
      <c r="A17" s="66">
        <v>76</v>
      </c>
      <c r="B17" s="67" t="s">
        <v>64</v>
      </c>
      <c r="D17" s="2"/>
      <c r="E17" s="2"/>
    </row>
    <row r="18" spans="1:5" x14ac:dyDescent="0.3">
      <c r="A18" s="66">
        <v>77</v>
      </c>
      <c r="B18" s="67" t="s">
        <v>65</v>
      </c>
      <c r="D18" s="2"/>
      <c r="E18" s="2"/>
    </row>
    <row r="19" spans="1:5" x14ac:dyDescent="0.3">
      <c r="A19" s="66">
        <v>78</v>
      </c>
      <c r="B19" s="67" t="s">
        <v>66</v>
      </c>
      <c r="D19" s="2"/>
      <c r="E19" s="2"/>
    </row>
    <row r="20" spans="1:5" x14ac:dyDescent="0.3">
      <c r="A20" s="66">
        <v>109</v>
      </c>
      <c r="B20" s="67" t="s">
        <v>67</v>
      </c>
      <c r="D20" s="2"/>
      <c r="E20" s="2"/>
    </row>
    <row r="21" spans="1:5" x14ac:dyDescent="0.3">
      <c r="A21" s="66">
        <v>110</v>
      </c>
      <c r="B21" s="67" t="s">
        <v>68</v>
      </c>
      <c r="D21" s="2"/>
      <c r="E21" s="2"/>
    </row>
    <row r="22" spans="1:5" x14ac:dyDescent="0.3">
      <c r="A22" s="66">
        <v>111</v>
      </c>
      <c r="B22" s="67" t="s">
        <v>69</v>
      </c>
      <c r="D22" s="2"/>
      <c r="E22" s="2"/>
    </row>
    <row r="23" spans="1:5" x14ac:dyDescent="0.3">
      <c r="A23" s="66">
        <v>112</v>
      </c>
      <c r="B23" s="67" t="s">
        <v>70</v>
      </c>
      <c r="D23" s="2"/>
      <c r="E23" s="2"/>
    </row>
    <row r="24" spans="1:5" x14ac:dyDescent="0.3">
      <c r="A24" s="66">
        <v>113</v>
      </c>
      <c r="B24" s="67" t="s">
        <v>71</v>
      </c>
      <c r="D24" s="2"/>
      <c r="E24" s="2"/>
    </row>
    <row r="25" spans="1:5" x14ac:dyDescent="0.3">
      <c r="A25" s="66">
        <v>114</v>
      </c>
      <c r="B25" s="67" t="s">
        <v>72</v>
      </c>
      <c r="D25" s="2"/>
      <c r="E25" s="2"/>
    </row>
    <row r="26" spans="1:5" x14ac:dyDescent="0.3">
      <c r="A26" s="66">
        <v>121</v>
      </c>
      <c r="B26" s="67" t="s">
        <v>73</v>
      </c>
      <c r="D26" s="2"/>
      <c r="E26" s="2"/>
    </row>
    <row r="27" spans="1:5" x14ac:dyDescent="0.3">
      <c r="A27" s="66">
        <v>122</v>
      </c>
      <c r="B27" s="67" t="s">
        <v>74</v>
      </c>
      <c r="D27" s="2"/>
      <c r="E27" s="2"/>
    </row>
    <row r="28" spans="1:5" x14ac:dyDescent="0.3">
      <c r="A28" s="66">
        <v>123</v>
      </c>
      <c r="B28" s="67" t="s">
        <v>75</v>
      </c>
      <c r="D28" s="2"/>
      <c r="E28" s="2"/>
    </row>
    <row r="29" spans="1:5" x14ac:dyDescent="0.3">
      <c r="A29" s="66">
        <v>124</v>
      </c>
      <c r="B29" s="67" t="s">
        <v>76</v>
      </c>
      <c r="D29" s="2"/>
      <c r="E29" s="2"/>
    </row>
    <row r="30" spans="1:5" x14ac:dyDescent="0.3">
      <c r="A30" s="66">
        <v>125</v>
      </c>
      <c r="B30" s="67" t="s">
        <v>77</v>
      </c>
      <c r="D30" s="2"/>
      <c r="E30" s="2"/>
    </row>
    <row r="31" spans="1:5" x14ac:dyDescent="0.3">
      <c r="A31" s="66">
        <v>126</v>
      </c>
      <c r="B31" s="67" t="s">
        <v>78</v>
      </c>
      <c r="D31" s="2"/>
      <c r="E31" s="2"/>
    </row>
    <row r="32" spans="1:5" x14ac:dyDescent="0.3">
      <c r="A32" s="66">
        <v>134</v>
      </c>
      <c r="B32" s="67" t="s">
        <v>79</v>
      </c>
      <c r="D32" s="2"/>
      <c r="E32" s="2"/>
    </row>
    <row r="33" spans="1:5" x14ac:dyDescent="0.3">
      <c r="A33" s="66">
        <v>135</v>
      </c>
      <c r="B33" s="67" t="s">
        <v>80</v>
      </c>
      <c r="D33" s="2"/>
      <c r="E33" s="2"/>
    </row>
    <row r="34" spans="1:5" x14ac:dyDescent="0.3">
      <c r="A34" s="66">
        <v>136</v>
      </c>
      <c r="B34" s="67" t="s">
        <v>81</v>
      </c>
      <c r="D34" s="2"/>
      <c r="E34" s="2"/>
    </row>
    <row r="35" spans="1:5" x14ac:dyDescent="0.3">
      <c r="A35" s="66">
        <v>137</v>
      </c>
      <c r="B35" s="67" t="s">
        <v>82</v>
      </c>
      <c r="D35" s="2"/>
      <c r="E35" s="2"/>
    </row>
    <row r="36" spans="1:5" x14ac:dyDescent="0.3">
      <c r="A36" s="66">
        <v>138</v>
      </c>
      <c r="B36" s="67" t="s">
        <v>83</v>
      </c>
      <c r="D36" s="2"/>
      <c r="E36" s="2"/>
    </row>
    <row r="37" spans="1:5" x14ac:dyDescent="0.3">
      <c r="A37" s="66">
        <v>139</v>
      </c>
      <c r="B37" s="67" t="s">
        <v>84</v>
      </c>
      <c r="D37" s="2"/>
      <c r="E37" s="2"/>
    </row>
    <row r="38" spans="1:5" x14ac:dyDescent="0.3">
      <c r="A38" s="66">
        <v>146</v>
      </c>
      <c r="B38" s="67" t="s">
        <v>85</v>
      </c>
      <c r="D38" s="2"/>
      <c r="E38" s="2"/>
    </row>
    <row r="39" spans="1:5" x14ac:dyDescent="0.3">
      <c r="A39" s="66">
        <v>147</v>
      </c>
      <c r="B39" s="67" t="s">
        <v>86</v>
      </c>
      <c r="D39" s="2"/>
      <c r="E39" s="2"/>
    </row>
    <row r="40" spans="1:5" x14ac:dyDescent="0.3">
      <c r="A40" s="66">
        <v>148</v>
      </c>
      <c r="B40" s="67" t="s">
        <v>87</v>
      </c>
      <c r="D40" s="2"/>
      <c r="E40" s="2"/>
    </row>
    <row r="41" spans="1:5" x14ac:dyDescent="0.3">
      <c r="A41" s="66">
        <v>149</v>
      </c>
      <c r="B41" s="67" t="s">
        <v>88</v>
      </c>
      <c r="D41" s="2"/>
      <c r="E41" s="2"/>
    </row>
    <row r="42" spans="1:5" x14ac:dyDescent="0.3">
      <c r="A42" s="66">
        <v>150</v>
      </c>
      <c r="B42" s="67" t="s">
        <v>89</v>
      </c>
      <c r="D42" s="2"/>
      <c r="E42" s="2"/>
    </row>
    <row r="43" spans="1:5" x14ac:dyDescent="0.3">
      <c r="A43" s="66">
        <v>151</v>
      </c>
      <c r="B43" s="67" t="s">
        <v>90</v>
      </c>
      <c r="D43" s="2"/>
      <c r="E43" s="2"/>
    </row>
    <row r="44" spans="1:5" x14ac:dyDescent="0.3">
      <c r="A44" s="66">
        <v>158</v>
      </c>
      <c r="B44" s="67" t="s">
        <v>91</v>
      </c>
      <c r="D44" s="2"/>
      <c r="E44" s="2"/>
    </row>
    <row r="45" spans="1:5" x14ac:dyDescent="0.3">
      <c r="A45" s="66">
        <v>159</v>
      </c>
      <c r="B45" s="67" t="s">
        <v>92</v>
      </c>
      <c r="D45" s="2"/>
      <c r="E45" s="2"/>
    </row>
    <row r="46" spans="1:5" x14ac:dyDescent="0.3">
      <c r="A46" s="66">
        <v>160</v>
      </c>
      <c r="B46" s="67" t="s">
        <v>93</v>
      </c>
      <c r="D46" s="2"/>
      <c r="E46" s="2"/>
    </row>
    <row r="47" spans="1:5" x14ac:dyDescent="0.3">
      <c r="A47" s="66">
        <v>161</v>
      </c>
      <c r="B47" s="67" t="s">
        <v>94</v>
      </c>
      <c r="D47" s="2"/>
      <c r="E47" s="2"/>
    </row>
    <row r="48" spans="1:5" x14ac:dyDescent="0.3">
      <c r="A48" s="66">
        <v>162</v>
      </c>
      <c r="B48" s="67" t="s">
        <v>95</v>
      </c>
      <c r="D48" s="2"/>
      <c r="E48" s="2"/>
    </row>
    <row r="49" spans="1:5" x14ac:dyDescent="0.3">
      <c r="A49" s="66">
        <v>163</v>
      </c>
      <c r="B49" s="67" t="s">
        <v>96</v>
      </c>
      <c r="D49" s="2"/>
      <c r="E49" s="2"/>
    </row>
    <row r="50" spans="1:5" x14ac:dyDescent="0.3">
      <c r="A50" s="66">
        <v>170</v>
      </c>
      <c r="B50" s="67" t="s">
        <v>97</v>
      </c>
      <c r="D50" s="2"/>
      <c r="E50" s="2"/>
    </row>
    <row r="51" spans="1:5" x14ac:dyDescent="0.3">
      <c r="A51" s="66">
        <v>171</v>
      </c>
      <c r="B51" s="67" t="s">
        <v>98</v>
      </c>
      <c r="D51" s="2"/>
      <c r="E51" s="2"/>
    </row>
    <row r="52" spans="1:5" x14ac:dyDescent="0.3">
      <c r="A52" s="66">
        <v>172</v>
      </c>
      <c r="B52" s="67" t="s">
        <v>99</v>
      </c>
      <c r="D52" s="2"/>
      <c r="E52" s="2"/>
    </row>
    <row r="53" spans="1:5" x14ac:dyDescent="0.3">
      <c r="A53" s="68">
        <v>173</v>
      </c>
      <c r="B53" s="69" t="s">
        <v>100</v>
      </c>
      <c r="D53" s="2"/>
      <c r="E53" s="2"/>
    </row>
    <row r="54" spans="1:5" x14ac:dyDescent="0.3">
      <c r="A54" s="68">
        <v>174</v>
      </c>
      <c r="B54" s="69" t="s">
        <v>101</v>
      </c>
      <c r="D54" s="2"/>
      <c r="E54" s="2"/>
    </row>
    <row r="55" spans="1:5" x14ac:dyDescent="0.3">
      <c r="A55" s="68">
        <v>175</v>
      </c>
      <c r="B55" s="69" t="s">
        <v>102</v>
      </c>
      <c r="D55" s="2"/>
      <c r="E55" s="2"/>
    </row>
    <row r="56" spans="1:5" x14ac:dyDescent="0.3">
      <c r="A56" s="66">
        <v>182</v>
      </c>
      <c r="B56" s="67" t="s">
        <v>103</v>
      </c>
      <c r="D56" s="2"/>
      <c r="E56" s="2"/>
    </row>
    <row r="57" spans="1:5" x14ac:dyDescent="0.3">
      <c r="A57" s="66">
        <v>183</v>
      </c>
      <c r="B57" s="67" t="s">
        <v>104</v>
      </c>
      <c r="D57" s="2"/>
      <c r="E57" s="2"/>
    </row>
    <row r="58" spans="1:5" x14ac:dyDescent="0.3">
      <c r="A58" s="66">
        <v>184</v>
      </c>
      <c r="B58" s="67" t="s">
        <v>105</v>
      </c>
      <c r="D58" s="2"/>
      <c r="E58" s="2"/>
    </row>
    <row r="59" spans="1:5" x14ac:dyDescent="0.3">
      <c r="A59" s="66">
        <v>185</v>
      </c>
      <c r="B59" s="67" t="s">
        <v>106</v>
      </c>
      <c r="D59" s="2"/>
      <c r="E59" s="2"/>
    </row>
    <row r="60" spans="1:5" x14ac:dyDescent="0.3">
      <c r="A60" s="66">
        <v>186</v>
      </c>
      <c r="B60" s="67" t="s">
        <v>107</v>
      </c>
      <c r="D60" s="2"/>
      <c r="E60" s="2"/>
    </row>
    <row r="61" spans="1:5" x14ac:dyDescent="0.3">
      <c r="A61" s="66">
        <v>187</v>
      </c>
      <c r="B61" s="67" t="s">
        <v>108</v>
      </c>
      <c r="D61" s="2"/>
      <c r="E61" s="2"/>
    </row>
    <row r="62" spans="1:5" x14ac:dyDescent="0.3">
      <c r="A62" s="66">
        <v>324</v>
      </c>
      <c r="B62" s="67" t="s">
        <v>109</v>
      </c>
      <c r="D62" s="2"/>
      <c r="E62" s="2"/>
    </row>
    <row r="63" spans="1:5" x14ac:dyDescent="0.3">
      <c r="A63" s="66">
        <v>325</v>
      </c>
      <c r="B63" s="67" t="s">
        <v>110</v>
      </c>
      <c r="D63" s="2"/>
      <c r="E63" s="2"/>
    </row>
    <row r="64" spans="1:5" x14ac:dyDescent="0.3">
      <c r="A64" s="66">
        <v>326</v>
      </c>
      <c r="B64" s="67" t="s">
        <v>111</v>
      </c>
      <c r="D64" s="2"/>
      <c r="E64" s="2"/>
    </row>
    <row r="65" spans="1:5" x14ac:dyDescent="0.3">
      <c r="A65" s="66">
        <v>327</v>
      </c>
      <c r="B65" s="67" t="s">
        <v>112</v>
      </c>
      <c r="D65" s="2"/>
      <c r="E65" s="2"/>
    </row>
    <row r="66" spans="1:5" x14ac:dyDescent="0.3">
      <c r="A66" s="66">
        <v>328</v>
      </c>
      <c r="B66" s="67" t="s">
        <v>113</v>
      </c>
      <c r="D66" s="2"/>
      <c r="E66" s="2"/>
    </row>
    <row r="67" spans="1:5" x14ac:dyDescent="0.3">
      <c r="A67" s="66">
        <v>329</v>
      </c>
      <c r="B67" s="67" t="s">
        <v>114</v>
      </c>
      <c r="D67" s="2"/>
      <c r="E67" s="2"/>
    </row>
    <row r="68" spans="1:5" x14ac:dyDescent="0.3">
      <c r="A68" s="66">
        <v>342</v>
      </c>
      <c r="B68" s="67" t="s">
        <v>115</v>
      </c>
      <c r="D68" s="2"/>
      <c r="E68" s="2"/>
    </row>
    <row r="69" spans="1:5" x14ac:dyDescent="0.3">
      <c r="A69" s="66">
        <v>343</v>
      </c>
      <c r="B69" s="67" t="s">
        <v>116</v>
      </c>
      <c r="D69" s="2"/>
      <c r="E69" s="2"/>
    </row>
    <row r="70" spans="1:5" x14ac:dyDescent="0.3">
      <c r="A70" s="66">
        <v>344</v>
      </c>
      <c r="B70" s="67" t="s">
        <v>117</v>
      </c>
      <c r="D70" s="2"/>
      <c r="E70" s="2"/>
    </row>
    <row r="71" spans="1:5" x14ac:dyDescent="0.3">
      <c r="A71" s="66">
        <v>345</v>
      </c>
      <c r="B71" s="67" t="s">
        <v>118</v>
      </c>
      <c r="D71" s="2"/>
      <c r="E71" s="2"/>
    </row>
    <row r="72" spans="1:5" x14ac:dyDescent="0.3">
      <c r="A72" s="66">
        <v>346</v>
      </c>
      <c r="B72" s="67" t="s">
        <v>119</v>
      </c>
      <c r="D72" s="2"/>
      <c r="E72" s="2"/>
    </row>
    <row r="73" spans="1:5" x14ac:dyDescent="0.3">
      <c r="A73" s="66">
        <v>347</v>
      </c>
      <c r="B73" s="67" t="s">
        <v>120</v>
      </c>
      <c r="D73" s="2"/>
      <c r="E73" s="2"/>
    </row>
    <row r="74" spans="1:5" x14ac:dyDescent="0.3">
      <c r="A74" s="66">
        <v>360</v>
      </c>
      <c r="B74" s="67" t="s">
        <v>121</v>
      </c>
      <c r="D74" s="2"/>
      <c r="E74" s="2"/>
    </row>
    <row r="75" spans="1:5" x14ac:dyDescent="0.3">
      <c r="A75" s="66">
        <v>361</v>
      </c>
      <c r="B75" s="67" t="s">
        <v>122</v>
      </c>
      <c r="D75" s="2"/>
      <c r="E75" s="2"/>
    </row>
    <row r="76" spans="1:5" x14ac:dyDescent="0.3">
      <c r="A76" s="66">
        <v>362</v>
      </c>
      <c r="B76" s="67" t="s">
        <v>123</v>
      </c>
      <c r="D76" s="2"/>
      <c r="E76" s="2"/>
    </row>
    <row r="77" spans="1:5" x14ac:dyDescent="0.3">
      <c r="A77" s="66">
        <v>363</v>
      </c>
      <c r="B77" s="67" t="s">
        <v>124</v>
      </c>
      <c r="D77" s="2"/>
      <c r="E77" s="2"/>
    </row>
    <row r="78" spans="1:5" x14ac:dyDescent="0.3">
      <c r="A78" s="70">
        <v>364</v>
      </c>
      <c r="B78" s="71" t="s">
        <v>125</v>
      </c>
      <c r="D78" s="2"/>
      <c r="E78" s="2"/>
    </row>
    <row r="79" spans="1:5" x14ac:dyDescent="0.3">
      <c r="A79" s="66">
        <v>365</v>
      </c>
      <c r="B79" s="67" t="s">
        <v>126</v>
      </c>
      <c r="D79" s="2"/>
      <c r="E79" s="2"/>
    </row>
    <row r="80" spans="1:5" x14ac:dyDescent="0.3">
      <c r="A80" s="66">
        <v>378</v>
      </c>
      <c r="B80" s="67" t="s">
        <v>127</v>
      </c>
      <c r="D80" s="2"/>
      <c r="E80" s="2"/>
    </row>
    <row r="81" spans="1:5" x14ac:dyDescent="0.3">
      <c r="A81" s="66">
        <v>379</v>
      </c>
      <c r="B81" s="67" t="s">
        <v>128</v>
      </c>
      <c r="D81" s="2"/>
      <c r="E81" s="2"/>
    </row>
    <row r="82" spans="1:5" x14ac:dyDescent="0.3">
      <c r="A82" s="66">
        <v>380</v>
      </c>
      <c r="B82" s="67" t="s">
        <v>129</v>
      </c>
      <c r="D82" s="2"/>
      <c r="E82" s="2"/>
    </row>
    <row r="83" spans="1:5" x14ac:dyDescent="0.3">
      <c r="A83" s="66">
        <v>381</v>
      </c>
      <c r="B83" s="67" t="s">
        <v>130</v>
      </c>
      <c r="D83" s="2"/>
      <c r="E83" s="2"/>
    </row>
    <row r="84" spans="1:5" x14ac:dyDescent="0.3">
      <c r="A84" s="66">
        <v>382</v>
      </c>
      <c r="B84" s="67" t="s">
        <v>131</v>
      </c>
      <c r="D84" s="2"/>
      <c r="E84" s="2"/>
    </row>
    <row r="85" spans="1:5" x14ac:dyDescent="0.3">
      <c r="A85" s="66">
        <v>383</v>
      </c>
      <c r="B85" s="67" t="s">
        <v>132</v>
      </c>
      <c r="D85" s="2"/>
      <c r="E85" s="2"/>
    </row>
    <row r="86" spans="1:5" x14ac:dyDescent="0.3">
      <c r="A86" s="66">
        <v>396</v>
      </c>
      <c r="B86" s="67" t="s">
        <v>133</v>
      </c>
      <c r="D86" s="2"/>
      <c r="E86" s="2"/>
    </row>
    <row r="87" spans="1:5" x14ac:dyDescent="0.3">
      <c r="A87" s="66">
        <v>397</v>
      </c>
      <c r="B87" s="67" t="s">
        <v>134</v>
      </c>
      <c r="D87" s="2"/>
      <c r="E87" s="2"/>
    </row>
    <row r="88" spans="1:5" x14ac:dyDescent="0.3">
      <c r="A88" s="66">
        <v>398</v>
      </c>
      <c r="B88" s="67" t="s">
        <v>135</v>
      </c>
      <c r="D88" s="2"/>
      <c r="E88" s="2"/>
    </row>
    <row r="89" spans="1:5" x14ac:dyDescent="0.3">
      <c r="A89" s="66">
        <v>399</v>
      </c>
      <c r="B89" s="67" t="s">
        <v>136</v>
      </c>
      <c r="D89" s="2"/>
      <c r="E89" s="2"/>
    </row>
    <row r="90" spans="1:5" x14ac:dyDescent="0.3">
      <c r="A90" s="66">
        <v>400</v>
      </c>
      <c r="B90" s="67" t="s">
        <v>137</v>
      </c>
      <c r="D90" s="2"/>
      <c r="E90" s="2"/>
    </row>
    <row r="91" spans="1:5" x14ac:dyDescent="0.3">
      <c r="A91" s="66">
        <v>401</v>
      </c>
      <c r="B91" s="67" t="s">
        <v>138</v>
      </c>
      <c r="D91" s="2"/>
      <c r="E91" s="2"/>
    </row>
    <row r="92" spans="1:5" x14ac:dyDescent="0.3">
      <c r="A92" s="66">
        <v>7</v>
      </c>
      <c r="B92" s="67" t="s">
        <v>139</v>
      </c>
      <c r="D92" s="2"/>
      <c r="E92" s="2"/>
    </row>
    <row r="93" spans="1:5" x14ac:dyDescent="0.3">
      <c r="A93" s="66">
        <v>8</v>
      </c>
      <c r="B93" s="67" t="s">
        <v>140</v>
      </c>
      <c r="D93" s="2"/>
      <c r="E93" s="2"/>
    </row>
    <row r="94" spans="1:5" x14ac:dyDescent="0.3">
      <c r="A94" s="66">
        <v>9</v>
      </c>
      <c r="B94" s="67" t="s">
        <v>141</v>
      </c>
      <c r="D94" s="2"/>
      <c r="E94" s="2"/>
    </row>
    <row r="95" spans="1:5" x14ac:dyDescent="0.3">
      <c r="A95" s="66">
        <v>133</v>
      </c>
      <c r="B95" s="67" t="s">
        <v>142</v>
      </c>
      <c r="D95" s="2"/>
      <c r="E95" s="2"/>
    </row>
    <row r="96" spans="1:5" x14ac:dyDescent="0.3">
      <c r="A96" s="66">
        <v>11</v>
      </c>
      <c r="B96" s="67" t="s">
        <v>143</v>
      </c>
      <c r="D96" s="2"/>
      <c r="E96" s="2"/>
    </row>
    <row r="97" spans="1:5" x14ac:dyDescent="0.3">
      <c r="A97" s="66">
        <v>12</v>
      </c>
      <c r="B97" s="67" t="s">
        <v>144</v>
      </c>
      <c r="D97" s="2"/>
      <c r="E97" s="2"/>
    </row>
    <row r="98" spans="1:5" x14ac:dyDescent="0.3">
      <c r="A98" s="66">
        <v>43</v>
      </c>
      <c r="B98" s="67" t="s">
        <v>145</v>
      </c>
      <c r="D98" s="2"/>
      <c r="E98" s="2"/>
    </row>
    <row r="99" spans="1:5" x14ac:dyDescent="0.3">
      <c r="A99" s="66">
        <v>44</v>
      </c>
      <c r="B99" s="67" t="s">
        <v>146</v>
      </c>
      <c r="D99" s="2"/>
      <c r="E99" s="2"/>
    </row>
    <row r="100" spans="1:5" x14ac:dyDescent="0.3">
      <c r="A100" s="66">
        <v>45</v>
      </c>
      <c r="B100" s="67" t="s">
        <v>147</v>
      </c>
      <c r="D100" s="2"/>
      <c r="E100" s="2"/>
    </row>
    <row r="101" spans="1:5" x14ac:dyDescent="0.3">
      <c r="A101" s="66">
        <v>46</v>
      </c>
      <c r="B101" s="67" t="s">
        <v>148</v>
      </c>
      <c r="D101" s="2"/>
      <c r="E101" s="2"/>
    </row>
    <row r="102" spans="1:5" x14ac:dyDescent="0.3">
      <c r="A102" s="66">
        <v>47</v>
      </c>
      <c r="B102" s="67" t="s">
        <v>149</v>
      </c>
      <c r="D102" s="2"/>
      <c r="E102" s="2"/>
    </row>
    <row r="103" spans="1:5" x14ac:dyDescent="0.3">
      <c r="A103" s="66">
        <v>48</v>
      </c>
      <c r="B103" s="67" t="s">
        <v>150</v>
      </c>
      <c r="D103" s="2"/>
      <c r="E103" s="2"/>
    </row>
    <row r="104" spans="1:5" x14ac:dyDescent="0.3">
      <c r="A104" s="66">
        <v>79</v>
      </c>
      <c r="B104" s="67" t="s">
        <v>151</v>
      </c>
      <c r="D104" s="2"/>
      <c r="E104" s="2"/>
    </row>
    <row r="105" spans="1:5" x14ac:dyDescent="0.3">
      <c r="A105" s="66">
        <v>80</v>
      </c>
      <c r="B105" s="67" t="s">
        <v>152</v>
      </c>
      <c r="D105" s="2"/>
      <c r="E105" s="2"/>
    </row>
    <row r="106" spans="1:5" x14ac:dyDescent="0.3">
      <c r="A106" s="66">
        <v>81</v>
      </c>
      <c r="B106" s="67" t="s">
        <v>153</v>
      </c>
      <c r="D106" s="2"/>
      <c r="E106" s="2"/>
    </row>
    <row r="107" spans="1:5" x14ac:dyDescent="0.3">
      <c r="A107" s="66">
        <v>82</v>
      </c>
      <c r="B107" s="67" t="s">
        <v>154</v>
      </c>
      <c r="D107" s="2"/>
      <c r="E107" s="2"/>
    </row>
    <row r="108" spans="1:5" x14ac:dyDescent="0.3">
      <c r="A108" s="66">
        <v>83</v>
      </c>
      <c r="B108" s="67" t="s">
        <v>155</v>
      </c>
      <c r="D108" s="2"/>
      <c r="E108" s="2"/>
    </row>
    <row r="109" spans="1:5" x14ac:dyDescent="0.3">
      <c r="A109" s="66">
        <v>84</v>
      </c>
      <c r="B109" s="67" t="s">
        <v>156</v>
      </c>
      <c r="D109" s="2"/>
      <c r="E109" s="2"/>
    </row>
    <row r="110" spans="1:5" x14ac:dyDescent="0.3">
      <c r="A110" s="66">
        <v>115</v>
      </c>
      <c r="B110" s="67" t="s">
        <v>157</v>
      </c>
      <c r="D110" s="2"/>
      <c r="E110" s="2"/>
    </row>
    <row r="111" spans="1:5" x14ac:dyDescent="0.3">
      <c r="A111" s="66">
        <v>116</v>
      </c>
      <c r="B111" s="67" t="s">
        <v>158</v>
      </c>
      <c r="D111" s="2"/>
      <c r="E111" s="2"/>
    </row>
    <row r="112" spans="1:5" x14ac:dyDescent="0.3">
      <c r="A112" s="66">
        <v>117</v>
      </c>
      <c r="B112" s="67" t="s">
        <v>159</v>
      </c>
      <c r="D112" s="2"/>
      <c r="E112" s="2"/>
    </row>
    <row r="113" spans="1:5" x14ac:dyDescent="0.3">
      <c r="A113" s="66">
        <v>118</v>
      </c>
      <c r="B113" s="67" t="s">
        <v>160</v>
      </c>
      <c r="D113" s="2"/>
      <c r="E113" s="2"/>
    </row>
    <row r="114" spans="1:5" x14ac:dyDescent="0.3">
      <c r="A114" s="66">
        <v>119</v>
      </c>
      <c r="B114" s="67" t="s">
        <v>161</v>
      </c>
      <c r="D114" s="2"/>
      <c r="E114" s="2"/>
    </row>
    <row r="115" spans="1:5" x14ac:dyDescent="0.3">
      <c r="A115" s="66">
        <v>120</v>
      </c>
      <c r="B115" s="67" t="s">
        <v>162</v>
      </c>
      <c r="D115" s="2"/>
      <c r="E115" s="2"/>
    </row>
    <row r="116" spans="1:5" x14ac:dyDescent="0.3">
      <c r="A116" s="66">
        <v>127</v>
      </c>
      <c r="B116" s="67" t="s">
        <v>163</v>
      </c>
      <c r="D116" s="2"/>
      <c r="E116" s="2"/>
    </row>
    <row r="117" spans="1:5" x14ac:dyDescent="0.3">
      <c r="A117" s="66">
        <v>128</v>
      </c>
      <c r="B117" s="67" t="s">
        <v>164</v>
      </c>
      <c r="D117" s="2"/>
      <c r="E117" s="2"/>
    </row>
    <row r="118" spans="1:5" x14ac:dyDescent="0.3">
      <c r="A118" s="66">
        <v>129</v>
      </c>
      <c r="B118" s="67" t="s">
        <v>165</v>
      </c>
      <c r="D118" s="2"/>
      <c r="E118" s="2"/>
    </row>
    <row r="119" spans="1:5" x14ac:dyDescent="0.3">
      <c r="A119" s="66">
        <v>130</v>
      </c>
      <c r="B119" s="67" t="s">
        <v>166</v>
      </c>
      <c r="D119" s="2"/>
      <c r="E119" s="2"/>
    </row>
    <row r="120" spans="1:5" x14ac:dyDescent="0.3">
      <c r="A120" s="66">
        <v>131</v>
      </c>
      <c r="B120" s="67" t="s">
        <v>167</v>
      </c>
      <c r="D120" s="2"/>
      <c r="E120" s="2"/>
    </row>
    <row r="121" spans="1:5" x14ac:dyDescent="0.3">
      <c r="A121" s="66">
        <v>132</v>
      </c>
      <c r="B121" s="67" t="s">
        <v>168</v>
      </c>
      <c r="D121" s="2"/>
      <c r="E121" s="2"/>
    </row>
    <row r="122" spans="1:5" x14ac:dyDescent="0.3">
      <c r="A122" s="66">
        <v>140</v>
      </c>
      <c r="B122" s="67" t="s">
        <v>169</v>
      </c>
      <c r="D122" s="2"/>
      <c r="E122" s="2"/>
    </row>
    <row r="123" spans="1:5" x14ac:dyDescent="0.3">
      <c r="A123" s="66">
        <v>141</v>
      </c>
      <c r="B123" s="67" t="s">
        <v>170</v>
      </c>
      <c r="D123" s="2"/>
      <c r="E123" s="2"/>
    </row>
    <row r="124" spans="1:5" x14ac:dyDescent="0.3">
      <c r="A124" s="66">
        <v>142</v>
      </c>
      <c r="B124" s="67" t="s">
        <v>171</v>
      </c>
      <c r="D124" s="2"/>
      <c r="E124" s="2"/>
    </row>
    <row r="125" spans="1:5" x14ac:dyDescent="0.3">
      <c r="A125" s="66">
        <v>143</v>
      </c>
      <c r="B125" s="67" t="s">
        <v>172</v>
      </c>
      <c r="D125" s="2"/>
      <c r="E125" s="2"/>
    </row>
    <row r="126" spans="1:5" x14ac:dyDescent="0.3">
      <c r="A126" s="66">
        <v>144</v>
      </c>
      <c r="B126" s="67" t="s">
        <v>173</v>
      </c>
      <c r="D126" s="2"/>
      <c r="E126" s="2"/>
    </row>
    <row r="127" spans="1:5" x14ac:dyDescent="0.3">
      <c r="A127" s="66">
        <v>145</v>
      </c>
      <c r="B127" s="67" t="s">
        <v>174</v>
      </c>
      <c r="D127" s="2"/>
      <c r="E127" s="2"/>
    </row>
    <row r="128" spans="1:5" x14ac:dyDescent="0.3">
      <c r="A128" s="66">
        <v>152</v>
      </c>
      <c r="B128" s="67" t="s">
        <v>175</v>
      </c>
      <c r="D128" s="2"/>
      <c r="E128" s="2"/>
    </row>
    <row r="129" spans="1:5" x14ac:dyDescent="0.3">
      <c r="A129" s="66">
        <v>153</v>
      </c>
      <c r="B129" s="67" t="s">
        <v>176</v>
      </c>
      <c r="D129" s="2"/>
      <c r="E129" s="2"/>
    </row>
    <row r="130" spans="1:5" x14ac:dyDescent="0.3">
      <c r="A130" s="66">
        <v>154</v>
      </c>
      <c r="B130" s="67" t="s">
        <v>177</v>
      </c>
      <c r="D130" s="2"/>
      <c r="E130" s="2"/>
    </row>
    <row r="131" spans="1:5" x14ac:dyDescent="0.3">
      <c r="A131" s="66">
        <v>155</v>
      </c>
      <c r="B131" s="67" t="s">
        <v>178</v>
      </c>
      <c r="D131" s="2"/>
      <c r="E131" s="2"/>
    </row>
    <row r="132" spans="1:5" x14ac:dyDescent="0.3">
      <c r="A132" s="66">
        <v>156</v>
      </c>
      <c r="B132" s="67" t="s">
        <v>179</v>
      </c>
      <c r="D132" s="2"/>
      <c r="E132" s="2"/>
    </row>
    <row r="133" spans="1:5" x14ac:dyDescent="0.3">
      <c r="A133" s="66">
        <v>157</v>
      </c>
      <c r="B133" s="67" t="s">
        <v>180</v>
      </c>
      <c r="D133" s="2"/>
      <c r="E133" s="2"/>
    </row>
    <row r="134" spans="1:5" x14ac:dyDescent="0.3">
      <c r="A134" s="72">
        <v>164</v>
      </c>
      <c r="B134" s="71" t="s">
        <v>181</v>
      </c>
      <c r="D134" s="2"/>
      <c r="E134" s="2"/>
    </row>
    <row r="135" spans="1:5" x14ac:dyDescent="0.3">
      <c r="A135" s="66">
        <v>165</v>
      </c>
      <c r="B135" s="67" t="s">
        <v>182</v>
      </c>
      <c r="D135" s="2"/>
      <c r="E135" s="2"/>
    </row>
    <row r="136" spans="1:5" x14ac:dyDescent="0.3">
      <c r="A136" s="66">
        <v>166</v>
      </c>
      <c r="B136" s="67" t="s">
        <v>183</v>
      </c>
      <c r="D136" s="2"/>
      <c r="E136" s="2"/>
    </row>
    <row r="137" spans="1:5" x14ac:dyDescent="0.3">
      <c r="A137" s="66">
        <v>167</v>
      </c>
      <c r="B137" s="67" t="s">
        <v>184</v>
      </c>
      <c r="D137" s="2"/>
      <c r="E137" s="2"/>
    </row>
    <row r="138" spans="1:5" x14ac:dyDescent="0.3">
      <c r="A138" s="66">
        <v>168</v>
      </c>
      <c r="B138" s="67" t="s">
        <v>185</v>
      </c>
      <c r="D138" s="2"/>
      <c r="E138" s="2"/>
    </row>
    <row r="139" spans="1:5" x14ac:dyDescent="0.3">
      <c r="A139" s="66">
        <v>169</v>
      </c>
      <c r="B139" s="67" t="s">
        <v>186</v>
      </c>
      <c r="D139" s="2"/>
      <c r="E139" s="2"/>
    </row>
    <row r="140" spans="1:5" x14ac:dyDescent="0.3">
      <c r="A140" s="66">
        <v>176</v>
      </c>
      <c r="B140" s="67" t="s">
        <v>187</v>
      </c>
      <c r="D140" s="2"/>
      <c r="E140" s="2"/>
    </row>
    <row r="141" spans="1:5" x14ac:dyDescent="0.3">
      <c r="A141" s="66">
        <v>177</v>
      </c>
      <c r="B141" s="67" t="s">
        <v>188</v>
      </c>
      <c r="D141" s="2"/>
      <c r="E141" s="2"/>
    </row>
    <row r="142" spans="1:5" x14ac:dyDescent="0.3">
      <c r="A142" s="66">
        <v>178</v>
      </c>
      <c r="B142" s="67" t="s">
        <v>189</v>
      </c>
      <c r="D142" s="2"/>
      <c r="E142" s="2"/>
    </row>
    <row r="143" spans="1:5" x14ac:dyDescent="0.3">
      <c r="A143" s="66">
        <v>179</v>
      </c>
      <c r="B143" s="67" t="s">
        <v>190</v>
      </c>
      <c r="D143" s="2"/>
      <c r="E143" s="2"/>
    </row>
    <row r="144" spans="1:5" x14ac:dyDescent="0.3">
      <c r="A144" s="66">
        <v>180</v>
      </c>
      <c r="B144" s="67" t="s">
        <v>191</v>
      </c>
      <c r="D144" s="2"/>
      <c r="E144" s="2"/>
    </row>
    <row r="145" spans="1:5" x14ac:dyDescent="0.3">
      <c r="A145" s="66">
        <v>181</v>
      </c>
      <c r="B145" s="67" t="s">
        <v>192</v>
      </c>
      <c r="D145" s="2"/>
      <c r="E145" s="2"/>
    </row>
    <row r="146" spans="1:5" x14ac:dyDescent="0.3">
      <c r="A146" s="66">
        <v>188</v>
      </c>
      <c r="B146" s="67" t="s">
        <v>193</v>
      </c>
      <c r="D146" s="2"/>
      <c r="E146" s="2"/>
    </row>
    <row r="147" spans="1:5" x14ac:dyDescent="0.3">
      <c r="A147" s="66">
        <v>189</v>
      </c>
      <c r="B147" s="67" t="s">
        <v>194</v>
      </c>
      <c r="D147" s="2"/>
      <c r="E147" s="2"/>
    </row>
    <row r="148" spans="1:5" x14ac:dyDescent="0.3">
      <c r="A148" s="66">
        <v>190</v>
      </c>
      <c r="B148" s="67" t="s">
        <v>195</v>
      </c>
      <c r="D148" s="2"/>
      <c r="E148" s="2"/>
    </row>
    <row r="149" spans="1:5" x14ac:dyDescent="0.3">
      <c r="A149" s="66">
        <v>191</v>
      </c>
      <c r="B149" s="67" t="s">
        <v>196</v>
      </c>
      <c r="D149" s="2"/>
      <c r="E149" s="2"/>
    </row>
    <row r="150" spans="1:5" x14ac:dyDescent="0.3">
      <c r="A150" s="66">
        <v>192</v>
      </c>
      <c r="B150" s="67" t="s">
        <v>197</v>
      </c>
      <c r="D150" s="2"/>
      <c r="E150" s="2"/>
    </row>
    <row r="151" spans="1:5" x14ac:dyDescent="0.3">
      <c r="A151" s="66">
        <v>193</v>
      </c>
      <c r="B151" s="67" t="s">
        <v>198</v>
      </c>
      <c r="D151" s="2"/>
      <c r="E151" s="2"/>
    </row>
    <row r="152" spans="1:5" x14ac:dyDescent="0.3">
      <c r="A152" s="66">
        <v>330</v>
      </c>
      <c r="B152" s="67" t="s">
        <v>199</v>
      </c>
      <c r="D152" s="2"/>
      <c r="E152" s="2"/>
    </row>
    <row r="153" spans="1:5" x14ac:dyDescent="0.3">
      <c r="A153" s="66">
        <v>332</v>
      </c>
      <c r="B153" s="67" t="s">
        <v>200</v>
      </c>
      <c r="D153" s="2"/>
      <c r="E153" s="2"/>
    </row>
    <row r="154" spans="1:5" x14ac:dyDescent="0.3">
      <c r="A154" s="66">
        <v>334</v>
      </c>
      <c r="B154" s="67" t="s">
        <v>201</v>
      </c>
      <c r="D154" s="2"/>
      <c r="E154" s="2"/>
    </row>
    <row r="155" spans="1:5" x14ac:dyDescent="0.3">
      <c r="A155" s="66">
        <v>336</v>
      </c>
      <c r="B155" s="67" t="s">
        <v>202</v>
      </c>
      <c r="D155" s="2"/>
      <c r="E155" s="2"/>
    </row>
    <row r="156" spans="1:5" x14ac:dyDescent="0.3">
      <c r="A156" s="66">
        <v>338</v>
      </c>
      <c r="B156" s="67" t="s">
        <v>203</v>
      </c>
      <c r="D156" s="2"/>
      <c r="E156" s="2"/>
    </row>
    <row r="157" spans="1:5" x14ac:dyDescent="0.3">
      <c r="A157" s="66">
        <v>340</v>
      </c>
      <c r="B157" s="67" t="s">
        <v>204</v>
      </c>
      <c r="D157" s="2"/>
      <c r="E157" s="2"/>
    </row>
    <row r="158" spans="1:5" x14ac:dyDescent="0.3">
      <c r="A158" s="66">
        <v>348</v>
      </c>
      <c r="B158" s="67" t="s">
        <v>205</v>
      </c>
      <c r="D158" s="2"/>
      <c r="E158" s="2"/>
    </row>
    <row r="159" spans="1:5" x14ac:dyDescent="0.3">
      <c r="A159" s="66">
        <v>350</v>
      </c>
      <c r="B159" s="67" t="s">
        <v>206</v>
      </c>
      <c r="D159" s="2"/>
      <c r="E159" s="2"/>
    </row>
    <row r="160" spans="1:5" x14ac:dyDescent="0.3">
      <c r="A160" s="66">
        <v>352</v>
      </c>
      <c r="B160" s="67" t="s">
        <v>207</v>
      </c>
      <c r="D160" s="2"/>
      <c r="E160" s="2"/>
    </row>
    <row r="161" spans="1:5" x14ac:dyDescent="0.3">
      <c r="A161" s="66">
        <v>354</v>
      </c>
      <c r="B161" s="67" t="s">
        <v>208</v>
      </c>
      <c r="D161" s="2"/>
      <c r="E161" s="2"/>
    </row>
    <row r="162" spans="1:5" x14ac:dyDescent="0.3">
      <c r="A162" s="66">
        <v>356</v>
      </c>
      <c r="B162" s="67" t="s">
        <v>209</v>
      </c>
      <c r="D162" s="2"/>
      <c r="E162" s="2"/>
    </row>
    <row r="163" spans="1:5" x14ac:dyDescent="0.3">
      <c r="A163" s="66">
        <v>358</v>
      </c>
      <c r="B163" s="67" t="s">
        <v>210</v>
      </c>
      <c r="D163" s="2"/>
      <c r="E163" s="2"/>
    </row>
    <row r="164" spans="1:5" x14ac:dyDescent="0.3">
      <c r="A164" s="66">
        <v>366</v>
      </c>
      <c r="B164" s="67" t="s">
        <v>211</v>
      </c>
      <c r="D164" s="2"/>
      <c r="E164" s="2"/>
    </row>
    <row r="165" spans="1:5" x14ac:dyDescent="0.3">
      <c r="A165" s="66">
        <v>368</v>
      </c>
      <c r="B165" s="67" t="s">
        <v>212</v>
      </c>
      <c r="D165" s="2"/>
      <c r="E165" s="2"/>
    </row>
    <row r="166" spans="1:5" x14ac:dyDescent="0.3">
      <c r="A166" s="66">
        <v>370</v>
      </c>
      <c r="B166" s="67" t="s">
        <v>213</v>
      </c>
      <c r="D166" s="2"/>
      <c r="E166" s="2"/>
    </row>
    <row r="167" spans="1:5" x14ac:dyDescent="0.3">
      <c r="A167" s="66">
        <v>372</v>
      </c>
      <c r="B167" s="67" t="s">
        <v>214</v>
      </c>
      <c r="D167" s="2"/>
      <c r="E167" s="2"/>
    </row>
    <row r="168" spans="1:5" x14ac:dyDescent="0.3">
      <c r="A168" s="66">
        <v>374</v>
      </c>
      <c r="B168" s="67" t="s">
        <v>215</v>
      </c>
      <c r="D168" s="2"/>
      <c r="E168" s="2"/>
    </row>
    <row r="169" spans="1:5" x14ac:dyDescent="0.3">
      <c r="A169" s="66">
        <v>376</v>
      </c>
      <c r="B169" s="67" t="s">
        <v>216</v>
      </c>
      <c r="D169" s="2"/>
      <c r="E169" s="2"/>
    </row>
    <row r="170" spans="1:5" x14ac:dyDescent="0.3">
      <c r="A170" s="66">
        <v>384</v>
      </c>
      <c r="B170" s="67" t="s">
        <v>217</v>
      </c>
      <c r="D170" s="2"/>
      <c r="E170" s="2"/>
    </row>
    <row r="171" spans="1:5" x14ac:dyDescent="0.3">
      <c r="A171" s="66">
        <v>386</v>
      </c>
      <c r="B171" s="67" t="s">
        <v>218</v>
      </c>
      <c r="D171" s="2"/>
      <c r="E171" s="2"/>
    </row>
    <row r="172" spans="1:5" x14ac:dyDescent="0.3">
      <c r="A172" s="66">
        <v>388</v>
      </c>
      <c r="B172" s="67" t="s">
        <v>219</v>
      </c>
      <c r="D172" s="2"/>
      <c r="E172" s="2"/>
    </row>
    <row r="173" spans="1:5" x14ac:dyDescent="0.3">
      <c r="A173" s="66">
        <v>390</v>
      </c>
      <c r="B173" s="67" t="s">
        <v>220</v>
      </c>
      <c r="D173" s="2"/>
      <c r="E173" s="2"/>
    </row>
    <row r="174" spans="1:5" x14ac:dyDescent="0.3">
      <c r="A174" s="66">
        <v>392</v>
      </c>
      <c r="B174" s="67" t="s">
        <v>221</v>
      </c>
      <c r="D174" s="2"/>
      <c r="E174" s="2"/>
    </row>
    <row r="175" spans="1:5" x14ac:dyDescent="0.3">
      <c r="A175" s="66">
        <v>394</v>
      </c>
      <c r="B175" s="67" t="s">
        <v>222</v>
      </c>
      <c r="D175" s="2"/>
      <c r="E175" s="2"/>
    </row>
    <row r="176" spans="1:5" x14ac:dyDescent="0.3">
      <c r="A176" s="66">
        <v>402</v>
      </c>
      <c r="B176" s="67" t="s">
        <v>223</v>
      </c>
      <c r="D176" s="2"/>
      <c r="E176" s="2"/>
    </row>
    <row r="177" spans="1:5" x14ac:dyDescent="0.3">
      <c r="A177" s="66">
        <v>404</v>
      </c>
      <c r="B177" s="67" t="s">
        <v>224</v>
      </c>
      <c r="D177" s="2"/>
      <c r="E177" s="2"/>
    </row>
    <row r="178" spans="1:5" x14ac:dyDescent="0.3">
      <c r="A178" s="66">
        <v>406</v>
      </c>
      <c r="B178" s="67" t="s">
        <v>225</v>
      </c>
      <c r="D178" s="2"/>
      <c r="E178" s="2"/>
    </row>
    <row r="179" spans="1:5" x14ac:dyDescent="0.3">
      <c r="A179" s="66">
        <v>408</v>
      </c>
      <c r="B179" s="67" t="s">
        <v>226</v>
      </c>
      <c r="D179" s="2"/>
      <c r="E179" s="2"/>
    </row>
    <row r="180" spans="1:5" x14ac:dyDescent="0.3">
      <c r="A180" s="66">
        <v>410</v>
      </c>
      <c r="B180" s="67" t="s">
        <v>227</v>
      </c>
      <c r="D180" s="2"/>
      <c r="E180" s="2"/>
    </row>
    <row r="181" spans="1:5" x14ac:dyDescent="0.3">
      <c r="A181" s="66">
        <v>412</v>
      </c>
      <c r="B181" s="67" t="s">
        <v>228</v>
      </c>
      <c r="D181" s="2"/>
      <c r="E181" s="2"/>
    </row>
    <row r="182" spans="1:5" x14ac:dyDescent="0.3">
      <c r="A182" s="66">
        <v>331</v>
      </c>
      <c r="B182" s="67" t="s">
        <v>229</v>
      </c>
      <c r="D182" s="2"/>
      <c r="E182" s="2"/>
    </row>
    <row r="183" spans="1:5" x14ac:dyDescent="0.3">
      <c r="A183" s="66">
        <v>333</v>
      </c>
      <c r="B183" s="67" t="s">
        <v>230</v>
      </c>
      <c r="D183" s="2"/>
      <c r="E183" s="2"/>
    </row>
    <row r="184" spans="1:5" x14ac:dyDescent="0.3">
      <c r="A184" s="66">
        <v>335</v>
      </c>
      <c r="B184" s="67" t="s">
        <v>231</v>
      </c>
      <c r="D184" s="2"/>
      <c r="E184" s="2"/>
    </row>
    <row r="185" spans="1:5" x14ac:dyDescent="0.3">
      <c r="A185" s="66">
        <v>337</v>
      </c>
      <c r="B185" s="67" t="s">
        <v>232</v>
      </c>
      <c r="D185" s="2"/>
      <c r="E185" s="2"/>
    </row>
    <row r="186" spans="1:5" x14ac:dyDescent="0.3">
      <c r="A186" s="66">
        <v>339</v>
      </c>
      <c r="B186" s="67" t="s">
        <v>233</v>
      </c>
      <c r="D186" s="2"/>
      <c r="E186" s="2"/>
    </row>
    <row r="187" spans="1:5" x14ac:dyDescent="0.3">
      <c r="A187" s="66">
        <v>341</v>
      </c>
      <c r="B187" s="67" t="s">
        <v>234</v>
      </c>
      <c r="D187" s="2"/>
      <c r="E187" s="2"/>
    </row>
    <row r="188" spans="1:5" x14ac:dyDescent="0.3">
      <c r="A188" s="66">
        <v>349</v>
      </c>
      <c r="B188" s="67" t="s">
        <v>235</v>
      </c>
      <c r="D188" s="2"/>
      <c r="E188" s="2"/>
    </row>
    <row r="189" spans="1:5" x14ac:dyDescent="0.3">
      <c r="A189" s="66">
        <v>351</v>
      </c>
      <c r="B189" s="67" t="s">
        <v>236</v>
      </c>
      <c r="D189" s="2"/>
      <c r="E189" s="2"/>
    </row>
    <row r="190" spans="1:5" x14ac:dyDescent="0.3">
      <c r="A190" s="66">
        <v>353</v>
      </c>
      <c r="B190" s="67" t="s">
        <v>237</v>
      </c>
      <c r="D190" s="2"/>
      <c r="E190" s="2"/>
    </row>
    <row r="191" spans="1:5" x14ac:dyDescent="0.3">
      <c r="A191" s="66">
        <v>355</v>
      </c>
      <c r="B191" s="67" t="s">
        <v>238</v>
      </c>
      <c r="D191" s="2"/>
      <c r="E191" s="2"/>
    </row>
    <row r="192" spans="1:5" x14ac:dyDescent="0.3">
      <c r="A192" s="66">
        <v>357</v>
      </c>
      <c r="B192" s="67" t="s">
        <v>239</v>
      </c>
      <c r="D192" s="2"/>
      <c r="E192" s="2"/>
    </row>
    <row r="193" spans="1:5" x14ac:dyDescent="0.3">
      <c r="A193" s="73">
        <v>359</v>
      </c>
      <c r="B193" s="74" t="s">
        <v>240</v>
      </c>
      <c r="D193" s="2"/>
      <c r="E193" s="2"/>
    </row>
    <row r="194" spans="1:5" x14ac:dyDescent="0.3">
      <c r="A194" s="66">
        <v>367</v>
      </c>
      <c r="B194" s="67" t="s">
        <v>241</v>
      </c>
      <c r="D194" s="2"/>
      <c r="E194" s="2"/>
    </row>
    <row r="195" spans="1:5" x14ac:dyDescent="0.3">
      <c r="A195" s="66">
        <v>369</v>
      </c>
      <c r="B195" s="67" t="s">
        <v>242</v>
      </c>
      <c r="D195" s="2"/>
      <c r="E195" s="2"/>
    </row>
    <row r="196" spans="1:5" x14ac:dyDescent="0.3">
      <c r="A196" s="66">
        <v>371</v>
      </c>
      <c r="B196" s="67" t="s">
        <v>243</v>
      </c>
      <c r="D196" s="2"/>
      <c r="E196" s="2"/>
    </row>
    <row r="197" spans="1:5" x14ac:dyDescent="0.3">
      <c r="A197" s="66">
        <v>373</v>
      </c>
      <c r="B197" s="67" t="s">
        <v>244</v>
      </c>
      <c r="D197" s="2"/>
      <c r="E197" s="2"/>
    </row>
    <row r="198" spans="1:5" x14ac:dyDescent="0.3">
      <c r="A198" s="66">
        <v>375</v>
      </c>
      <c r="B198" s="67" t="s">
        <v>245</v>
      </c>
      <c r="D198" s="2"/>
      <c r="E198" s="2"/>
    </row>
    <row r="199" spans="1:5" x14ac:dyDescent="0.3">
      <c r="A199" s="66">
        <v>377</v>
      </c>
      <c r="B199" s="67" t="s">
        <v>246</v>
      </c>
      <c r="D199" s="2"/>
      <c r="E199" s="2"/>
    </row>
    <row r="200" spans="1:5" x14ac:dyDescent="0.3">
      <c r="A200" s="66">
        <v>385</v>
      </c>
      <c r="B200" s="67" t="s">
        <v>247</v>
      </c>
      <c r="D200" s="2"/>
      <c r="E200" s="2"/>
    </row>
    <row r="201" spans="1:5" x14ac:dyDescent="0.3">
      <c r="A201" s="66">
        <v>387</v>
      </c>
      <c r="B201" s="67" t="s">
        <v>248</v>
      </c>
      <c r="D201" s="2"/>
      <c r="E201" s="2"/>
    </row>
    <row r="202" spans="1:5" x14ac:dyDescent="0.3">
      <c r="A202" s="66">
        <v>389</v>
      </c>
      <c r="B202" s="67" t="s">
        <v>249</v>
      </c>
      <c r="D202" s="2"/>
      <c r="E202" s="2"/>
    </row>
    <row r="203" spans="1:5" x14ac:dyDescent="0.3">
      <c r="A203" s="66">
        <v>391</v>
      </c>
      <c r="B203" s="67" t="s">
        <v>250</v>
      </c>
      <c r="D203" s="2"/>
      <c r="E203" s="2"/>
    </row>
    <row r="204" spans="1:5" x14ac:dyDescent="0.3">
      <c r="A204" s="66">
        <v>393</v>
      </c>
      <c r="B204" s="67" t="s">
        <v>251</v>
      </c>
      <c r="D204" s="2"/>
      <c r="E204" s="2"/>
    </row>
    <row r="205" spans="1:5" x14ac:dyDescent="0.3">
      <c r="A205" s="66">
        <v>395</v>
      </c>
      <c r="B205" s="67" t="s">
        <v>252</v>
      </c>
      <c r="D205" s="2"/>
      <c r="E205" s="2"/>
    </row>
    <row r="206" spans="1:5" x14ac:dyDescent="0.3">
      <c r="A206" s="66">
        <v>403</v>
      </c>
      <c r="B206" s="67" t="s">
        <v>253</v>
      </c>
      <c r="D206" s="2"/>
      <c r="E206" s="2"/>
    </row>
    <row r="207" spans="1:5" x14ac:dyDescent="0.3">
      <c r="A207" s="66">
        <v>405</v>
      </c>
      <c r="B207" s="67" t="s">
        <v>254</v>
      </c>
      <c r="D207" s="2"/>
      <c r="E207" s="2"/>
    </row>
    <row r="208" spans="1:5" x14ac:dyDescent="0.3">
      <c r="A208" s="66">
        <v>407</v>
      </c>
      <c r="B208" s="67" t="s">
        <v>255</v>
      </c>
      <c r="D208" s="2"/>
      <c r="E208" s="2"/>
    </row>
    <row r="209" spans="1:5" x14ac:dyDescent="0.3">
      <c r="A209" s="66">
        <v>409</v>
      </c>
      <c r="B209" s="67" t="s">
        <v>256</v>
      </c>
      <c r="D209" s="2"/>
      <c r="E209" s="2"/>
    </row>
    <row r="210" spans="1:5" x14ac:dyDescent="0.3">
      <c r="A210" s="66">
        <v>411</v>
      </c>
      <c r="B210" s="67" t="s">
        <v>257</v>
      </c>
      <c r="D210" s="2"/>
      <c r="E210" s="2"/>
    </row>
    <row r="211" spans="1:5" x14ac:dyDescent="0.3">
      <c r="A211" s="66">
        <v>413</v>
      </c>
      <c r="B211" s="67" t="s">
        <v>258</v>
      </c>
      <c r="D211" s="2"/>
      <c r="E211" s="2"/>
    </row>
    <row r="212" spans="1:5" x14ac:dyDescent="0.3">
      <c r="A212" s="66">
        <v>13</v>
      </c>
      <c r="B212" s="67" t="s">
        <v>259</v>
      </c>
      <c r="D212" s="2"/>
      <c r="E212" s="2"/>
    </row>
    <row r="213" spans="1:5" x14ac:dyDescent="0.3">
      <c r="A213" s="66">
        <v>17</v>
      </c>
      <c r="B213" s="67" t="s">
        <v>260</v>
      </c>
      <c r="D213" s="2"/>
      <c r="E213" s="2"/>
    </row>
    <row r="214" spans="1:5" x14ac:dyDescent="0.3">
      <c r="A214" s="66">
        <v>33</v>
      </c>
      <c r="B214" s="67" t="s">
        <v>261</v>
      </c>
      <c r="D214" s="2"/>
      <c r="E214" s="2"/>
    </row>
    <row r="215" spans="1:5" x14ac:dyDescent="0.3">
      <c r="A215" s="66">
        <v>21</v>
      </c>
      <c r="B215" s="67" t="s">
        <v>262</v>
      </c>
      <c r="D215" s="2"/>
      <c r="E215" s="2"/>
    </row>
    <row r="216" spans="1:5" x14ac:dyDescent="0.3">
      <c r="A216" s="66">
        <v>25</v>
      </c>
      <c r="B216" s="67" t="s">
        <v>263</v>
      </c>
      <c r="D216" s="2"/>
      <c r="E216" s="2"/>
    </row>
    <row r="217" spans="1:5" x14ac:dyDescent="0.3">
      <c r="A217" s="66">
        <v>29</v>
      </c>
      <c r="B217" s="67" t="s">
        <v>264</v>
      </c>
      <c r="D217" s="2"/>
      <c r="E217" s="2"/>
    </row>
    <row r="218" spans="1:5" x14ac:dyDescent="0.3">
      <c r="A218" s="66">
        <v>49</v>
      </c>
      <c r="B218" s="67" t="s">
        <v>265</v>
      </c>
      <c r="D218" s="2"/>
      <c r="E218" s="2"/>
    </row>
    <row r="219" spans="1:5" x14ac:dyDescent="0.3">
      <c r="A219" s="66">
        <v>53</v>
      </c>
      <c r="B219" s="67" t="s">
        <v>266</v>
      </c>
      <c r="D219" s="2"/>
      <c r="E219" s="2"/>
    </row>
    <row r="220" spans="1:5" x14ac:dyDescent="0.3">
      <c r="A220" s="66">
        <v>57</v>
      </c>
      <c r="B220" s="67" t="s">
        <v>267</v>
      </c>
      <c r="D220" s="2"/>
      <c r="E220" s="2"/>
    </row>
    <row r="221" spans="1:5" x14ac:dyDescent="0.3">
      <c r="A221" s="66">
        <v>61</v>
      </c>
      <c r="B221" s="67" t="s">
        <v>268</v>
      </c>
      <c r="D221" s="2"/>
      <c r="E221" s="2"/>
    </row>
    <row r="222" spans="1:5" x14ac:dyDescent="0.3">
      <c r="A222" s="66">
        <v>65</v>
      </c>
      <c r="B222" s="67" t="s">
        <v>269</v>
      </c>
      <c r="D222" s="2"/>
      <c r="E222" s="2"/>
    </row>
    <row r="223" spans="1:5" x14ac:dyDescent="0.3">
      <c r="A223" s="66">
        <v>69</v>
      </c>
      <c r="B223" s="67" t="s">
        <v>270</v>
      </c>
      <c r="D223" s="2"/>
      <c r="E223" s="2"/>
    </row>
    <row r="224" spans="1:5" x14ac:dyDescent="0.3">
      <c r="A224" s="66">
        <v>97</v>
      </c>
      <c r="B224" s="67" t="s">
        <v>271</v>
      </c>
      <c r="D224" s="2"/>
      <c r="E224" s="2"/>
    </row>
    <row r="225" spans="1:5" x14ac:dyDescent="0.3">
      <c r="A225" s="66">
        <v>101</v>
      </c>
      <c r="B225" s="67" t="s">
        <v>272</v>
      </c>
      <c r="D225" s="2"/>
      <c r="E225" s="2"/>
    </row>
    <row r="226" spans="1:5" x14ac:dyDescent="0.3">
      <c r="A226" s="66">
        <v>105</v>
      </c>
      <c r="B226" s="67" t="s">
        <v>273</v>
      </c>
      <c r="D226" s="2"/>
      <c r="E226" s="2"/>
    </row>
    <row r="227" spans="1:5" x14ac:dyDescent="0.3">
      <c r="A227" s="66">
        <v>85</v>
      </c>
      <c r="B227" s="67" t="s">
        <v>274</v>
      </c>
      <c r="D227" s="2"/>
      <c r="E227" s="2"/>
    </row>
    <row r="228" spans="1:5" x14ac:dyDescent="0.3">
      <c r="A228" s="66">
        <v>89</v>
      </c>
      <c r="B228" s="67" t="s">
        <v>275</v>
      </c>
      <c r="D228" s="2"/>
      <c r="E228" s="2"/>
    </row>
    <row r="229" spans="1:5" x14ac:dyDescent="0.3">
      <c r="A229" s="66">
        <v>93</v>
      </c>
      <c r="B229" s="67" t="s">
        <v>276</v>
      </c>
      <c r="D229" s="2"/>
      <c r="E229" s="2"/>
    </row>
    <row r="230" spans="1:5" x14ac:dyDescent="0.3">
      <c r="A230" s="66">
        <v>200</v>
      </c>
      <c r="B230" s="67" t="s">
        <v>277</v>
      </c>
      <c r="D230" s="2"/>
      <c r="E230" s="2"/>
    </row>
    <row r="231" spans="1:5" x14ac:dyDescent="0.3">
      <c r="A231" s="66">
        <v>209</v>
      </c>
      <c r="B231" s="67" t="s">
        <v>278</v>
      </c>
      <c r="D231" s="2"/>
      <c r="E231" s="2"/>
    </row>
    <row r="232" spans="1:5" x14ac:dyDescent="0.3">
      <c r="A232" s="66">
        <v>567</v>
      </c>
      <c r="B232" s="67" t="s">
        <v>279</v>
      </c>
      <c r="D232" s="2"/>
      <c r="E232" s="2"/>
    </row>
    <row r="233" spans="1:5" x14ac:dyDescent="0.3">
      <c r="A233" s="66">
        <v>210</v>
      </c>
      <c r="B233" s="67" t="s">
        <v>280</v>
      </c>
      <c r="D233" s="2"/>
      <c r="E233" s="2"/>
    </row>
    <row r="234" spans="1:5" x14ac:dyDescent="0.3">
      <c r="A234" s="66">
        <v>574</v>
      </c>
      <c r="B234" s="67" t="s">
        <v>281</v>
      </c>
      <c r="D234" s="2"/>
      <c r="E234" s="2"/>
    </row>
    <row r="235" spans="1:5" x14ac:dyDescent="0.3">
      <c r="A235" s="66">
        <v>580</v>
      </c>
      <c r="B235" s="67" t="s">
        <v>282</v>
      </c>
      <c r="D235" s="2"/>
      <c r="E235" s="2"/>
    </row>
    <row r="236" spans="1:5" x14ac:dyDescent="0.3">
      <c r="A236" s="66">
        <v>204</v>
      </c>
      <c r="B236" s="67" t="s">
        <v>283</v>
      </c>
      <c r="D236" s="2"/>
      <c r="E236" s="2"/>
    </row>
    <row r="237" spans="1:5" x14ac:dyDescent="0.3">
      <c r="A237" s="66">
        <v>564</v>
      </c>
      <c r="B237" s="67" t="s">
        <v>284</v>
      </c>
      <c r="D237" s="2"/>
      <c r="E237" s="2"/>
    </row>
    <row r="238" spans="1:5" x14ac:dyDescent="0.3">
      <c r="A238" s="70">
        <v>583</v>
      </c>
      <c r="B238" s="71" t="s">
        <v>285</v>
      </c>
      <c r="D238" s="2"/>
      <c r="E238" s="2"/>
    </row>
    <row r="239" spans="1:5" x14ac:dyDescent="0.3">
      <c r="A239" s="70">
        <v>584</v>
      </c>
      <c r="B239" s="71" t="s">
        <v>286</v>
      </c>
      <c r="D239" s="2"/>
      <c r="E239" s="2"/>
    </row>
    <row r="240" spans="1:5" x14ac:dyDescent="0.3">
      <c r="A240" s="70">
        <v>586</v>
      </c>
      <c r="B240" s="71" t="s">
        <v>287</v>
      </c>
      <c r="D240" s="2"/>
      <c r="E240" s="2"/>
    </row>
    <row r="241" spans="1:5" x14ac:dyDescent="0.3">
      <c r="A241" s="70">
        <v>585</v>
      </c>
      <c r="B241" s="71" t="s">
        <v>288</v>
      </c>
      <c r="D241" s="2"/>
      <c r="E241" s="2"/>
    </row>
    <row r="242" spans="1:5" x14ac:dyDescent="0.3">
      <c r="A242" s="66">
        <v>208</v>
      </c>
      <c r="B242" s="67" t="s">
        <v>289</v>
      </c>
      <c r="D242" s="2"/>
      <c r="E242" s="2"/>
    </row>
    <row r="243" spans="1:5" x14ac:dyDescent="0.3">
      <c r="A243" s="66">
        <v>232</v>
      </c>
      <c r="B243" s="67" t="s">
        <v>290</v>
      </c>
      <c r="D243" s="2"/>
      <c r="E243" s="2"/>
    </row>
    <row r="244" spans="1:5" x14ac:dyDescent="0.3">
      <c r="A244" s="66">
        <v>236</v>
      </c>
      <c r="B244" s="67" t="s">
        <v>291</v>
      </c>
      <c r="D244" s="2"/>
      <c r="E244" s="2"/>
    </row>
    <row r="245" spans="1:5" x14ac:dyDescent="0.3">
      <c r="A245" s="66">
        <v>240</v>
      </c>
      <c r="B245" s="67" t="s">
        <v>292</v>
      </c>
      <c r="D245" s="2"/>
      <c r="E245" s="2"/>
    </row>
    <row r="246" spans="1:5" x14ac:dyDescent="0.3">
      <c r="A246" s="66">
        <v>244</v>
      </c>
      <c r="B246" s="67" t="s">
        <v>293</v>
      </c>
      <c r="D246" s="2"/>
      <c r="E246" s="2"/>
    </row>
    <row r="247" spans="1:5" x14ac:dyDescent="0.3">
      <c r="A247" s="66">
        <v>248</v>
      </c>
      <c r="B247" s="67" t="s">
        <v>294</v>
      </c>
      <c r="D247" s="2"/>
      <c r="E247" s="2"/>
    </row>
    <row r="248" spans="1:5" x14ac:dyDescent="0.3">
      <c r="A248" s="66">
        <v>194</v>
      </c>
      <c r="B248" s="67" t="s">
        <v>295</v>
      </c>
      <c r="D248" s="2"/>
      <c r="E248" s="2"/>
    </row>
    <row r="249" spans="1:5" x14ac:dyDescent="0.3">
      <c r="A249" s="66">
        <v>198</v>
      </c>
      <c r="B249" s="67" t="s">
        <v>296</v>
      </c>
      <c r="D249" s="2"/>
      <c r="E249" s="2"/>
    </row>
    <row r="250" spans="1:5" x14ac:dyDescent="0.3">
      <c r="A250" s="66">
        <v>213</v>
      </c>
      <c r="B250" s="67" t="s">
        <v>297</v>
      </c>
      <c r="D250" s="2"/>
      <c r="E250" s="2"/>
    </row>
    <row r="251" spans="1:5" x14ac:dyDescent="0.3">
      <c r="A251" s="66">
        <v>217</v>
      </c>
      <c r="B251" s="67" t="s">
        <v>298</v>
      </c>
      <c r="D251" s="2"/>
      <c r="E251" s="2"/>
    </row>
    <row r="252" spans="1:5" x14ac:dyDescent="0.3">
      <c r="A252" s="66">
        <v>221</v>
      </c>
      <c r="B252" s="67" t="s">
        <v>299</v>
      </c>
      <c r="D252" s="2"/>
      <c r="E252" s="2"/>
    </row>
    <row r="253" spans="1:5" x14ac:dyDescent="0.3">
      <c r="A253" s="66">
        <v>226</v>
      </c>
      <c r="B253" s="67" t="s">
        <v>300</v>
      </c>
      <c r="D253" s="2"/>
      <c r="E253" s="2"/>
    </row>
    <row r="254" spans="1:5" x14ac:dyDescent="0.3">
      <c r="A254" s="66">
        <v>252</v>
      </c>
      <c r="B254" s="67" t="s">
        <v>301</v>
      </c>
      <c r="D254" s="2"/>
      <c r="E254" s="2"/>
    </row>
    <row r="255" spans="1:5" x14ac:dyDescent="0.3">
      <c r="A255" s="66">
        <v>256</v>
      </c>
      <c r="B255" s="67" t="s">
        <v>302</v>
      </c>
      <c r="D255" s="2"/>
      <c r="E255" s="2"/>
    </row>
    <row r="256" spans="1:5" x14ac:dyDescent="0.3">
      <c r="A256" s="66">
        <v>260</v>
      </c>
      <c r="B256" s="67" t="s">
        <v>303</v>
      </c>
      <c r="D256" s="2"/>
      <c r="E256" s="2"/>
    </row>
    <row r="257" spans="1:5" x14ac:dyDescent="0.3">
      <c r="A257" s="66">
        <v>264</v>
      </c>
      <c r="B257" s="67" t="s">
        <v>304</v>
      </c>
      <c r="D257" s="2"/>
      <c r="E257" s="2"/>
    </row>
    <row r="258" spans="1:5" x14ac:dyDescent="0.3">
      <c r="A258" s="66">
        <v>268</v>
      </c>
      <c r="B258" s="67" t="s">
        <v>305</v>
      </c>
      <c r="D258" s="2"/>
      <c r="E258" s="2"/>
    </row>
    <row r="259" spans="1:5" x14ac:dyDescent="0.3">
      <c r="A259" s="66">
        <v>272</v>
      </c>
      <c r="B259" s="67" t="s">
        <v>306</v>
      </c>
      <c r="D259" s="2"/>
      <c r="E259" s="2"/>
    </row>
    <row r="260" spans="1:5" x14ac:dyDescent="0.3">
      <c r="A260" s="66">
        <v>276</v>
      </c>
      <c r="B260" s="67" t="s">
        <v>307</v>
      </c>
      <c r="D260" s="2"/>
      <c r="E260" s="2"/>
    </row>
    <row r="261" spans="1:5" x14ac:dyDescent="0.3">
      <c r="A261" s="66">
        <v>280</v>
      </c>
      <c r="B261" s="67" t="s">
        <v>308</v>
      </c>
      <c r="D261" s="2"/>
      <c r="E261" s="2"/>
    </row>
    <row r="262" spans="1:5" x14ac:dyDescent="0.3">
      <c r="A262" s="66">
        <v>284</v>
      </c>
      <c r="B262" s="67" t="s">
        <v>309</v>
      </c>
      <c r="D262" s="2"/>
      <c r="E262" s="2"/>
    </row>
    <row r="263" spans="1:5" x14ac:dyDescent="0.3">
      <c r="A263" s="66">
        <v>288</v>
      </c>
      <c r="B263" s="67" t="s">
        <v>310</v>
      </c>
      <c r="D263" s="2"/>
      <c r="E263" s="2"/>
    </row>
    <row r="264" spans="1:5" x14ac:dyDescent="0.3">
      <c r="A264" s="66">
        <v>292</v>
      </c>
      <c r="B264" s="67" t="s">
        <v>311</v>
      </c>
      <c r="D264" s="2"/>
      <c r="E264" s="2"/>
    </row>
    <row r="265" spans="1:5" x14ac:dyDescent="0.3">
      <c r="A265" s="66">
        <v>296</v>
      </c>
      <c r="B265" s="67" t="s">
        <v>312</v>
      </c>
      <c r="D265" s="2"/>
      <c r="E265" s="2"/>
    </row>
    <row r="266" spans="1:5" x14ac:dyDescent="0.3">
      <c r="A266" s="66">
        <v>300</v>
      </c>
      <c r="B266" s="67" t="s">
        <v>313</v>
      </c>
      <c r="D266" s="2"/>
      <c r="E266" s="2"/>
    </row>
    <row r="267" spans="1:5" x14ac:dyDescent="0.3">
      <c r="A267" s="66">
        <v>304</v>
      </c>
      <c r="B267" s="67" t="s">
        <v>314</v>
      </c>
      <c r="D267" s="2"/>
      <c r="E267" s="2"/>
    </row>
    <row r="268" spans="1:5" x14ac:dyDescent="0.3">
      <c r="A268" s="66">
        <v>308</v>
      </c>
      <c r="B268" s="67" t="s">
        <v>315</v>
      </c>
      <c r="D268" s="2"/>
      <c r="E268" s="2"/>
    </row>
    <row r="269" spans="1:5" x14ac:dyDescent="0.3">
      <c r="A269" s="66">
        <v>312</v>
      </c>
      <c r="B269" s="67" t="s">
        <v>316</v>
      </c>
      <c r="D269" s="2"/>
      <c r="E269" s="2"/>
    </row>
    <row r="270" spans="1:5" x14ac:dyDescent="0.3">
      <c r="A270" s="66">
        <v>316</v>
      </c>
      <c r="B270" s="67" t="s">
        <v>317</v>
      </c>
      <c r="D270" s="2"/>
      <c r="E270" s="2"/>
    </row>
    <row r="271" spans="1:5" x14ac:dyDescent="0.3">
      <c r="A271" s="66">
        <v>320</v>
      </c>
      <c r="B271" s="67" t="s">
        <v>318</v>
      </c>
      <c r="D271" s="2"/>
      <c r="E271" s="2"/>
    </row>
    <row r="272" spans="1:5" x14ac:dyDescent="0.3">
      <c r="A272" s="66">
        <v>444</v>
      </c>
      <c r="B272" s="67" t="s">
        <v>319</v>
      </c>
      <c r="D272" s="2"/>
      <c r="E272" s="2"/>
    </row>
    <row r="273" spans="1:5" x14ac:dyDescent="0.3">
      <c r="A273" s="66">
        <v>448</v>
      </c>
      <c r="B273" s="67" t="s">
        <v>320</v>
      </c>
      <c r="D273" s="2"/>
      <c r="E273" s="2"/>
    </row>
    <row r="274" spans="1:5" x14ac:dyDescent="0.3">
      <c r="A274" s="66">
        <v>452</v>
      </c>
      <c r="B274" s="67" t="s">
        <v>321</v>
      </c>
      <c r="D274" s="2"/>
      <c r="E274" s="2"/>
    </row>
    <row r="275" spans="1:5" x14ac:dyDescent="0.3">
      <c r="A275" s="66">
        <v>478</v>
      </c>
      <c r="B275" s="67" t="s">
        <v>322</v>
      </c>
      <c r="D275" s="2"/>
      <c r="E275" s="2"/>
    </row>
    <row r="276" spans="1:5" x14ac:dyDescent="0.3">
      <c r="A276" s="66">
        <v>456</v>
      </c>
      <c r="B276" s="67" t="s">
        <v>323</v>
      </c>
      <c r="D276" s="2"/>
      <c r="E276" s="2"/>
    </row>
    <row r="277" spans="1:5" x14ac:dyDescent="0.3">
      <c r="A277" s="66">
        <v>460</v>
      </c>
      <c r="B277" s="67" t="s">
        <v>324</v>
      </c>
      <c r="D277" s="2"/>
      <c r="E277" s="2"/>
    </row>
    <row r="278" spans="1:5" x14ac:dyDescent="0.3">
      <c r="A278" s="66">
        <v>464</v>
      </c>
      <c r="B278" s="67" t="s">
        <v>325</v>
      </c>
      <c r="D278" s="2"/>
      <c r="E278" s="2"/>
    </row>
    <row r="279" spans="1:5" x14ac:dyDescent="0.3">
      <c r="A279" s="66">
        <v>468</v>
      </c>
      <c r="B279" s="67" t="s">
        <v>326</v>
      </c>
      <c r="D279" s="2"/>
      <c r="E279" s="2"/>
    </row>
    <row r="280" spans="1:5" x14ac:dyDescent="0.3">
      <c r="A280" s="66">
        <v>472</v>
      </c>
      <c r="B280" s="67" t="s">
        <v>327</v>
      </c>
      <c r="D280" s="2"/>
      <c r="E280" s="2"/>
    </row>
    <row r="281" spans="1:5" x14ac:dyDescent="0.3">
      <c r="A281" s="66">
        <v>476</v>
      </c>
      <c r="B281" s="67" t="s">
        <v>328</v>
      </c>
      <c r="D281" s="2"/>
      <c r="E281" s="2"/>
    </row>
    <row r="282" spans="1:5" x14ac:dyDescent="0.3">
      <c r="A282" s="66">
        <v>484</v>
      </c>
      <c r="B282" s="67" t="s">
        <v>329</v>
      </c>
      <c r="D282" s="2"/>
      <c r="E282" s="2"/>
    </row>
    <row r="283" spans="1:5" x14ac:dyDescent="0.3">
      <c r="A283" s="66">
        <v>488</v>
      </c>
      <c r="B283" s="67" t="s">
        <v>330</v>
      </c>
      <c r="D283" s="2"/>
      <c r="E283" s="2"/>
    </row>
    <row r="284" spans="1:5" x14ac:dyDescent="0.3">
      <c r="A284" s="66">
        <v>492</v>
      </c>
      <c r="B284" s="67" t="s">
        <v>331</v>
      </c>
      <c r="D284" s="2"/>
      <c r="E284" s="2"/>
    </row>
    <row r="285" spans="1:5" x14ac:dyDescent="0.3">
      <c r="A285" s="66">
        <v>496</v>
      </c>
      <c r="B285" s="67" t="s">
        <v>332</v>
      </c>
      <c r="D285" s="2"/>
      <c r="E285" s="2"/>
    </row>
    <row r="286" spans="1:5" x14ac:dyDescent="0.3">
      <c r="A286" s="66">
        <v>500</v>
      </c>
      <c r="B286" s="67" t="s">
        <v>333</v>
      </c>
      <c r="D286" s="2"/>
      <c r="E286" s="2"/>
    </row>
    <row r="287" spans="1:5" x14ac:dyDescent="0.3">
      <c r="A287" s="66">
        <v>504</v>
      </c>
      <c r="B287" s="67" t="s">
        <v>334</v>
      </c>
      <c r="D287" s="2"/>
      <c r="E287" s="2"/>
    </row>
    <row r="288" spans="1:5" x14ac:dyDescent="0.3">
      <c r="A288" s="66">
        <v>508</v>
      </c>
      <c r="B288" s="67" t="s">
        <v>335</v>
      </c>
      <c r="D288" s="2"/>
      <c r="E288" s="2"/>
    </row>
    <row r="289" spans="1:5" x14ac:dyDescent="0.3">
      <c r="A289" s="66">
        <v>512</v>
      </c>
      <c r="B289" s="67" t="s">
        <v>336</v>
      </c>
      <c r="D289" s="2"/>
      <c r="E289" s="2"/>
    </row>
    <row r="290" spans="1:5" x14ac:dyDescent="0.3">
      <c r="A290" s="66">
        <v>516</v>
      </c>
      <c r="B290" s="67" t="s">
        <v>337</v>
      </c>
      <c r="D290" s="2"/>
      <c r="E290" s="2"/>
    </row>
    <row r="291" spans="1:5" x14ac:dyDescent="0.3">
      <c r="A291" s="66">
        <v>520</v>
      </c>
      <c r="B291" s="67" t="s">
        <v>338</v>
      </c>
      <c r="D291" s="2"/>
      <c r="E291" s="2"/>
    </row>
    <row r="292" spans="1:5" x14ac:dyDescent="0.3">
      <c r="A292" s="66">
        <v>524</v>
      </c>
      <c r="B292" s="67" t="s">
        <v>339</v>
      </c>
      <c r="D292" s="2"/>
      <c r="E292" s="2"/>
    </row>
    <row r="293" spans="1:5" x14ac:dyDescent="0.3">
      <c r="A293" s="66">
        <v>528</v>
      </c>
      <c r="B293" s="67" t="s">
        <v>340</v>
      </c>
      <c r="D293" s="2"/>
      <c r="E293" s="2"/>
    </row>
    <row r="294" spans="1:5" x14ac:dyDescent="0.3">
      <c r="A294" s="66">
        <v>536</v>
      </c>
      <c r="B294" s="67" t="s">
        <v>341</v>
      </c>
      <c r="D294" s="2"/>
      <c r="E294" s="2"/>
    </row>
    <row r="295" spans="1:5" x14ac:dyDescent="0.3">
      <c r="A295" s="66">
        <v>532</v>
      </c>
      <c r="B295" s="67" t="s">
        <v>342</v>
      </c>
      <c r="D295" s="2"/>
      <c r="E295" s="2"/>
    </row>
    <row r="296" spans="1:5" x14ac:dyDescent="0.3">
      <c r="A296" s="66">
        <v>540</v>
      </c>
      <c r="B296" s="67" t="s">
        <v>343</v>
      </c>
      <c r="D296" s="2"/>
      <c r="E296" s="2"/>
    </row>
    <row r="297" spans="1:5" x14ac:dyDescent="0.3">
      <c r="A297" s="66">
        <v>544</v>
      </c>
      <c r="B297" s="67" t="s">
        <v>344</v>
      </c>
      <c r="D297" s="2"/>
      <c r="E297" s="2"/>
    </row>
    <row r="298" spans="1:5" x14ac:dyDescent="0.3">
      <c r="A298" s="66">
        <v>548</v>
      </c>
      <c r="B298" s="67" t="s">
        <v>345</v>
      </c>
      <c r="D298" s="2"/>
      <c r="E298" s="2"/>
    </row>
    <row r="299" spans="1:5" x14ac:dyDescent="0.3">
      <c r="A299" s="66">
        <v>552</v>
      </c>
      <c r="B299" s="67" t="s">
        <v>346</v>
      </c>
      <c r="D299" s="2"/>
      <c r="E299" s="2"/>
    </row>
    <row r="300" spans="1:5" x14ac:dyDescent="0.3">
      <c r="A300" s="66">
        <v>556</v>
      </c>
      <c r="B300" s="67" t="s">
        <v>347</v>
      </c>
      <c r="D300" s="2"/>
      <c r="E300" s="2"/>
    </row>
    <row r="301" spans="1:5" x14ac:dyDescent="0.3">
      <c r="A301" s="66">
        <v>560</v>
      </c>
      <c r="B301" s="67" t="s">
        <v>348</v>
      </c>
      <c r="D301" s="2"/>
      <c r="E301" s="2"/>
    </row>
    <row r="302" spans="1:5" x14ac:dyDescent="0.3">
      <c r="A302" s="66">
        <v>14</v>
      </c>
      <c r="B302" s="67" t="s">
        <v>349</v>
      </c>
      <c r="D302" s="2"/>
      <c r="E302" s="2"/>
    </row>
    <row r="303" spans="1:5" x14ac:dyDescent="0.3">
      <c r="A303" s="66">
        <v>18</v>
      </c>
      <c r="B303" s="67" t="s">
        <v>350</v>
      </c>
      <c r="D303" s="2"/>
      <c r="E303" s="2"/>
    </row>
    <row r="304" spans="1:5" x14ac:dyDescent="0.3">
      <c r="A304" s="66">
        <v>34</v>
      </c>
      <c r="B304" s="67" t="s">
        <v>351</v>
      </c>
      <c r="D304" s="2"/>
      <c r="E304" s="2"/>
    </row>
    <row r="305" spans="1:5" x14ac:dyDescent="0.3">
      <c r="A305" s="66">
        <v>22</v>
      </c>
      <c r="B305" s="67" t="s">
        <v>352</v>
      </c>
      <c r="D305" s="2"/>
      <c r="E305" s="2"/>
    </row>
    <row r="306" spans="1:5" x14ac:dyDescent="0.3">
      <c r="A306" s="66">
        <v>26</v>
      </c>
      <c r="B306" s="67" t="s">
        <v>353</v>
      </c>
      <c r="D306" s="2"/>
      <c r="E306" s="2"/>
    </row>
    <row r="307" spans="1:5" x14ac:dyDescent="0.3">
      <c r="A307" s="66">
        <v>30</v>
      </c>
      <c r="B307" s="67" t="s">
        <v>354</v>
      </c>
      <c r="D307" s="2"/>
      <c r="E307" s="2"/>
    </row>
    <row r="308" spans="1:5" x14ac:dyDescent="0.3">
      <c r="A308" s="66">
        <v>50</v>
      </c>
      <c r="B308" s="67" t="s">
        <v>355</v>
      </c>
      <c r="D308" s="2"/>
      <c r="E308" s="2"/>
    </row>
    <row r="309" spans="1:5" x14ac:dyDescent="0.3">
      <c r="A309" s="66">
        <v>54</v>
      </c>
      <c r="B309" s="67" t="s">
        <v>356</v>
      </c>
      <c r="D309" s="2"/>
      <c r="E309" s="2"/>
    </row>
    <row r="310" spans="1:5" x14ac:dyDescent="0.3">
      <c r="A310" s="66">
        <v>58</v>
      </c>
      <c r="B310" s="67" t="s">
        <v>357</v>
      </c>
      <c r="D310" s="2"/>
      <c r="E310" s="2"/>
    </row>
    <row r="311" spans="1:5" x14ac:dyDescent="0.3">
      <c r="A311" s="66">
        <v>62</v>
      </c>
      <c r="B311" s="67" t="s">
        <v>358</v>
      </c>
      <c r="D311" s="2"/>
      <c r="E311" s="2"/>
    </row>
    <row r="312" spans="1:5" x14ac:dyDescent="0.3">
      <c r="A312" s="66">
        <v>66</v>
      </c>
      <c r="B312" s="67" t="s">
        <v>359</v>
      </c>
      <c r="D312" s="2"/>
      <c r="E312" s="2"/>
    </row>
    <row r="313" spans="1:5" x14ac:dyDescent="0.3">
      <c r="A313" s="66">
        <v>70</v>
      </c>
      <c r="B313" s="67" t="s">
        <v>360</v>
      </c>
      <c r="D313" s="2"/>
      <c r="E313" s="2"/>
    </row>
    <row r="314" spans="1:5" x14ac:dyDescent="0.3">
      <c r="A314" s="66">
        <v>98</v>
      </c>
      <c r="B314" s="67" t="s">
        <v>361</v>
      </c>
      <c r="D314" s="2"/>
      <c r="E314" s="2"/>
    </row>
    <row r="315" spans="1:5" x14ac:dyDescent="0.3">
      <c r="A315" s="66">
        <v>102</v>
      </c>
      <c r="B315" s="67" t="s">
        <v>362</v>
      </c>
      <c r="D315" s="2"/>
      <c r="E315" s="2"/>
    </row>
    <row r="316" spans="1:5" x14ac:dyDescent="0.3">
      <c r="A316" s="66">
        <v>106</v>
      </c>
      <c r="B316" s="67" t="s">
        <v>363</v>
      </c>
      <c r="D316" s="2"/>
      <c r="E316" s="2"/>
    </row>
    <row r="317" spans="1:5" x14ac:dyDescent="0.3">
      <c r="A317" s="66">
        <v>86</v>
      </c>
      <c r="B317" s="67" t="s">
        <v>364</v>
      </c>
      <c r="D317" s="2"/>
      <c r="E317" s="2"/>
    </row>
    <row r="318" spans="1:5" x14ac:dyDescent="0.3">
      <c r="A318" s="66">
        <v>90</v>
      </c>
      <c r="B318" s="67" t="s">
        <v>365</v>
      </c>
      <c r="D318" s="2"/>
      <c r="E318" s="2"/>
    </row>
    <row r="319" spans="1:5" x14ac:dyDescent="0.3">
      <c r="A319" s="66">
        <v>94</v>
      </c>
      <c r="B319" s="67" t="s">
        <v>366</v>
      </c>
      <c r="D319" s="2"/>
      <c r="E319" s="2"/>
    </row>
    <row r="320" spans="1:5" x14ac:dyDescent="0.3">
      <c r="A320" s="66">
        <v>201</v>
      </c>
      <c r="B320" s="67" t="s">
        <v>367</v>
      </c>
      <c r="D320" s="2"/>
      <c r="E320" s="2"/>
    </row>
    <row r="321" spans="1:5" x14ac:dyDescent="0.3">
      <c r="A321" s="66">
        <v>565</v>
      </c>
      <c r="B321" s="67" t="s">
        <v>368</v>
      </c>
      <c r="D321" s="2"/>
      <c r="E321" s="2"/>
    </row>
    <row r="322" spans="1:5" x14ac:dyDescent="0.3">
      <c r="A322" s="66">
        <v>568</v>
      </c>
      <c r="B322" s="67" t="s">
        <v>369</v>
      </c>
      <c r="D322" s="2"/>
      <c r="E322" s="2"/>
    </row>
    <row r="323" spans="1:5" x14ac:dyDescent="0.3">
      <c r="A323" s="66">
        <v>571</v>
      </c>
      <c r="B323" s="67" t="s">
        <v>370</v>
      </c>
      <c r="D323" s="2"/>
      <c r="E323" s="2"/>
    </row>
    <row r="324" spans="1:5" x14ac:dyDescent="0.3">
      <c r="A324" s="66">
        <v>575</v>
      </c>
      <c r="B324" s="67" t="s">
        <v>371</v>
      </c>
      <c r="D324" s="2"/>
      <c r="E324" s="2"/>
    </row>
    <row r="325" spans="1:5" x14ac:dyDescent="0.3">
      <c r="A325" s="70">
        <v>579</v>
      </c>
      <c r="B325" s="71" t="s">
        <v>372</v>
      </c>
      <c r="D325" s="2"/>
      <c r="E325" s="2"/>
    </row>
    <row r="326" spans="1:5" x14ac:dyDescent="0.3">
      <c r="A326" s="66">
        <v>205</v>
      </c>
      <c r="B326" s="67" t="s">
        <v>373</v>
      </c>
      <c r="D326" s="2"/>
      <c r="E326" s="2"/>
    </row>
    <row r="327" spans="1:5" x14ac:dyDescent="0.3">
      <c r="A327" s="70">
        <v>582</v>
      </c>
      <c r="B327" s="71" t="s">
        <v>374</v>
      </c>
      <c r="D327" s="2"/>
      <c r="E327" s="2"/>
    </row>
    <row r="328" spans="1:5" x14ac:dyDescent="0.3">
      <c r="A328" s="75">
        <v>589</v>
      </c>
      <c r="B328" s="74" t="s">
        <v>375</v>
      </c>
      <c r="D328" s="2"/>
      <c r="E328" s="2"/>
    </row>
    <row r="329" spans="1:5" x14ac:dyDescent="0.3">
      <c r="A329" s="75">
        <v>592</v>
      </c>
      <c r="B329" s="74" t="s">
        <v>376</v>
      </c>
      <c r="D329" s="2"/>
      <c r="E329" s="2"/>
    </row>
    <row r="330" spans="1:5" x14ac:dyDescent="0.3">
      <c r="A330" s="75">
        <v>595</v>
      </c>
      <c r="B330" s="74" t="s">
        <v>377</v>
      </c>
      <c r="D330" s="2"/>
      <c r="E330" s="2"/>
    </row>
    <row r="331" spans="1:5" x14ac:dyDescent="0.3">
      <c r="A331" s="75">
        <v>598</v>
      </c>
      <c r="B331" s="74" t="s">
        <v>378</v>
      </c>
      <c r="D331" s="2"/>
      <c r="E331" s="2"/>
    </row>
    <row r="332" spans="1:5" x14ac:dyDescent="0.3">
      <c r="A332" s="66">
        <v>229</v>
      </c>
      <c r="B332" s="67" t="s">
        <v>379</v>
      </c>
      <c r="D332" s="2"/>
      <c r="E332" s="2"/>
    </row>
    <row r="333" spans="1:5" x14ac:dyDescent="0.3">
      <c r="A333" s="66">
        <v>233</v>
      </c>
      <c r="B333" s="67" t="s">
        <v>380</v>
      </c>
      <c r="D333" s="2"/>
      <c r="E333" s="2"/>
    </row>
    <row r="334" spans="1:5" x14ac:dyDescent="0.3">
      <c r="A334" s="66">
        <v>237</v>
      </c>
      <c r="B334" s="67" t="s">
        <v>381</v>
      </c>
      <c r="D334" s="2"/>
      <c r="E334" s="2"/>
    </row>
    <row r="335" spans="1:5" x14ac:dyDescent="0.3">
      <c r="A335" s="66">
        <v>241</v>
      </c>
      <c r="B335" s="67" t="s">
        <v>382</v>
      </c>
      <c r="D335" s="2"/>
      <c r="E335" s="2"/>
    </row>
    <row r="336" spans="1:5" x14ac:dyDescent="0.3">
      <c r="A336" s="66">
        <v>245</v>
      </c>
      <c r="B336" s="67" t="s">
        <v>383</v>
      </c>
      <c r="D336" s="2"/>
      <c r="E336" s="2"/>
    </row>
    <row r="337" spans="1:5" x14ac:dyDescent="0.3">
      <c r="A337" s="66">
        <v>249</v>
      </c>
      <c r="B337" s="67" t="s">
        <v>384</v>
      </c>
      <c r="D337" s="2"/>
      <c r="E337" s="2"/>
    </row>
    <row r="338" spans="1:5" x14ac:dyDescent="0.3">
      <c r="A338" s="66">
        <v>195</v>
      </c>
      <c r="B338" s="67" t="s">
        <v>385</v>
      </c>
      <c r="D338" s="2"/>
      <c r="E338" s="2"/>
    </row>
    <row r="339" spans="1:5" x14ac:dyDescent="0.3">
      <c r="A339" s="66">
        <v>199</v>
      </c>
      <c r="B339" s="67" t="s">
        <v>386</v>
      </c>
      <c r="D339" s="2"/>
      <c r="E339" s="2"/>
    </row>
    <row r="340" spans="1:5" x14ac:dyDescent="0.3">
      <c r="A340" s="66">
        <v>214</v>
      </c>
      <c r="B340" s="67" t="s">
        <v>387</v>
      </c>
      <c r="D340" s="2"/>
      <c r="E340" s="2"/>
    </row>
    <row r="341" spans="1:5" x14ac:dyDescent="0.3">
      <c r="A341" s="66">
        <v>218</v>
      </c>
      <c r="B341" s="67" t="s">
        <v>388</v>
      </c>
      <c r="D341" s="2"/>
      <c r="E341" s="2"/>
    </row>
    <row r="342" spans="1:5" x14ac:dyDescent="0.3">
      <c r="A342" s="66">
        <v>222</v>
      </c>
      <c r="B342" s="67" t="s">
        <v>389</v>
      </c>
      <c r="D342" s="2"/>
      <c r="E342" s="2"/>
    </row>
    <row r="343" spans="1:5" x14ac:dyDescent="0.3">
      <c r="A343" s="66">
        <v>225</v>
      </c>
      <c r="B343" s="67" t="s">
        <v>390</v>
      </c>
      <c r="D343" s="2"/>
      <c r="E343" s="2"/>
    </row>
    <row r="344" spans="1:5" x14ac:dyDescent="0.3">
      <c r="A344" s="66">
        <v>253</v>
      </c>
      <c r="B344" s="67" t="s">
        <v>391</v>
      </c>
      <c r="D344" s="2"/>
      <c r="E344" s="2"/>
    </row>
    <row r="345" spans="1:5" x14ac:dyDescent="0.3">
      <c r="A345" s="66">
        <v>257</v>
      </c>
      <c r="B345" s="67" t="s">
        <v>392</v>
      </c>
      <c r="D345" s="2"/>
      <c r="E345" s="2"/>
    </row>
    <row r="346" spans="1:5" x14ac:dyDescent="0.3">
      <c r="A346" s="66">
        <v>261</v>
      </c>
      <c r="B346" s="67" t="s">
        <v>393</v>
      </c>
      <c r="D346" s="2"/>
      <c r="E346" s="2"/>
    </row>
    <row r="347" spans="1:5" x14ac:dyDescent="0.3">
      <c r="A347" s="66">
        <v>265</v>
      </c>
      <c r="B347" s="67" t="s">
        <v>394</v>
      </c>
      <c r="D347" s="2"/>
      <c r="E347" s="2"/>
    </row>
    <row r="348" spans="1:5" x14ac:dyDescent="0.3">
      <c r="A348" s="66">
        <v>269</v>
      </c>
      <c r="B348" s="67" t="s">
        <v>395</v>
      </c>
      <c r="D348" s="2"/>
      <c r="E348" s="2"/>
    </row>
    <row r="349" spans="1:5" x14ac:dyDescent="0.3">
      <c r="A349" s="66">
        <v>273</v>
      </c>
      <c r="B349" s="67" t="s">
        <v>396</v>
      </c>
      <c r="D349" s="2"/>
      <c r="E349" s="2"/>
    </row>
    <row r="350" spans="1:5" x14ac:dyDescent="0.3">
      <c r="A350" s="66">
        <v>277</v>
      </c>
      <c r="B350" s="67" t="s">
        <v>397</v>
      </c>
      <c r="D350" s="2"/>
      <c r="E350" s="2"/>
    </row>
    <row r="351" spans="1:5" x14ac:dyDescent="0.3">
      <c r="A351" s="66">
        <v>281</v>
      </c>
      <c r="B351" s="67" t="s">
        <v>398</v>
      </c>
      <c r="D351" s="2"/>
      <c r="E351" s="2"/>
    </row>
    <row r="352" spans="1:5" x14ac:dyDescent="0.3">
      <c r="A352" s="66">
        <v>285</v>
      </c>
      <c r="B352" s="67" t="s">
        <v>399</v>
      </c>
      <c r="D352" s="2"/>
      <c r="E352" s="2"/>
    </row>
    <row r="353" spans="1:5" x14ac:dyDescent="0.3">
      <c r="A353" s="66">
        <v>289</v>
      </c>
      <c r="B353" s="67" t="s">
        <v>400</v>
      </c>
      <c r="D353" s="2"/>
      <c r="E353" s="2"/>
    </row>
    <row r="354" spans="1:5" x14ac:dyDescent="0.3">
      <c r="A354" s="66">
        <v>293</v>
      </c>
      <c r="B354" s="67" t="s">
        <v>401</v>
      </c>
      <c r="D354" s="2"/>
      <c r="E354" s="2"/>
    </row>
    <row r="355" spans="1:5" x14ac:dyDescent="0.3">
      <c r="A355" s="66">
        <v>297</v>
      </c>
      <c r="B355" s="67" t="s">
        <v>402</v>
      </c>
      <c r="D355" s="2"/>
      <c r="E355" s="2"/>
    </row>
    <row r="356" spans="1:5" x14ac:dyDescent="0.3">
      <c r="A356" s="66">
        <v>301</v>
      </c>
      <c r="B356" s="67" t="s">
        <v>403</v>
      </c>
      <c r="D356" s="2"/>
      <c r="E356" s="2"/>
    </row>
    <row r="357" spans="1:5" x14ac:dyDescent="0.3">
      <c r="A357" s="66">
        <v>305</v>
      </c>
      <c r="B357" s="67" t="s">
        <v>404</v>
      </c>
      <c r="D357" s="2"/>
      <c r="E357" s="2"/>
    </row>
    <row r="358" spans="1:5" x14ac:dyDescent="0.3">
      <c r="A358" s="66">
        <v>309</v>
      </c>
      <c r="B358" s="67" t="s">
        <v>405</v>
      </c>
      <c r="D358" s="2"/>
      <c r="E358" s="2"/>
    </row>
    <row r="359" spans="1:5" x14ac:dyDescent="0.3">
      <c r="A359" s="66">
        <v>313</v>
      </c>
      <c r="B359" s="67" t="s">
        <v>406</v>
      </c>
      <c r="D359" s="2"/>
      <c r="E359" s="2"/>
    </row>
    <row r="360" spans="1:5" x14ac:dyDescent="0.3">
      <c r="A360" s="66">
        <v>317</v>
      </c>
      <c r="B360" s="67" t="s">
        <v>407</v>
      </c>
      <c r="D360" s="2"/>
      <c r="E360" s="2"/>
    </row>
    <row r="361" spans="1:5" x14ac:dyDescent="0.3">
      <c r="A361" s="66">
        <v>321</v>
      </c>
      <c r="B361" s="67" t="s">
        <v>408</v>
      </c>
      <c r="D361" s="2"/>
      <c r="E361" s="2"/>
    </row>
    <row r="362" spans="1:5" x14ac:dyDescent="0.3">
      <c r="A362" s="66">
        <v>445</v>
      </c>
      <c r="B362" s="67" t="s">
        <v>409</v>
      </c>
      <c r="D362" s="2"/>
      <c r="E362" s="2"/>
    </row>
    <row r="363" spans="1:5" x14ac:dyDescent="0.3">
      <c r="A363" s="66">
        <v>449</v>
      </c>
      <c r="B363" s="67" t="s">
        <v>410</v>
      </c>
      <c r="D363" s="2"/>
      <c r="E363" s="2"/>
    </row>
    <row r="364" spans="1:5" x14ac:dyDescent="0.3">
      <c r="A364" s="66">
        <v>453</v>
      </c>
      <c r="B364" s="67" t="s">
        <v>411</v>
      </c>
      <c r="D364" s="2"/>
      <c r="E364" s="2"/>
    </row>
    <row r="365" spans="1:5" x14ac:dyDescent="0.3">
      <c r="A365" s="66">
        <v>479</v>
      </c>
      <c r="B365" s="67" t="s">
        <v>412</v>
      </c>
      <c r="D365" s="2"/>
      <c r="E365" s="2"/>
    </row>
    <row r="366" spans="1:5" x14ac:dyDescent="0.3">
      <c r="A366" s="66">
        <v>457</v>
      </c>
      <c r="B366" s="67" t="s">
        <v>413</v>
      </c>
      <c r="D366" s="2"/>
      <c r="E366" s="2"/>
    </row>
    <row r="367" spans="1:5" x14ac:dyDescent="0.3">
      <c r="A367" s="66">
        <v>461</v>
      </c>
      <c r="B367" s="67" t="s">
        <v>414</v>
      </c>
      <c r="D367" s="2"/>
      <c r="E367" s="2"/>
    </row>
    <row r="368" spans="1:5" x14ac:dyDescent="0.3">
      <c r="A368" s="66">
        <v>465</v>
      </c>
      <c r="B368" s="67" t="s">
        <v>415</v>
      </c>
      <c r="D368" s="2"/>
      <c r="E368" s="2"/>
    </row>
    <row r="369" spans="1:5" x14ac:dyDescent="0.3">
      <c r="A369" s="66">
        <v>469</v>
      </c>
      <c r="B369" s="67" t="s">
        <v>416</v>
      </c>
      <c r="D369" s="2"/>
      <c r="E369" s="2"/>
    </row>
    <row r="370" spans="1:5" x14ac:dyDescent="0.3">
      <c r="A370" s="66">
        <v>473</v>
      </c>
      <c r="B370" s="67" t="s">
        <v>417</v>
      </c>
      <c r="D370" s="2"/>
      <c r="E370" s="2"/>
    </row>
    <row r="371" spans="1:5" x14ac:dyDescent="0.3">
      <c r="A371" s="66">
        <v>477</v>
      </c>
      <c r="B371" s="67" t="s">
        <v>418</v>
      </c>
      <c r="D371" s="2"/>
      <c r="E371" s="2"/>
    </row>
    <row r="372" spans="1:5" x14ac:dyDescent="0.3">
      <c r="A372" s="66">
        <v>485</v>
      </c>
      <c r="B372" s="67" t="s">
        <v>419</v>
      </c>
      <c r="D372" s="2"/>
      <c r="E372" s="2"/>
    </row>
    <row r="373" spans="1:5" x14ac:dyDescent="0.3">
      <c r="A373" s="66">
        <v>489</v>
      </c>
      <c r="B373" s="67" t="s">
        <v>420</v>
      </c>
      <c r="D373" s="2"/>
      <c r="E373" s="2"/>
    </row>
    <row r="374" spans="1:5" x14ac:dyDescent="0.3">
      <c r="A374" s="66">
        <v>493</v>
      </c>
      <c r="B374" s="67" t="s">
        <v>421</v>
      </c>
      <c r="D374" s="2"/>
      <c r="E374" s="2"/>
    </row>
    <row r="375" spans="1:5" x14ac:dyDescent="0.3">
      <c r="A375" s="66">
        <v>497</v>
      </c>
      <c r="B375" s="67" t="s">
        <v>422</v>
      </c>
      <c r="D375" s="2"/>
      <c r="E375" s="2"/>
    </row>
    <row r="376" spans="1:5" x14ac:dyDescent="0.3">
      <c r="A376" s="66">
        <v>501</v>
      </c>
      <c r="B376" s="67" t="s">
        <v>423</v>
      </c>
      <c r="D376" s="2"/>
      <c r="E376" s="2"/>
    </row>
    <row r="377" spans="1:5" x14ac:dyDescent="0.3">
      <c r="A377" s="66">
        <v>505</v>
      </c>
      <c r="B377" s="67" t="s">
        <v>424</v>
      </c>
      <c r="D377" s="2"/>
      <c r="E377" s="2"/>
    </row>
    <row r="378" spans="1:5" x14ac:dyDescent="0.3">
      <c r="A378" s="66">
        <v>509</v>
      </c>
      <c r="B378" s="67" t="s">
        <v>425</v>
      </c>
      <c r="D378" s="2"/>
      <c r="E378" s="2"/>
    </row>
    <row r="379" spans="1:5" x14ac:dyDescent="0.3">
      <c r="A379" s="66">
        <v>513</v>
      </c>
      <c r="B379" s="67" t="s">
        <v>426</v>
      </c>
      <c r="D379" s="2"/>
      <c r="E379" s="2"/>
    </row>
    <row r="380" spans="1:5" x14ac:dyDescent="0.3">
      <c r="A380" s="66">
        <v>517</v>
      </c>
      <c r="B380" s="67" t="s">
        <v>427</v>
      </c>
      <c r="D380" s="2"/>
      <c r="E380" s="2"/>
    </row>
    <row r="381" spans="1:5" x14ac:dyDescent="0.3">
      <c r="A381" s="66">
        <v>521</v>
      </c>
      <c r="B381" s="67" t="s">
        <v>428</v>
      </c>
      <c r="D381" s="2"/>
      <c r="E381" s="2"/>
    </row>
    <row r="382" spans="1:5" x14ac:dyDescent="0.3">
      <c r="A382" s="66">
        <v>525</v>
      </c>
      <c r="B382" s="67" t="s">
        <v>429</v>
      </c>
      <c r="D382" s="2"/>
      <c r="E382" s="2"/>
    </row>
    <row r="383" spans="1:5" x14ac:dyDescent="0.3">
      <c r="A383" s="66">
        <v>529</v>
      </c>
      <c r="B383" s="67" t="s">
        <v>430</v>
      </c>
      <c r="D383" s="2"/>
      <c r="E383" s="2"/>
    </row>
    <row r="384" spans="1:5" x14ac:dyDescent="0.3">
      <c r="A384" s="66">
        <v>537</v>
      </c>
      <c r="B384" s="67" t="s">
        <v>431</v>
      </c>
      <c r="D384" s="2"/>
      <c r="E384" s="2"/>
    </row>
    <row r="385" spans="1:5" x14ac:dyDescent="0.3">
      <c r="A385" s="66">
        <v>533</v>
      </c>
      <c r="B385" s="67" t="s">
        <v>432</v>
      </c>
      <c r="D385" s="2"/>
      <c r="E385" s="2"/>
    </row>
    <row r="386" spans="1:5" x14ac:dyDescent="0.3">
      <c r="A386" s="66">
        <v>541</v>
      </c>
      <c r="B386" s="67" t="s">
        <v>433</v>
      </c>
      <c r="D386" s="2"/>
      <c r="E386" s="2"/>
    </row>
    <row r="387" spans="1:5" x14ac:dyDescent="0.3">
      <c r="A387" s="66">
        <v>545</v>
      </c>
      <c r="B387" s="67" t="s">
        <v>434</v>
      </c>
      <c r="D387" s="2"/>
      <c r="E387" s="2"/>
    </row>
    <row r="388" spans="1:5" x14ac:dyDescent="0.3">
      <c r="A388" s="66">
        <v>549</v>
      </c>
      <c r="B388" s="67" t="s">
        <v>435</v>
      </c>
      <c r="D388" s="2"/>
      <c r="E388" s="2"/>
    </row>
    <row r="389" spans="1:5" x14ac:dyDescent="0.3">
      <c r="A389" s="66">
        <v>553</v>
      </c>
      <c r="B389" s="67" t="s">
        <v>436</v>
      </c>
      <c r="D389" s="2"/>
      <c r="E389" s="2"/>
    </row>
    <row r="390" spans="1:5" x14ac:dyDescent="0.3">
      <c r="A390" s="66">
        <v>557</v>
      </c>
      <c r="B390" s="67" t="s">
        <v>437</v>
      </c>
      <c r="D390" s="2"/>
      <c r="E390" s="2"/>
    </row>
    <row r="391" spans="1:5" x14ac:dyDescent="0.3">
      <c r="A391" s="66">
        <v>561</v>
      </c>
      <c r="B391" s="67" t="s">
        <v>438</v>
      </c>
      <c r="D391" s="2"/>
      <c r="E391" s="2"/>
    </row>
    <row r="392" spans="1:5" x14ac:dyDescent="0.3">
      <c r="A392" s="66">
        <v>15</v>
      </c>
      <c r="B392" s="67" t="s">
        <v>439</v>
      </c>
      <c r="D392" s="2"/>
      <c r="E392" s="2"/>
    </row>
    <row r="393" spans="1:5" x14ac:dyDescent="0.3">
      <c r="A393" s="66">
        <v>19</v>
      </c>
      <c r="B393" s="67" t="s">
        <v>440</v>
      </c>
      <c r="D393" s="2"/>
      <c r="E393" s="2"/>
    </row>
    <row r="394" spans="1:5" x14ac:dyDescent="0.3">
      <c r="A394" s="66">
        <v>35</v>
      </c>
      <c r="B394" s="67" t="s">
        <v>441</v>
      </c>
      <c r="D394" s="2"/>
      <c r="E394" s="2"/>
    </row>
    <row r="395" spans="1:5" x14ac:dyDescent="0.3">
      <c r="A395" s="66">
        <v>23</v>
      </c>
      <c r="B395" s="67" t="s">
        <v>442</v>
      </c>
      <c r="D395" s="2"/>
      <c r="E395" s="2"/>
    </row>
    <row r="396" spans="1:5" x14ac:dyDescent="0.3">
      <c r="A396" s="66">
        <v>27</v>
      </c>
      <c r="B396" s="67" t="s">
        <v>443</v>
      </c>
      <c r="D396" s="2"/>
      <c r="E396" s="2"/>
    </row>
    <row r="397" spans="1:5" x14ac:dyDescent="0.3">
      <c r="A397" s="66">
        <v>31</v>
      </c>
      <c r="B397" s="67" t="s">
        <v>444</v>
      </c>
      <c r="D397" s="2"/>
      <c r="E397" s="2"/>
    </row>
    <row r="398" spans="1:5" x14ac:dyDescent="0.3">
      <c r="A398" s="66">
        <v>51</v>
      </c>
      <c r="B398" s="67" t="s">
        <v>445</v>
      </c>
      <c r="D398" s="2"/>
      <c r="E398" s="2"/>
    </row>
    <row r="399" spans="1:5" x14ac:dyDescent="0.3">
      <c r="A399" s="66">
        <v>55</v>
      </c>
      <c r="B399" s="67" t="s">
        <v>446</v>
      </c>
      <c r="D399" s="2"/>
      <c r="E399" s="2"/>
    </row>
    <row r="400" spans="1:5" x14ac:dyDescent="0.3">
      <c r="A400" s="66">
        <v>59</v>
      </c>
      <c r="B400" s="67" t="s">
        <v>447</v>
      </c>
      <c r="D400" s="2"/>
      <c r="E400" s="2"/>
    </row>
    <row r="401" spans="1:5" x14ac:dyDescent="0.3">
      <c r="A401" s="66">
        <v>63</v>
      </c>
      <c r="B401" s="67" t="s">
        <v>448</v>
      </c>
      <c r="D401" s="2"/>
      <c r="E401" s="2"/>
    </row>
    <row r="402" spans="1:5" x14ac:dyDescent="0.3">
      <c r="A402" s="66">
        <v>67</v>
      </c>
      <c r="B402" s="67" t="s">
        <v>449</v>
      </c>
      <c r="D402" s="2"/>
      <c r="E402" s="2"/>
    </row>
    <row r="403" spans="1:5" x14ac:dyDescent="0.3">
      <c r="A403" s="66">
        <v>71</v>
      </c>
      <c r="B403" s="67" t="s">
        <v>450</v>
      </c>
      <c r="D403" s="2"/>
      <c r="E403" s="2"/>
    </row>
    <row r="404" spans="1:5" x14ac:dyDescent="0.3">
      <c r="A404" s="66">
        <v>99</v>
      </c>
      <c r="B404" s="67" t="s">
        <v>451</v>
      </c>
      <c r="D404" s="2"/>
      <c r="E404" s="2"/>
    </row>
    <row r="405" spans="1:5" x14ac:dyDescent="0.3">
      <c r="A405" s="66">
        <v>103</v>
      </c>
      <c r="B405" s="67" t="s">
        <v>452</v>
      </c>
      <c r="D405" s="2"/>
      <c r="E405" s="2"/>
    </row>
    <row r="406" spans="1:5" x14ac:dyDescent="0.3">
      <c r="A406" s="66">
        <v>107</v>
      </c>
      <c r="B406" s="67" t="s">
        <v>453</v>
      </c>
      <c r="D406" s="2"/>
      <c r="E406" s="2"/>
    </row>
    <row r="407" spans="1:5" x14ac:dyDescent="0.3">
      <c r="A407" s="66">
        <v>87</v>
      </c>
      <c r="B407" s="67" t="s">
        <v>454</v>
      </c>
      <c r="D407" s="2"/>
      <c r="E407" s="2"/>
    </row>
    <row r="408" spans="1:5" x14ac:dyDescent="0.3">
      <c r="A408" s="66">
        <v>91</v>
      </c>
      <c r="B408" s="67" t="s">
        <v>455</v>
      </c>
      <c r="D408" s="2"/>
      <c r="E408" s="2"/>
    </row>
    <row r="409" spans="1:5" x14ac:dyDescent="0.3">
      <c r="A409" s="66">
        <v>95</v>
      </c>
      <c r="B409" s="67" t="s">
        <v>456</v>
      </c>
      <c r="D409" s="2"/>
      <c r="E409" s="2"/>
    </row>
    <row r="410" spans="1:5" x14ac:dyDescent="0.3">
      <c r="A410" s="66">
        <v>202</v>
      </c>
      <c r="B410" s="67" t="s">
        <v>457</v>
      </c>
      <c r="D410" s="2"/>
      <c r="E410" s="2"/>
    </row>
    <row r="411" spans="1:5" x14ac:dyDescent="0.3">
      <c r="A411" s="66">
        <v>566</v>
      </c>
      <c r="B411" s="67" t="s">
        <v>458</v>
      </c>
      <c r="D411" s="2"/>
      <c r="E411" s="2"/>
    </row>
    <row r="412" spans="1:5" x14ac:dyDescent="0.3">
      <c r="A412" s="66">
        <v>569</v>
      </c>
      <c r="B412" s="67" t="s">
        <v>459</v>
      </c>
      <c r="D412" s="2"/>
      <c r="E412" s="2"/>
    </row>
    <row r="413" spans="1:5" x14ac:dyDescent="0.3">
      <c r="A413" s="66">
        <v>572</v>
      </c>
      <c r="B413" s="67" t="s">
        <v>460</v>
      </c>
      <c r="D413" s="2"/>
      <c r="E413" s="2"/>
    </row>
    <row r="414" spans="1:5" x14ac:dyDescent="0.3">
      <c r="A414" s="66">
        <v>576</v>
      </c>
      <c r="B414" s="67" t="s">
        <v>461</v>
      </c>
      <c r="D414" s="2"/>
      <c r="E414" s="2"/>
    </row>
    <row r="415" spans="1:5" x14ac:dyDescent="0.3">
      <c r="A415" s="70">
        <v>578</v>
      </c>
      <c r="B415" s="71" t="s">
        <v>462</v>
      </c>
      <c r="D415" s="2"/>
      <c r="E415" s="2"/>
    </row>
    <row r="416" spans="1:5" x14ac:dyDescent="0.3">
      <c r="A416" s="66">
        <v>206</v>
      </c>
      <c r="B416" s="67" t="s">
        <v>463</v>
      </c>
      <c r="D416" s="2"/>
      <c r="E416" s="2"/>
    </row>
    <row r="417" spans="1:5" x14ac:dyDescent="0.3">
      <c r="A417" s="70">
        <v>587</v>
      </c>
      <c r="B417" s="71" t="s">
        <v>464</v>
      </c>
      <c r="D417" s="2"/>
      <c r="E417" s="2"/>
    </row>
    <row r="418" spans="1:5" x14ac:dyDescent="0.3">
      <c r="A418" s="70">
        <v>590</v>
      </c>
      <c r="B418" s="71" t="s">
        <v>465</v>
      </c>
      <c r="D418" s="2"/>
      <c r="E418" s="2"/>
    </row>
    <row r="419" spans="1:5" x14ac:dyDescent="0.3">
      <c r="A419" s="70">
        <v>593</v>
      </c>
      <c r="B419" s="71" t="s">
        <v>466</v>
      </c>
      <c r="D419" s="2"/>
      <c r="E419" s="2"/>
    </row>
    <row r="420" spans="1:5" x14ac:dyDescent="0.3">
      <c r="A420" s="70">
        <v>596</v>
      </c>
      <c r="B420" s="71" t="s">
        <v>467</v>
      </c>
      <c r="D420" s="2"/>
      <c r="E420" s="2"/>
    </row>
    <row r="421" spans="1:5" x14ac:dyDescent="0.3">
      <c r="A421" s="70">
        <v>599</v>
      </c>
      <c r="B421" s="71" t="s">
        <v>468</v>
      </c>
      <c r="D421" s="2"/>
      <c r="E421" s="2"/>
    </row>
    <row r="422" spans="1:5" x14ac:dyDescent="0.3">
      <c r="A422" s="66">
        <v>530</v>
      </c>
      <c r="B422" s="67" t="s">
        <v>469</v>
      </c>
      <c r="D422" s="2"/>
      <c r="E422" s="2"/>
    </row>
    <row r="423" spans="1:5" x14ac:dyDescent="0.3">
      <c r="A423" s="66">
        <v>234</v>
      </c>
      <c r="B423" s="67" t="s">
        <v>470</v>
      </c>
      <c r="D423" s="2"/>
      <c r="E423" s="2"/>
    </row>
    <row r="424" spans="1:5" x14ac:dyDescent="0.3">
      <c r="A424" s="66">
        <v>238</v>
      </c>
      <c r="B424" s="67" t="s">
        <v>471</v>
      </c>
      <c r="D424" s="2"/>
      <c r="E424" s="2"/>
    </row>
    <row r="425" spans="1:5" x14ac:dyDescent="0.3">
      <c r="A425" s="66">
        <v>242</v>
      </c>
      <c r="B425" s="67" t="s">
        <v>472</v>
      </c>
      <c r="D425" s="2"/>
      <c r="E425" s="2"/>
    </row>
    <row r="426" spans="1:5" x14ac:dyDescent="0.3">
      <c r="A426" s="66">
        <v>246</v>
      </c>
      <c r="B426" s="67" t="s">
        <v>473</v>
      </c>
      <c r="D426" s="2"/>
      <c r="E426" s="2"/>
    </row>
    <row r="427" spans="1:5" x14ac:dyDescent="0.3">
      <c r="A427" s="66">
        <v>250</v>
      </c>
      <c r="B427" s="67" t="s">
        <v>474</v>
      </c>
      <c r="D427" s="2"/>
      <c r="E427" s="2"/>
    </row>
    <row r="428" spans="1:5" x14ac:dyDescent="0.3">
      <c r="A428" s="66">
        <v>196</v>
      </c>
      <c r="B428" s="67" t="s">
        <v>475</v>
      </c>
      <c r="D428" s="2"/>
      <c r="E428" s="2"/>
    </row>
    <row r="429" spans="1:5" x14ac:dyDescent="0.3">
      <c r="A429" s="66">
        <v>211</v>
      </c>
      <c r="B429" s="67" t="s">
        <v>476</v>
      </c>
      <c r="D429" s="2"/>
      <c r="E429" s="2"/>
    </row>
    <row r="430" spans="1:5" x14ac:dyDescent="0.3">
      <c r="A430" s="66">
        <v>215</v>
      </c>
      <c r="B430" s="67" t="s">
        <v>477</v>
      </c>
      <c r="D430" s="2"/>
      <c r="E430" s="2"/>
    </row>
    <row r="431" spans="1:5" x14ac:dyDescent="0.3">
      <c r="A431" s="66">
        <v>219</v>
      </c>
      <c r="B431" s="67" t="s">
        <v>478</v>
      </c>
      <c r="D431" s="2"/>
      <c r="E431" s="2"/>
    </row>
    <row r="432" spans="1:5" x14ac:dyDescent="0.3">
      <c r="A432" s="66">
        <v>223</v>
      </c>
      <c r="B432" s="67" t="s">
        <v>479</v>
      </c>
      <c r="D432" s="2"/>
      <c r="E432" s="2"/>
    </row>
    <row r="433" spans="1:5" x14ac:dyDescent="0.3">
      <c r="A433" s="66">
        <v>227</v>
      </c>
      <c r="B433" s="67" t="s">
        <v>480</v>
      </c>
      <c r="D433" s="2"/>
      <c r="E433" s="2"/>
    </row>
    <row r="434" spans="1:5" x14ac:dyDescent="0.3">
      <c r="A434" s="66">
        <v>254</v>
      </c>
      <c r="B434" s="67" t="s">
        <v>481</v>
      </c>
      <c r="D434" s="2"/>
      <c r="E434" s="2"/>
    </row>
    <row r="435" spans="1:5" x14ac:dyDescent="0.3">
      <c r="A435" s="66">
        <v>258</v>
      </c>
      <c r="B435" s="67" t="s">
        <v>482</v>
      </c>
      <c r="D435" s="2"/>
      <c r="E435" s="2"/>
    </row>
    <row r="436" spans="1:5" x14ac:dyDescent="0.3">
      <c r="A436" s="66">
        <v>262</v>
      </c>
      <c r="B436" s="67" t="s">
        <v>483</v>
      </c>
      <c r="D436" s="2"/>
      <c r="E436" s="2"/>
    </row>
    <row r="437" spans="1:5" x14ac:dyDescent="0.3">
      <c r="A437" s="66">
        <v>266</v>
      </c>
      <c r="B437" s="67" t="s">
        <v>484</v>
      </c>
      <c r="D437" s="2"/>
      <c r="E437" s="2"/>
    </row>
    <row r="438" spans="1:5" x14ac:dyDescent="0.3">
      <c r="A438" s="66">
        <v>270</v>
      </c>
      <c r="B438" s="67" t="s">
        <v>485</v>
      </c>
      <c r="D438" s="2"/>
      <c r="E438" s="2"/>
    </row>
    <row r="439" spans="1:5" x14ac:dyDescent="0.3">
      <c r="A439" s="66">
        <v>274</v>
      </c>
      <c r="B439" s="67" t="s">
        <v>486</v>
      </c>
      <c r="D439" s="2"/>
      <c r="E439" s="2"/>
    </row>
    <row r="440" spans="1:5" x14ac:dyDescent="0.3">
      <c r="A440" s="66">
        <v>278</v>
      </c>
      <c r="B440" s="67" t="s">
        <v>487</v>
      </c>
      <c r="D440" s="2"/>
      <c r="E440" s="2"/>
    </row>
    <row r="441" spans="1:5" x14ac:dyDescent="0.3">
      <c r="A441" s="66">
        <v>282</v>
      </c>
      <c r="B441" s="67" t="s">
        <v>488</v>
      </c>
      <c r="D441" s="2"/>
      <c r="E441" s="2"/>
    </row>
    <row r="442" spans="1:5" x14ac:dyDescent="0.3">
      <c r="A442" s="66">
        <v>286</v>
      </c>
      <c r="B442" s="67" t="s">
        <v>489</v>
      </c>
      <c r="D442" s="2"/>
      <c r="E442" s="2"/>
    </row>
    <row r="443" spans="1:5" x14ac:dyDescent="0.3">
      <c r="A443" s="66">
        <v>290</v>
      </c>
      <c r="B443" s="67" t="s">
        <v>490</v>
      </c>
      <c r="D443" s="2"/>
      <c r="E443" s="2"/>
    </row>
    <row r="444" spans="1:5" x14ac:dyDescent="0.3">
      <c r="A444" s="66">
        <v>294</v>
      </c>
      <c r="B444" s="67" t="s">
        <v>491</v>
      </c>
      <c r="D444" s="2"/>
      <c r="E444" s="2"/>
    </row>
    <row r="445" spans="1:5" x14ac:dyDescent="0.3">
      <c r="A445" s="66">
        <v>298</v>
      </c>
      <c r="B445" s="67" t="s">
        <v>492</v>
      </c>
      <c r="D445" s="2"/>
      <c r="E445" s="2"/>
    </row>
    <row r="446" spans="1:5" x14ac:dyDescent="0.3">
      <c r="A446" s="66">
        <v>302</v>
      </c>
      <c r="B446" s="67" t="s">
        <v>493</v>
      </c>
      <c r="D446" s="2"/>
      <c r="E446" s="2"/>
    </row>
    <row r="447" spans="1:5" x14ac:dyDescent="0.3">
      <c r="A447" s="66">
        <v>306</v>
      </c>
      <c r="B447" s="67" t="s">
        <v>494</v>
      </c>
      <c r="D447" s="2"/>
      <c r="E447" s="2"/>
    </row>
    <row r="448" spans="1:5" x14ac:dyDescent="0.3">
      <c r="A448" s="66">
        <v>310</v>
      </c>
      <c r="B448" s="67" t="s">
        <v>495</v>
      </c>
      <c r="D448" s="2"/>
      <c r="E448" s="2"/>
    </row>
    <row r="449" spans="1:5" x14ac:dyDescent="0.3">
      <c r="A449" s="66">
        <v>314</v>
      </c>
      <c r="B449" s="67" t="s">
        <v>496</v>
      </c>
      <c r="D449" s="2"/>
      <c r="E449" s="2"/>
    </row>
    <row r="450" spans="1:5" x14ac:dyDescent="0.3">
      <c r="A450" s="66">
        <v>318</v>
      </c>
      <c r="B450" s="67" t="s">
        <v>497</v>
      </c>
      <c r="D450" s="2"/>
      <c r="E450" s="2"/>
    </row>
    <row r="451" spans="1:5" x14ac:dyDescent="0.3">
      <c r="A451" s="66">
        <v>322</v>
      </c>
      <c r="B451" s="67" t="s">
        <v>498</v>
      </c>
      <c r="D451" s="2"/>
      <c r="E451" s="2"/>
    </row>
    <row r="452" spans="1:5" x14ac:dyDescent="0.3">
      <c r="A452" s="66">
        <v>446</v>
      </c>
      <c r="B452" s="67" t="s">
        <v>499</v>
      </c>
      <c r="D452" s="2"/>
      <c r="E452" s="2"/>
    </row>
    <row r="453" spans="1:5" x14ac:dyDescent="0.3">
      <c r="A453" s="66">
        <v>450</v>
      </c>
      <c r="B453" s="67" t="s">
        <v>500</v>
      </c>
      <c r="D453" s="2"/>
      <c r="E453" s="2"/>
    </row>
    <row r="454" spans="1:5" x14ac:dyDescent="0.3">
      <c r="A454" s="66">
        <v>454</v>
      </c>
      <c r="B454" s="67" t="s">
        <v>501</v>
      </c>
      <c r="D454" s="2"/>
      <c r="E454" s="2"/>
    </row>
    <row r="455" spans="1:5" x14ac:dyDescent="0.3">
      <c r="A455" s="66">
        <v>480</v>
      </c>
      <c r="B455" s="67" t="s">
        <v>502</v>
      </c>
      <c r="D455" s="2"/>
      <c r="E455" s="2"/>
    </row>
    <row r="456" spans="1:5" x14ac:dyDescent="0.3">
      <c r="A456" s="66">
        <v>458</v>
      </c>
      <c r="B456" s="67" t="s">
        <v>503</v>
      </c>
      <c r="D456" s="2"/>
      <c r="E456" s="2"/>
    </row>
    <row r="457" spans="1:5" x14ac:dyDescent="0.3">
      <c r="A457" s="66">
        <v>462</v>
      </c>
      <c r="B457" s="67" t="s">
        <v>504</v>
      </c>
      <c r="D457" s="2"/>
      <c r="E457" s="2"/>
    </row>
    <row r="458" spans="1:5" x14ac:dyDescent="0.3">
      <c r="A458" s="66">
        <v>466</v>
      </c>
      <c r="B458" s="67" t="s">
        <v>505</v>
      </c>
      <c r="D458" s="2"/>
      <c r="E458" s="2"/>
    </row>
    <row r="459" spans="1:5" x14ac:dyDescent="0.3">
      <c r="A459" s="66">
        <v>470</v>
      </c>
      <c r="B459" s="67" t="s">
        <v>506</v>
      </c>
      <c r="D459" s="2"/>
      <c r="E459" s="2"/>
    </row>
    <row r="460" spans="1:5" x14ac:dyDescent="0.3">
      <c r="A460" s="66">
        <v>474</v>
      </c>
      <c r="B460" s="67" t="s">
        <v>507</v>
      </c>
      <c r="D460" s="2"/>
      <c r="E460" s="2"/>
    </row>
    <row r="461" spans="1:5" x14ac:dyDescent="0.3">
      <c r="A461" s="66">
        <v>482</v>
      </c>
      <c r="B461" s="67" t="s">
        <v>508</v>
      </c>
      <c r="D461" s="2"/>
      <c r="E461" s="2"/>
    </row>
    <row r="462" spans="1:5" x14ac:dyDescent="0.3">
      <c r="A462" s="66">
        <v>486</v>
      </c>
      <c r="B462" s="67" t="s">
        <v>509</v>
      </c>
      <c r="D462" s="2"/>
      <c r="E462" s="2"/>
    </row>
    <row r="463" spans="1:5" x14ac:dyDescent="0.3">
      <c r="A463" s="66">
        <v>490</v>
      </c>
      <c r="B463" s="67" t="s">
        <v>510</v>
      </c>
      <c r="D463" s="2"/>
      <c r="E463" s="2"/>
    </row>
    <row r="464" spans="1:5" x14ac:dyDescent="0.3">
      <c r="A464" s="66">
        <v>494</v>
      </c>
      <c r="B464" s="67" t="s">
        <v>511</v>
      </c>
      <c r="D464" s="2"/>
      <c r="E464" s="2"/>
    </row>
    <row r="465" spans="1:5" x14ac:dyDescent="0.3">
      <c r="A465" s="66">
        <v>498</v>
      </c>
      <c r="B465" s="67" t="s">
        <v>512</v>
      </c>
      <c r="D465" s="2"/>
      <c r="E465" s="2"/>
    </row>
    <row r="466" spans="1:5" x14ac:dyDescent="0.3">
      <c r="A466" s="66">
        <v>502</v>
      </c>
      <c r="B466" s="67" t="s">
        <v>513</v>
      </c>
      <c r="D466" s="2"/>
      <c r="E466" s="2"/>
    </row>
    <row r="467" spans="1:5" x14ac:dyDescent="0.3">
      <c r="A467" s="66">
        <v>506</v>
      </c>
      <c r="B467" s="67" t="s">
        <v>514</v>
      </c>
      <c r="D467" s="2"/>
      <c r="E467" s="2"/>
    </row>
    <row r="468" spans="1:5" x14ac:dyDescent="0.3">
      <c r="A468" s="66">
        <v>510</v>
      </c>
      <c r="B468" s="67" t="s">
        <v>515</v>
      </c>
      <c r="D468" s="2"/>
      <c r="E468" s="2"/>
    </row>
    <row r="469" spans="1:5" x14ac:dyDescent="0.3">
      <c r="A469" s="66">
        <v>514</v>
      </c>
      <c r="B469" s="67" t="s">
        <v>516</v>
      </c>
      <c r="D469" s="2"/>
      <c r="E469" s="2"/>
    </row>
    <row r="470" spans="1:5" x14ac:dyDescent="0.3">
      <c r="A470" s="66">
        <v>518</v>
      </c>
      <c r="B470" s="67" t="s">
        <v>517</v>
      </c>
      <c r="D470" s="2"/>
      <c r="E470" s="2"/>
    </row>
    <row r="471" spans="1:5" x14ac:dyDescent="0.3">
      <c r="A471" s="66">
        <v>522</v>
      </c>
      <c r="B471" s="67" t="s">
        <v>518</v>
      </c>
      <c r="D471" s="2"/>
      <c r="E471" s="2"/>
    </row>
    <row r="472" spans="1:5" x14ac:dyDescent="0.3">
      <c r="A472" s="66">
        <v>526</v>
      </c>
      <c r="B472" s="67" t="s">
        <v>519</v>
      </c>
      <c r="D472" s="2"/>
      <c r="E472" s="2"/>
    </row>
    <row r="473" spans="1:5" x14ac:dyDescent="0.3">
      <c r="A473" s="66">
        <v>530</v>
      </c>
      <c r="B473" s="67" t="s">
        <v>520</v>
      </c>
      <c r="D473" s="2"/>
      <c r="E473" s="2"/>
    </row>
    <row r="474" spans="1:5" x14ac:dyDescent="0.3">
      <c r="A474" s="66">
        <v>538</v>
      </c>
      <c r="B474" s="67" t="s">
        <v>521</v>
      </c>
      <c r="D474" s="2"/>
      <c r="E474" s="2"/>
    </row>
    <row r="475" spans="1:5" x14ac:dyDescent="0.3">
      <c r="A475" s="66">
        <v>534</v>
      </c>
      <c r="B475" s="67" t="s">
        <v>522</v>
      </c>
      <c r="D475" s="2"/>
      <c r="E475" s="2"/>
    </row>
    <row r="476" spans="1:5" x14ac:dyDescent="0.3">
      <c r="A476" s="66">
        <v>542</v>
      </c>
      <c r="B476" s="67" t="s">
        <v>523</v>
      </c>
      <c r="D476" s="2"/>
      <c r="E476" s="2"/>
    </row>
    <row r="477" spans="1:5" x14ac:dyDescent="0.3">
      <c r="A477" s="66">
        <v>546</v>
      </c>
      <c r="B477" s="67" t="s">
        <v>524</v>
      </c>
      <c r="D477" s="2"/>
      <c r="E477" s="2"/>
    </row>
    <row r="478" spans="1:5" x14ac:dyDescent="0.3">
      <c r="A478" s="66">
        <v>550</v>
      </c>
      <c r="B478" s="67" t="s">
        <v>525</v>
      </c>
      <c r="D478" s="2"/>
      <c r="E478" s="2"/>
    </row>
    <row r="479" spans="1:5" x14ac:dyDescent="0.3">
      <c r="A479" s="66">
        <v>554</v>
      </c>
      <c r="B479" s="67" t="s">
        <v>526</v>
      </c>
      <c r="D479" s="2"/>
      <c r="E479" s="2"/>
    </row>
    <row r="480" spans="1:5" x14ac:dyDescent="0.3">
      <c r="A480" s="66">
        <v>558</v>
      </c>
      <c r="B480" s="67" t="s">
        <v>527</v>
      </c>
      <c r="D480" s="2"/>
      <c r="E480" s="2"/>
    </row>
    <row r="481" spans="1:5" x14ac:dyDescent="0.3">
      <c r="A481" s="66">
        <v>562</v>
      </c>
      <c r="B481" s="67" t="s">
        <v>528</v>
      </c>
      <c r="D481" s="2"/>
      <c r="E481" s="2"/>
    </row>
    <row r="482" spans="1:5" x14ac:dyDescent="0.3">
      <c r="A482" s="66">
        <v>16</v>
      </c>
      <c r="B482" s="67" t="s">
        <v>529</v>
      </c>
      <c r="D482" s="2"/>
      <c r="E482" s="2"/>
    </row>
    <row r="483" spans="1:5" x14ac:dyDescent="0.3">
      <c r="A483" s="66">
        <v>20</v>
      </c>
      <c r="B483" s="67" t="s">
        <v>530</v>
      </c>
      <c r="D483" s="2"/>
      <c r="E483" s="2"/>
    </row>
    <row r="484" spans="1:5" x14ac:dyDescent="0.3">
      <c r="A484" s="66">
        <v>36</v>
      </c>
      <c r="B484" s="67" t="s">
        <v>531</v>
      </c>
      <c r="D484" s="2"/>
      <c r="E484" s="2"/>
    </row>
    <row r="485" spans="1:5" x14ac:dyDescent="0.3">
      <c r="A485" s="66">
        <v>24</v>
      </c>
      <c r="B485" s="67" t="s">
        <v>532</v>
      </c>
      <c r="D485" s="2"/>
      <c r="E485" s="2"/>
    </row>
    <row r="486" spans="1:5" x14ac:dyDescent="0.3">
      <c r="A486" s="66">
        <v>28</v>
      </c>
      <c r="B486" s="67" t="s">
        <v>533</v>
      </c>
      <c r="D486" s="2"/>
      <c r="E486" s="2"/>
    </row>
    <row r="487" spans="1:5" x14ac:dyDescent="0.3">
      <c r="A487" s="66">
        <v>32</v>
      </c>
      <c r="B487" s="67" t="s">
        <v>534</v>
      </c>
      <c r="D487" s="2"/>
      <c r="E487" s="2"/>
    </row>
    <row r="488" spans="1:5" x14ac:dyDescent="0.3">
      <c r="A488" s="66">
        <v>52</v>
      </c>
      <c r="B488" s="67" t="s">
        <v>535</v>
      </c>
      <c r="D488" s="2"/>
      <c r="E488" s="2"/>
    </row>
    <row r="489" spans="1:5" x14ac:dyDescent="0.3">
      <c r="A489" s="66">
        <v>56</v>
      </c>
      <c r="B489" s="67" t="s">
        <v>536</v>
      </c>
      <c r="D489" s="2"/>
      <c r="E489" s="2"/>
    </row>
    <row r="490" spans="1:5" x14ac:dyDescent="0.3">
      <c r="A490" s="66">
        <v>60</v>
      </c>
      <c r="B490" s="67" t="s">
        <v>537</v>
      </c>
      <c r="D490" s="2"/>
      <c r="E490" s="2"/>
    </row>
    <row r="491" spans="1:5" x14ac:dyDescent="0.3">
      <c r="A491" s="66">
        <v>64</v>
      </c>
      <c r="B491" s="67" t="s">
        <v>538</v>
      </c>
      <c r="D491" s="2"/>
      <c r="E491" s="2"/>
    </row>
    <row r="492" spans="1:5" x14ac:dyDescent="0.3">
      <c r="A492" s="66">
        <v>68</v>
      </c>
      <c r="B492" s="67" t="s">
        <v>539</v>
      </c>
      <c r="D492" s="2"/>
      <c r="E492" s="2"/>
    </row>
    <row r="493" spans="1:5" x14ac:dyDescent="0.3">
      <c r="A493" s="66">
        <v>72</v>
      </c>
      <c r="B493" s="67" t="s">
        <v>540</v>
      </c>
      <c r="D493" s="2"/>
      <c r="E493" s="2"/>
    </row>
    <row r="494" spans="1:5" x14ac:dyDescent="0.3">
      <c r="A494" s="66">
        <v>100</v>
      </c>
      <c r="B494" s="67" t="s">
        <v>541</v>
      </c>
      <c r="D494" s="2"/>
      <c r="E494" s="2"/>
    </row>
    <row r="495" spans="1:5" x14ac:dyDescent="0.3">
      <c r="A495" s="66">
        <v>104</v>
      </c>
      <c r="B495" s="67" t="s">
        <v>542</v>
      </c>
      <c r="D495" s="2"/>
      <c r="E495" s="2"/>
    </row>
    <row r="496" spans="1:5" x14ac:dyDescent="0.3">
      <c r="A496" s="66">
        <v>108</v>
      </c>
      <c r="B496" s="67" t="s">
        <v>543</v>
      </c>
      <c r="D496" s="2"/>
      <c r="E496" s="2"/>
    </row>
    <row r="497" spans="1:5" x14ac:dyDescent="0.3">
      <c r="A497" s="66">
        <v>88</v>
      </c>
      <c r="B497" s="67" t="s">
        <v>544</v>
      </c>
      <c r="D497" s="2"/>
      <c r="E497" s="2"/>
    </row>
    <row r="498" spans="1:5" x14ac:dyDescent="0.3">
      <c r="A498" s="66">
        <v>92</v>
      </c>
      <c r="B498" s="67" t="s">
        <v>545</v>
      </c>
      <c r="D498" s="2"/>
      <c r="E498" s="2"/>
    </row>
    <row r="499" spans="1:5" x14ac:dyDescent="0.3">
      <c r="A499" s="66">
        <v>96</v>
      </c>
      <c r="B499" s="67" t="s">
        <v>546</v>
      </c>
      <c r="D499" s="2"/>
      <c r="E499" s="2"/>
    </row>
    <row r="500" spans="1:5" x14ac:dyDescent="0.3">
      <c r="A500" s="66">
        <v>203</v>
      </c>
      <c r="B500" s="67" t="s">
        <v>547</v>
      </c>
      <c r="D500" s="2"/>
      <c r="E500" s="2"/>
    </row>
    <row r="501" spans="1:5" x14ac:dyDescent="0.3">
      <c r="A501" s="76">
        <v>0</v>
      </c>
      <c r="B501" s="74" t="s">
        <v>548</v>
      </c>
      <c r="D501" s="2"/>
      <c r="E501" s="2"/>
    </row>
    <row r="502" spans="1:5" x14ac:dyDescent="0.3">
      <c r="A502" s="66">
        <v>570</v>
      </c>
      <c r="B502" s="67" t="s">
        <v>549</v>
      </c>
      <c r="D502" s="2"/>
      <c r="E502" s="2"/>
    </row>
    <row r="503" spans="1:5" x14ac:dyDescent="0.3">
      <c r="A503" s="66">
        <v>573</v>
      </c>
      <c r="B503" s="67" t="s">
        <v>550</v>
      </c>
      <c r="D503" s="2"/>
      <c r="E503" s="2"/>
    </row>
    <row r="504" spans="1:5" x14ac:dyDescent="0.3">
      <c r="A504" s="66">
        <v>577</v>
      </c>
      <c r="B504" s="67" t="s">
        <v>551</v>
      </c>
      <c r="D504" s="2"/>
      <c r="E504" s="2"/>
    </row>
    <row r="505" spans="1:5" x14ac:dyDescent="0.3">
      <c r="A505" s="66">
        <v>581</v>
      </c>
      <c r="B505" s="67" t="s">
        <v>552</v>
      </c>
      <c r="D505" s="2"/>
      <c r="E505" s="2"/>
    </row>
    <row r="506" spans="1:5" x14ac:dyDescent="0.3">
      <c r="A506" s="75">
        <v>207</v>
      </c>
      <c r="B506" s="74" t="s">
        <v>553</v>
      </c>
      <c r="D506" s="2"/>
      <c r="E506" s="2"/>
    </row>
    <row r="507" spans="1:5" x14ac:dyDescent="0.3">
      <c r="A507" s="75">
        <v>588</v>
      </c>
      <c r="B507" s="74" t="s">
        <v>554</v>
      </c>
      <c r="D507" s="2"/>
      <c r="E507" s="2"/>
    </row>
    <row r="508" spans="1:5" x14ac:dyDescent="0.3">
      <c r="A508" s="75">
        <v>591</v>
      </c>
      <c r="B508" s="74" t="s">
        <v>555</v>
      </c>
      <c r="D508" s="2"/>
      <c r="E508" s="2"/>
    </row>
    <row r="509" spans="1:5" x14ac:dyDescent="0.3">
      <c r="A509" s="75">
        <v>594</v>
      </c>
      <c r="B509" s="74" t="s">
        <v>556</v>
      </c>
      <c r="D509" s="2"/>
      <c r="E509" s="2"/>
    </row>
    <row r="510" spans="1:5" x14ac:dyDescent="0.3">
      <c r="A510" s="75">
        <v>597</v>
      </c>
      <c r="B510" s="74" t="s">
        <v>557</v>
      </c>
      <c r="D510" s="2"/>
      <c r="E510" s="2"/>
    </row>
    <row r="511" spans="1:5" x14ac:dyDescent="0.3">
      <c r="A511" s="75">
        <v>800</v>
      </c>
      <c r="B511" s="74" t="s">
        <v>558</v>
      </c>
      <c r="D511" s="2"/>
      <c r="E511" s="2"/>
    </row>
    <row r="512" spans="1:5" x14ac:dyDescent="0.3">
      <c r="A512" s="66">
        <v>231</v>
      </c>
      <c r="B512" s="67" t="s">
        <v>559</v>
      </c>
      <c r="D512" s="2"/>
      <c r="E512" s="2"/>
    </row>
    <row r="513" spans="1:5" x14ac:dyDescent="0.3">
      <c r="A513" s="66">
        <v>235</v>
      </c>
      <c r="B513" s="67" t="s">
        <v>560</v>
      </c>
      <c r="D513" s="2"/>
      <c r="E513" s="2"/>
    </row>
    <row r="514" spans="1:5" x14ac:dyDescent="0.3">
      <c r="A514" s="66">
        <v>239</v>
      </c>
      <c r="B514" s="67" t="s">
        <v>561</v>
      </c>
      <c r="D514" s="2"/>
      <c r="E514" s="2"/>
    </row>
    <row r="515" spans="1:5" x14ac:dyDescent="0.3">
      <c r="A515" s="66">
        <v>243</v>
      </c>
      <c r="B515" s="67" t="s">
        <v>562</v>
      </c>
      <c r="D515" s="2"/>
      <c r="E515" s="2"/>
    </row>
    <row r="516" spans="1:5" x14ac:dyDescent="0.3">
      <c r="A516" s="66">
        <v>247</v>
      </c>
      <c r="B516" s="67" t="s">
        <v>563</v>
      </c>
      <c r="D516" s="2"/>
      <c r="E516" s="2"/>
    </row>
    <row r="517" spans="1:5" x14ac:dyDescent="0.3">
      <c r="A517" s="66">
        <v>251</v>
      </c>
      <c r="B517" s="67" t="s">
        <v>564</v>
      </c>
      <c r="D517" s="2"/>
      <c r="E517" s="2"/>
    </row>
    <row r="518" spans="1:5" x14ac:dyDescent="0.3">
      <c r="A518" s="66">
        <v>197</v>
      </c>
      <c r="B518" s="67" t="s">
        <v>565</v>
      </c>
      <c r="D518" s="2"/>
      <c r="E518" s="2"/>
    </row>
    <row r="519" spans="1:5" x14ac:dyDescent="0.3">
      <c r="A519" s="66">
        <v>212</v>
      </c>
      <c r="B519" s="67" t="s">
        <v>566</v>
      </c>
      <c r="D519" s="2"/>
      <c r="E519" s="2"/>
    </row>
    <row r="520" spans="1:5" x14ac:dyDescent="0.3">
      <c r="A520" s="66">
        <v>216</v>
      </c>
      <c r="B520" s="67" t="s">
        <v>567</v>
      </c>
      <c r="D520" s="2"/>
      <c r="E520" s="2"/>
    </row>
    <row r="521" spans="1:5" x14ac:dyDescent="0.3">
      <c r="A521" s="66">
        <v>220</v>
      </c>
      <c r="B521" s="67" t="s">
        <v>568</v>
      </c>
      <c r="D521" s="2"/>
      <c r="E521" s="2"/>
    </row>
    <row r="522" spans="1:5" x14ac:dyDescent="0.3">
      <c r="A522" s="66">
        <v>224</v>
      </c>
      <c r="B522" s="67" t="s">
        <v>569</v>
      </c>
      <c r="D522" s="2"/>
      <c r="E522" s="2"/>
    </row>
    <row r="523" spans="1:5" x14ac:dyDescent="0.3">
      <c r="A523" s="66">
        <v>228</v>
      </c>
      <c r="B523" s="67" t="s">
        <v>570</v>
      </c>
      <c r="D523" s="2"/>
      <c r="E523" s="2"/>
    </row>
    <row r="524" spans="1:5" x14ac:dyDescent="0.3">
      <c r="A524" s="66">
        <v>255</v>
      </c>
      <c r="B524" s="67" t="s">
        <v>571</v>
      </c>
      <c r="D524" s="2"/>
      <c r="E524" s="2"/>
    </row>
    <row r="525" spans="1:5" x14ac:dyDescent="0.3">
      <c r="A525" s="66">
        <v>259</v>
      </c>
      <c r="B525" s="67" t="s">
        <v>572</v>
      </c>
      <c r="D525" s="2"/>
      <c r="E525" s="2"/>
    </row>
    <row r="526" spans="1:5" x14ac:dyDescent="0.3">
      <c r="A526" s="66">
        <v>263</v>
      </c>
      <c r="B526" s="67" t="s">
        <v>573</v>
      </c>
      <c r="D526" s="2"/>
      <c r="E526" s="2"/>
    </row>
    <row r="527" spans="1:5" x14ac:dyDescent="0.3">
      <c r="A527" s="66">
        <v>267</v>
      </c>
      <c r="B527" s="67" t="s">
        <v>574</v>
      </c>
      <c r="D527" s="2"/>
      <c r="E527" s="2"/>
    </row>
    <row r="528" spans="1:5" x14ac:dyDescent="0.3">
      <c r="A528" s="66">
        <v>271</v>
      </c>
      <c r="B528" s="67" t="s">
        <v>575</v>
      </c>
      <c r="D528" s="2"/>
      <c r="E528" s="2"/>
    </row>
    <row r="529" spans="1:5" x14ac:dyDescent="0.3">
      <c r="A529" s="66">
        <v>275</v>
      </c>
      <c r="B529" s="67" t="s">
        <v>576</v>
      </c>
      <c r="D529" s="2"/>
      <c r="E529" s="2"/>
    </row>
    <row r="530" spans="1:5" x14ac:dyDescent="0.3">
      <c r="A530" s="75">
        <v>279</v>
      </c>
      <c r="B530" s="74" t="s">
        <v>577</v>
      </c>
      <c r="D530" s="2"/>
      <c r="E530" s="2"/>
    </row>
    <row r="531" spans="1:5" x14ac:dyDescent="0.3">
      <c r="A531" s="66">
        <v>283</v>
      </c>
      <c r="B531" s="67" t="s">
        <v>578</v>
      </c>
      <c r="D531" s="2"/>
      <c r="E531" s="2"/>
    </row>
    <row r="532" spans="1:5" x14ac:dyDescent="0.3">
      <c r="A532" s="66">
        <v>287</v>
      </c>
      <c r="B532" s="67" t="s">
        <v>579</v>
      </c>
      <c r="D532" s="2"/>
      <c r="E532" s="2"/>
    </row>
    <row r="533" spans="1:5" x14ac:dyDescent="0.3">
      <c r="A533" s="66">
        <v>291</v>
      </c>
      <c r="B533" s="67" t="s">
        <v>580</v>
      </c>
      <c r="D533" s="2"/>
      <c r="E533" s="2"/>
    </row>
    <row r="534" spans="1:5" x14ac:dyDescent="0.3">
      <c r="A534" s="66">
        <v>295</v>
      </c>
      <c r="B534" s="67" t="s">
        <v>581</v>
      </c>
      <c r="D534" s="2"/>
      <c r="E534" s="2"/>
    </row>
    <row r="535" spans="1:5" x14ac:dyDescent="0.3">
      <c r="A535" s="66">
        <v>299</v>
      </c>
      <c r="B535" s="67" t="s">
        <v>582</v>
      </c>
      <c r="D535" s="2"/>
      <c r="E535" s="2"/>
    </row>
    <row r="536" spans="1:5" x14ac:dyDescent="0.3">
      <c r="A536" s="66">
        <v>303</v>
      </c>
      <c r="B536" s="67" t="s">
        <v>583</v>
      </c>
      <c r="D536" s="2"/>
      <c r="E536" s="2"/>
    </row>
    <row r="537" spans="1:5" x14ac:dyDescent="0.3">
      <c r="A537" s="66">
        <v>307</v>
      </c>
      <c r="B537" s="67" t="s">
        <v>584</v>
      </c>
      <c r="D537" s="2"/>
      <c r="E537" s="2"/>
    </row>
    <row r="538" spans="1:5" x14ac:dyDescent="0.3">
      <c r="A538" s="66">
        <v>311</v>
      </c>
      <c r="B538" s="67" t="s">
        <v>585</v>
      </c>
      <c r="D538" s="2"/>
      <c r="E538" s="2"/>
    </row>
    <row r="539" spans="1:5" x14ac:dyDescent="0.3">
      <c r="A539" s="66">
        <v>315</v>
      </c>
      <c r="B539" s="67" t="s">
        <v>586</v>
      </c>
      <c r="D539" s="2"/>
      <c r="E539" s="2"/>
    </row>
    <row r="540" spans="1:5" x14ac:dyDescent="0.3">
      <c r="A540" s="66">
        <v>319</v>
      </c>
      <c r="B540" s="67" t="s">
        <v>587</v>
      </c>
      <c r="D540" s="2"/>
      <c r="E540" s="2"/>
    </row>
    <row r="541" spans="1:5" x14ac:dyDescent="0.3">
      <c r="A541" s="66">
        <v>323</v>
      </c>
      <c r="B541" s="67" t="s">
        <v>588</v>
      </c>
      <c r="D541" s="2"/>
      <c r="E541" s="2"/>
    </row>
    <row r="542" spans="1:5" x14ac:dyDescent="0.3">
      <c r="A542" s="66">
        <v>447</v>
      </c>
      <c r="B542" s="67" t="s">
        <v>589</v>
      </c>
      <c r="D542" s="2"/>
      <c r="E542" s="2"/>
    </row>
    <row r="543" spans="1:5" x14ac:dyDescent="0.3">
      <c r="A543" s="66">
        <v>451</v>
      </c>
      <c r="B543" s="67" t="s">
        <v>590</v>
      </c>
      <c r="D543" s="2"/>
      <c r="E543" s="2"/>
    </row>
    <row r="544" spans="1:5" x14ac:dyDescent="0.3">
      <c r="A544" s="66">
        <v>455</v>
      </c>
      <c r="B544" s="67" t="s">
        <v>591</v>
      </c>
      <c r="D544" s="2"/>
      <c r="E544" s="2"/>
    </row>
    <row r="545" spans="1:5" x14ac:dyDescent="0.3">
      <c r="A545" s="66">
        <v>481</v>
      </c>
      <c r="B545" s="67" t="s">
        <v>592</v>
      </c>
      <c r="D545" s="2"/>
      <c r="E545" s="2"/>
    </row>
    <row r="546" spans="1:5" x14ac:dyDescent="0.3">
      <c r="A546" s="66">
        <v>459</v>
      </c>
      <c r="B546" s="67" t="s">
        <v>593</v>
      </c>
      <c r="D546" s="2"/>
      <c r="E546" s="2"/>
    </row>
    <row r="547" spans="1:5" x14ac:dyDescent="0.3">
      <c r="A547" s="66">
        <v>463</v>
      </c>
      <c r="B547" s="67" t="s">
        <v>594</v>
      </c>
      <c r="D547" s="2"/>
      <c r="E547" s="2"/>
    </row>
    <row r="548" spans="1:5" x14ac:dyDescent="0.3">
      <c r="A548" s="66">
        <v>467</v>
      </c>
      <c r="B548" s="67" t="s">
        <v>595</v>
      </c>
      <c r="D548" s="2"/>
      <c r="E548" s="2"/>
    </row>
    <row r="549" spans="1:5" x14ac:dyDescent="0.3">
      <c r="A549" s="66">
        <v>471</v>
      </c>
      <c r="B549" s="67" t="s">
        <v>596</v>
      </c>
      <c r="D549" s="2"/>
      <c r="E549" s="2"/>
    </row>
    <row r="550" spans="1:5" x14ac:dyDescent="0.3">
      <c r="A550" s="66">
        <v>475</v>
      </c>
      <c r="B550" s="67" t="s">
        <v>597</v>
      </c>
      <c r="D550" s="2"/>
      <c r="E550" s="2"/>
    </row>
    <row r="551" spans="1:5" x14ac:dyDescent="0.3">
      <c r="A551" s="66">
        <v>483</v>
      </c>
      <c r="B551" s="67" t="s">
        <v>598</v>
      </c>
      <c r="D551" s="2"/>
      <c r="E551" s="2"/>
    </row>
    <row r="552" spans="1:5" x14ac:dyDescent="0.3">
      <c r="A552" s="66">
        <v>487</v>
      </c>
      <c r="B552" s="67" t="s">
        <v>599</v>
      </c>
      <c r="D552" s="2"/>
      <c r="E552" s="2"/>
    </row>
    <row r="553" spans="1:5" x14ac:dyDescent="0.3">
      <c r="A553" s="66">
        <v>491</v>
      </c>
      <c r="B553" s="67" t="s">
        <v>600</v>
      </c>
      <c r="D553" s="2"/>
      <c r="E553" s="2"/>
    </row>
    <row r="554" spans="1:5" x14ac:dyDescent="0.3">
      <c r="A554" s="66">
        <v>495</v>
      </c>
      <c r="B554" s="67" t="s">
        <v>601</v>
      </c>
      <c r="D554" s="2"/>
      <c r="E554" s="2"/>
    </row>
    <row r="555" spans="1:5" x14ac:dyDescent="0.3">
      <c r="A555" s="66">
        <v>499</v>
      </c>
      <c r="B555" s="67" t="s">
        <v>602</v>
      </c>
      <c r="D555" s="2"/>
      <c r="E555" s="2"/>
    </row>
    <row r="556" spans="1:5" x14ac:dyDescent="0.3">
      <c r="A556" s="66">
        <v>503</v>
      </c>
      <c r="B556" s="67" t="s">
        <v>603</v>
      </c>
      <c r="D556" s="2"/>
      <c r="E556" s="2"/>
    </row>
    <row r="557" spans="1:5" x14ac:dyDescent="0.3">
      <c r="A557" s="75">
        <v>507</v>
      </c>
      <c r="B557" s="74" t="s">
        <v>604</v>
      </c>
      <c r="D557" s="2"/>
      <c r="E557" s="2"/>
    </row>
    <row r="558" spans="1:5" x14ac:dyDescent="0.3">
      <c r="A558" s="66">
        <v>511</v>
      </c>
      <c r="B558" s="67" t="s">
        <v>605</v>
      </c>
      <c r="D558" s="2"/>
      <c r="E558" s="2"/>
    </row>
    <row r="559" spans="1:5" x14ac:dyDescent="0.3">
      <c r="A559" s="66">
        <v>515</v>
      </c>
      <c r="B559" s="67" t="s">
        <v>606</v>
      </c>
      <c r="D559" s="2"/>
      <c r="E559" s="2"/>
    </row>
    <row r="560" spans="1:5" x14ac:dyDescent="0.3">
      <c r="A560" s="66">
        <v>519</v>
      </c>
      <c r="B560" s="67" t="s">
        <v>607</v>
      </c>
      <c r="D560" s="2"/>
      <c r="E560" s="2"/>
    </row>
    <row r="561" spans="1:5" x14ac:dyDescent="0.3">
      <c r="A561" s="66">
        <v>523</v>
      </c>
      <c r="B561" s="67" t="s">
        <v>608</v>
      </c>
      <c r="D561" s="2"/>
      <c r="E561" s="2"/>
    </row>
    <row r="562" spans="1:5" x14ac:dyDescent="0.3">
      <c r="A562" s="66">
        <v>527</v>
      </c>
      <c r="B562" s="67" t="s">
        <v>609</v>
      </c>
      <c r="D562" s="2"/>
      <c r="E562" s="2"/>
    </row>
    <row r="563" spans="1:5" x14ac:dyDescent="0.3">
      <c r="A563" s="66">
        <v>531</v>
      </c>
      <c r="B563" s="67" t="s">
        <v>610</v>
      </c>
      <c r="D563" s="2"/>
      <c r="E563" s="2"/>
    </row>
    <row r="564" spans="1:5" x14ac:dyDescent="0.3">
      <c r="A564" s="66">
        <v>539</v>
      </c>
      <c r="B564" s="67" t="s">
        <v>611</v>
      </c>
      <c r="D564" s="2"/>
      <c r="E564" s="2"/>
    </row>
    <row r="565" spans="1:5" x14ac:dyDescent="0.3">
      <c r="A565" s="66">
        <v>535</v>
      </c>
      <c r="B565" s="67" t="s">
        <v>612</v>
      </c>
      <c r="D565" s="2"/>
      <c r="E565" s="2"/>
    </row>
    <row r="566" spans="1:5" x14ac:dyDescent="0.3">
      <c r="A566" s="66">
        <v>543</v>
      </c>
      <c r="B566" s="67" t="s">
        <v>613</v>
      </c>
      <c r="D566" s="2"/>
      <c r="E566" s="2"/>
    </row>
    <row r="567" spans="1:5" x14ac:dyDescent="0.3">
      <c r="A567" s="66">
        <v>547</v>
      </c>
      <c r="B567" s="67" t="s">
        <v>614</v>
      </c>
      <c r="D567" s="2"/>
      <c r="E567" s="2"/>
    </row>
    <row r="568" spans="1:5" x14ac:dyDescent="0.3">
      <c r="A568" s="66">
        <v>551</v>
      </c>
      <c r="B568" s="67" t="s">
        <v>615</v>
      </c>
      <c r="D568" s="2"/>
      <c r="E568" s="2"/>
    </row>
    <row r="569" spans="1:5" x14ac:dyDescent="0.3">
      <c r="A569" s="66">
        <v>555</v>
      </c>
      <c r="B569" s="67" t="s">
        <v>616</v>
      </c>
      <c r="D569" s="2"/>
      <c r="E569" s="2"/>
    </row>
    <row r="570" spans="1:5" x14ac:dyDescent="0.3">
      <c r="A570" s="75">
        <v>559</v>
      </c>
      <c r="B570" s="74" t="s">
        <v>617</v>
      </c>
      <c r="D570" s="2"/>
      <c r="E570" s="2"/>
    </row>
    <row r="571" spans="1:5" x14ac:dyDescent="0.3">
      <c r="A571" s="66">
        <v>563</v>
      </c>
      <c r="B571" s="67" t="s">
        <v>618</v>
      </c>
      <c r="D571" s="2"/>
      <c r="E571" s="2"/>
    </row>
    <row r="573" spans="1:5" x14ac:dyDescent="0.3">
      <c r="A573" s="77">
        <v>414</v>
      </c>
      <c r="B573" s="67" t="s">
        <v>619</v>
      </c>
    </row>
    <row r="574" spans="1:5" x14ac:dyDescent="0.3">
      <c r="A574" s="77">
        <v>415</v>
      </c>
      <c r="B574" s="67" t="s">
        <v>620</v>
      </c>
    </row>
    <row r="575" spans="1:5" x14ac:dyDescent="0.3">
      <c r="A575" s="77">
        <v>416</v>
      </c>
      <c r="B575" s="67" t="s">
        <v>621</v>
      </c>
    </row>
    <row r="576" spans="1:5" x14ac:dyDescent="0.3">
      <c r="A576" s="77">
        <v>417</v>
      </c>
      <c r="B576" s="67" t="s">
        <v>622</v>
      </c>
    </row>
    <row r="577" spans="1:2" x14ac:dyDescent="0.3">
      <c r="A577" s="77">
        <v>418</v>
      </c>
      <c r="B577" s="67" t="s">
        <v>623</v>
      </c>
    </row>
    <row r="578" spans="1:2" x14ac:dyDescent="0.3">
      <c r="A578" s="77">
        <v>419</v>
      </c>
      <c r="B578" s="67" t="s">
        <v>624</v>
      </c>
    </row>
    <row r="579" spans="1:2" x14ac:dyDescent="0.3">
      <c r="A579" s="77">
        <v>420</v>
      </c>
      <c r="B579" s="67" t="s">
        <v>625</v>
      </c>
    </row>
    <row r="580" spans="1:2" x14ac:dyDescent="0.3">
      <c r="A580" s="77">
        <v>421</v>
      </c>
      <c r="B580" s="67" t="s">
        <v>626</v>
      </c>
    </row>
    <row r="581" spans="1:2" x14ac:dyDescent="0.3">
      <c r="A581" s="77">
        <v>422</v>
      </c>
      <c r="B581" s="67" t="s">
        <v>627</v>
      </c>
    </row>
    <row r="582" spans="1:2" x14ac:dyDescent="0.3">
      <c r="A582" s="77">
        <v>423</v>
      </c>
      <c r="B582" s="67" t="s">
        <v>628</v>
      </c>
    </row>
    <row r="583" spans="1:2" x14ac:dyDescent="0.3">
      <c r="A583" s="77">
        <v>424</v>
      </c>
      <c r="B583" s="67" t="s">
        <v>629</v>
      </c>
    </row>
    <row r="584" spans="1:2" x14ac:dyDescent="0.3">
      <c r="A584" s="77">
        <v>425</v>
      </c>
      <c r="B584" s="67" t="s">
        <v>630</v>
      </c>
    </row>
    <row r="585" spans="1:2" x14ac:dyDescent="0.3">
      <c r="A585" s="77">
        <v>426</v>
      </c>
      <c r="B585" s="67" t="s">
        <v>631</v>
      </c>
    </row>
    <row r="586" spans="1:2" x14ac:dyDescent="0.3">
      <c r="A586" s="77">
        <v>427</v>
      </c>
      <c r="B586" s="67" t="s">
        <v>632</v>
      </c>
    </row>
    <row r="587" spans="1:2" x14ac:dyDescent="0.3">
      <c r="A587" s="77">
        <v>428</v>
      </c>
      <c r="B587" s="67" t="s">
        <v>633</v>
      </c>
    </row>
    <row r="588" spans="1:2" x14ac:dyDescent="0.3">
      <c r="A588" s="77">
        <v>429</v>
      </c>
      <c r="B588" s="67" t="s">
        <v>634</v>
      </c>
    </row>
    <row r="589" spans="1:2" x14ac:dyDescent="0.3">
      <c r="A589" s="77">
        <v>430</v>
      </c>
      <c r="B589" s="67" t="s">
        <v>635</v>
      </c>
    </row>
    <row r="590" spans="1:2" x14ac:dyDescent="0.3">
      <c r="A590" s="77">
        <v>431</v>
      </c>
      <c r="B590" s="67" t="s">
        <v>636</v>
      </c>
    </row>
    <row r="591" spans="1:2" x14ac:dyDescent="0.3">
      <c r="A591" s="77">
        <v>432</v>
      </c>
      <c r="B591" s="67" t="s">
        <v>637</v>
      </c>
    </row>
    <row r="592" spans="1:2" x14ac:dyDescent="0.3">
      <c r="A592" s="77">
        <v>433</v>
      </c>
      <c r="B592" s="67" t="s">
        <v>638</v>
      </c>
    </row>
    <row r="593" spans="1:2" x14ac:dyDescent="0.3">
      <c r="A593" s="77">
        <v>434</v>
      </c>
      <c r="B593" s="67" t="s">
        <v>639</v>
      </c>
    </row>
    <row r="594" spans="1:2" x14ac:dyDescent="0.3">
      <c r="A594" s="77">
        <v>435</v>
      </c>
      <c r="B594" s="67" t="s">
        <v>640</v>
      </c>
    </row>
    <row r="595" spans="1:2" x14ac:dyDescent="0.3">
      <c r="A595" s="77">
        <v>436</v>
      </c>
      <c r="B595" s="67" t="s">
        <v>641</v>
      </c>
    </row>
    <row r="596" spans="1:2" x14ac:dyDescent="0.3">
      <c r="A596" s="77">
        <v>437</v>
      </c>
      <c r="B596" s="67" t="s">
        <v>642</v>
      </c>
    </row>
    <row r="597" spans="1:2" x14ac:dyDescent="0.3">
      <c r="A597" s="77">
        <v>438</v>
      </c>
      <c r="B597" s="67" t="s">
        <v>643</v>
      </c>
    </row>
    <row r="598" spans="1:2" x14ac:dyDescent="0.3">
      <c r="A598" s="77">
        <v>439</v>
      </c>
      <c r="B598" s="67" t="s">
        <v>644</v>
      </c>
    </row>
    <row r="599" spans="1:2" x14ac:dyDescent="0.3">
      <c r="A599" s="77">
        <v>440</v>
      </c>
      <c r="B599" s="67" t="s">
        <v>645</v>
      </c>
    </row>
    <row r="600" spans="1:2" x14ac:dyDescent="0.3">
      <c r="A600" s="77">
        <v>441</v>
      </c>
      <c r="B600" s="67" t="s">
        <v>646</v>
      </c>
    </row>
    <row r="601" spans="1:2" x14ac:dyDescent="0.3">
      <c r="A601" s="77">
        <v>442</v>
      </c>
      <c r="B601" s="67" t="s">
        <v>647</v>
      </c>
    </row>
    <row r="602" spans="1:2" x14ac:dyDescent="0.3">
      <c r="A602" s="77">
        <v>443</v>
      </c>
      <c r="B602" s="67" t="s">
        <v>648</v>
      </c>
    </row>
    <row r="603" spans="1:2" x14ac:dyDescent="0.3">
      <c r="A603" s="77">
        <v>720</v>
      </c>
      <c r="B603" s="67" t="s">
        <v>649</v>
      </c>
    </row>
    <row r="604" spans="1:2" x14ac:dyDescent="0.3">
      <c r="A604" s="77">
        <v>721</v>
      </c>
      <c r="B604" s="67" t="s">
        <v>650</v>
      </c>
    </row>
    <row r="605" spans="1:2" x14ac:dyDescent="0.3">
      <c r="A605" s="77">
        <v>722</v>
      </c>
      <c r="B605" s="67" t="s">
        <v>651</v>
      </c>
    </row>
    <row r="606" spans="1:2" x14ac:dyDescent="0.3">
      <c r="A606" s="77">
        <v>723</v>
      </c>
      <c r="B606" s="67" t="s">
        <v>652</v>
      </c>
    </row>
    <row r="607" spans="1:2" x14ac:dyDescent="0.3">
      <c r="A607" s="77">
        <v>724</v>
      </c>
      <c r="B607" s="67" t="s">
        <v>653</v>
      </c>
    </row>
    <row r="608" spans="1:2" x14ac:dyDescent="0.3">
      <c r="A608" s="77">
        <v>725</v>
      </c>
      <c r="B608" s="67" t="s">
        <v>654</v>
      </c>
    </row>
    <row r="609" spans="1:2" x14ac:dyDescent="0.3">
      <c r="A609" s="77">
        <v>726</v>
      </c>
      <c r="B609" s="67" t="s">
        <v>655</v>
      </c>
    </row>
    <row r="610" spans="1:2" x14ac:dyDescent="0.3">
      <c r="A610" s="77">
        <v>727</v>
      </c>
      <c r="B610" s="67" t="s">
        <v>656</v>
      </c>
    </row>
    <row r="611" spans="1:2" x14ac:dyDescent="0.3">
      <c r="A611" s="77">
        <v>728</v>
      </c>
      <c r="B611" s="67" t="s">
        <v>657</v>
      </c>
    </row>
    <row r="612" spans="1:2" x14ac:dyDescent="0.3">
      <c r="A612" s="77">
        <v>729</v>
      </c>
      <c r="B612" s="67" t="s">
        <v>658</v>
      </c>
    </row>
    <row r="613" spans="1:2" x14ac:dyDescent="0.3">
      <c r="A613" s="77">
        <v>730</v>
      </c>
      <c r="B613" s="67" t="s">
        <v>659</v>
      </c>
    </row>
    <row r="614" spans="1:2" x14ac:dyDescent="0.3">
      <c r="A614" s="77">
        <v>731</v>
      </c>
      <c r="B614" s="67" t="s">
        <v>660</v>
      </c>
    </row>
    <row r="615" spans="1:2" x14ac:dyDescent="0.3">
      <c r="A615" s="77">
        <v>732</v>
      </c>
      <c r="B615" s="67" t="s">
        <v>661</v>
      </c>
    </row>
    <row r="616" spans="1:2" x14ac:dyDescent="0.3">
      <c r="A616" s="77">
        <v>733</v>
      </c>
      <c r="B616" s="67" t="s">
        <v>662</v>
      </c>
    </row>
    <row r="617" spans="1:2" x14ac:dyDescent="0.3">
      <c r="A617" s="77">
        <v>734</v>
      </c>
      <c r="B617" s="67" t="s">
        <v>663</v>
      </c>
    </row>
    <row r="618" spans="1:2" x14ac:dyDescent="0.3">
      <c r="A618" s="77">
        <v>735</v>
      </c>
      <c r="B618" s="67" t="s">
        <v>664</v>
      </c>
    </row>
    <row r="619" spans="1:2" x14ac:dyDescent="0.3">
      <c r="A619" s="77">
        <v>736</v>
      </c>
      <c r="B619" s="67" t="s">
        <v>665</v>
      </c>
    </row>
    <row r="620" spans="1:2" x14ac:dyDescent="0.3">
      <c r="A620" s="77">
        <v>737</v>
      </c>
      <c r="B620" s="67" t="s">
        <v>666</v>
      </c>
    </row>
    <row r="621" spans="1:2" x14ac:dyDescent="0.3">
      <c r="A621" s="77">
        <v>738</v>
      </c>
      <c r="B621" s="67" t="s">
        <v>667</v>
      </c>
    </row>
    <row r="622" spans="1:2" x14ac:dyDescent="0.3">
      <c r="A622" s="77">
        <v>739</v>
      </c>
      <c r="B622" s="67" t="s">
        <v>668</v>
      </c>
    </row>
    <row r="623" spans="1:2" x14ac:dyDescent="0.3">
      <c r="A623" s="77">
        <v>740</v>
      </c>
      <c r="B623" s="67" t="s">
        <v>669</v>
      </c>
    </row>
    <row r="624" spans="1:2" x14ac:dyDescent="0.3">
      <c r="A624" s="77">
        <v>741</v>
      </c>
      <c r="B624" s="67" t="s">
        <v>670</v>
      </c>
    </row>
    <row r="625" spans="1:2" x14ac:dyDescent="0.3">
      <c r="A625" s="77">
        <v>742</v>
      </c>
      <c r="B625" s="67" t="s">
        <v>671</v>
      </c>
    </row>
    <row r="626" spans="1:2" x14ac:dyDescent="0.3">
      <c r="A626" s="77">
        <v>743</v>
      </c>
      <c r="B626" s="67" t="s">
        <v>672</v>
      </c>
    </row>
    <row r="627" spans="1:2" x14ac:dyDescent="0.3">
      <c r="A627" s="77">
        <v>744</v>
      </c>
      <c r="B627" s="67" t="s">
        <v>673</v>
      </c>
    </row>
    <row r="628" spans="1:2" x14ac:dyDescent="0.3">
      <c r="A628" s="77">
        <v>745</v>
      </c>
      <c r="B628" s="67" t="s">
        <v>674</v>
      </c>
    </row>
    <row r="629" spans="1:2" x14ac:dyDescent="0.3">
      <c r="A629" s="77">
        <v>746</v>
      </c>
      <c r="B629" s="67" t="s">
        <v>675</v>
      </c>
    </row>
    <row r="630" spans="1:2" x14ac:dyDescent="0.3">
      <c r="A630" s="77">
        <v>747</v>
      </c>
      <c r="B630" s="67" t="s">
        <v>676</v>
      </c>
    </row>
    <row r="631" spans="1:2" x14ac:dyDescent="0.3">
      <c r="A631" s="77">
        <v>748</v>
      </c>
      <c r="B631" s="67" t="s">
        <v>677</v>
      </c>
    </row>
    <row r="632" spans="1:2" x14ac:dyDescent="0.3">
      <c r="A632" s="77">
        <v>749</v>
      </c>
      <c r="B632" s="67" t="s">
        <v>678</v>
      </c>
    </row>
    <row r="633" spans="1:2" x14ac:dyDescent="0.3">
      <c r="A633" s="77">
        <v>660</v>
      </c>
      <c r="B633" s="67" t="s">
        <v>679</v>
      </c>
    </row>
    <row r="634" spans="1:2" x14ac:dyDescent="0.3">
      <c r="A634" s="77">
        <v>661</v>
      </c>
      <c r="B634" s="67" t="s">
        <v>680</v>
      </c>
    </row>
    <row r="635" spans="1:2" x14ac:dyDescent="0.3">
      <c r="A635" s="77">
        <v>662</v>
      </c>
      <c r="B635" s="67" t="s">
        <v>681</v>
      </c>
    </row>
    <row r="636" spans="1:2" x14ac:dyDescent="0.3">
      <c r="A636" s="77">
        <v>663</v>
      </c>
      <c r="B636" s="67" t="s">
        <v>682</v>
      </c>
    </row>
    <row r="637" spans="1:2" x14ac:dyDescent="0.3">
      <c r="A637" s="77">
        <v>664</v>
      </c>
      <c r="B637" s="67" t="s">
        <v>683</v>
      </c>
    </row>
    <row r="638" spans="1:2" x14ac:dyDescent="0.3">
      <c r="A638" s="77">
        <v>665</v>
      </c>
      <c r="B638" s="67" t="s">
        <v>684</v>
      </c>
    </row>
    <row r="639" spans="1:2" x14ac:dyDescent="0.3">
      <c r="A639" s="77">
        <v>666</v>
      </c>
      <c r="B639" s="67" t="s">
        <v>685</v>
      </c>
    </row>
    <row r="640" spans="1:2" x14ac:dyDescent="0.3">
      <c r="A640" s="77">
        <v>667</v>
      </c>
      <c r="B640" s="67" t="s">
        <v>686</v>
      </c>
    </row>
    <row r="641" spans="1:2" x14ac:dyDescent="0.3">
      <c r="A641" s="77">
        <v>668</v>
      </c>
      <c r="B641" s="67" t="s">
        <v>687</v>
      </c>
    </row>
    <row r="642" spans="1:2" x14ac:dyDescent="0.3">
      <c r="A642" s="77">
        <v>669</v>
      </c>
      <c r="B642" s="67" t="s">
        <v>688</v>
      </c>
    </row>
    <row r="643" spans="1:2" x14ac:dyDescent="0.3">
      <c r="A643" s="77">
        <v>670</v>
      </c>
      <c r="B643" s="67" t="s">
        <v>689</v>
      </c>
    </row>
    <row r="644" spans="1:2" x14ac:dyDescent="0.3">
      <c r="A644" s="77">
        <v>671</v>
      </c>
      <c r="B644" s="67" t="s">
        <v>690</v>
      </c>
    </row>
    <row r="645" spans="1:2" x14ac:dyDescent="0.3">
      <c r="A645" s="77">
        <v>672</v>
      </c>
      <c r="B645" s="67" t="s">
        <v>691</v>
      </c>
    </row>
    <row r="646" spans="1:2" x14ac:dyDescent="0.3">
      <c r="A646" s="77">
        <v>673</v>
      </c>
      <c r="B646" s="67" t="s">
        <v>692</v>
      </c>
    </row>
    <row r="647" spans="1:2" x14ac:dyDescent="0.3">
      <c r="A647" s="77">
        <v>674</v>
      </c>
      <c r="B647" s="67" t="s">
        <v>693</v>
      </c>
    </row>
    <row r="648" spans="1:2" x14ac:dyDescent="0.3">
      <c r="A648" s="77">
        <v>675</v>
      </c>
      <c r="B648" s="67" t="s">
        <v>694</v>
      </c>
    </row>
    <row r="649" spans="1:2" x14ac:dyDescent="0.3">
      <c r="A649" s="77">
        <v>676</v>
      </c>
      <c r="B649" s="67" t="s">
        <v>695</v>
      </c>
    </row>
    <row r="650" spans="1:2" x14ac:dyDescent="0.3">
      <c r="A650" s="77">
        <v>677</v>
      </c>
      <c r="B650" s="67" t="s">
        <v>696</v>
      </c>
    </row>
    <row r="651" spans="1:2" x14ac:dyDescent="0.3">
      <c r="A651" s="77">
        <v>678</v>
      </c>
      <c r="B651" s="67" t="s">
        <v>697</v>
      </c>
    </row>
    <row r="652" spans="1:2" x14ac:dyDescent="0.3">
      <c r="A652" s="77">
        <v>679</v>
      </c>
      <c r="B652" s="67" t="s">
        <v>698</v>
      </c>
    </row>
    <row r="653" spans="1:2" x14ac:dyDescent="0.3">
      <c r="A653" s="77">
        <v>680</v>
      </c>
      <c r="B653" s="67" t="s">
        <v>699</v>
      </c>
    </row>
    <row r="654" spans="1:2" x14ac:dyDescent="0.3">
      <c r="A654" s="77">
        <v>681</v>
      </c>
      <c r="B654" s="67" t="s">
        <v>700</v>
      </c>
    </row>
    <row r="655" spans="1:2" x14ac:dyDescent="0.3">
      <c r="A655" s="77">
        <v>682</v>
      </c>
      <c r="B655" s="67" t="s">
        <v>701</v>
      </c>
    </row>
    <row r="656" spans="1:2" x14ac:dyDescent="0.3">
      <c r="A656" s="77">
        <v>683</v>
      </c>
      <c r="B656" s="67" t="s">
        <v>702</v>
      </c>
    </row>
    <row r="657" spans="1:2" x14ac:dyDescent="0.3">
      <c r="A657" s="77">
        <v>684</v>
      </c>
      <c r="B657" s="67" t="s">
        <v>703</v>
      </c>
    </row>
    <row r="658" spans="1:2" x14ac:dyDescent="0.3">
      <c r="A658" s="77">
        <v>685</v>
      </c>
      <c r="B658" s="67" t="s">
        <v>704</v>
      </c>
    </row>
    <row r="659" spans="1:2" x14ac:dyDescent="0.3">
      <c r="A659" s="77">
        <v>686</v>
      </c>
      <c r="B659" s="67" t="s">
        <v>705</v>
      </c>
    </row>
    <row r="660" spans="1:2" x14ac:dyDescent="0.3">
      <c r="A660" s="77">
        <v>687</v>
      </c>
      <c r="B660" s="67" t="s">
        <v>706</v>
      </c>
    </row>
    <row r="661" spans="1:2" x14ac:dyDescent="0.3">
      <c r="A661" s="77">
        <v>688</v>
      </c>
      <c r="B661" s="67" t="s">
        <v>707</v>
      </c>
    </row>
    <row r="662" spans="1:2" x14ac:dyDescent="0.3">
      <c r="A662" s="77">
        <v>689</v>
      </c>
      <c r="B662" s="67" t="s">
        <v>708</v>
      </c>
    </row>
    <row r="663" spans="1:2" x14ac:dyDescent="0.3">
      <c r="A663" s="77">
        <v>690</v>
      </c>
      <c r="B663" s="67" t="s">
        <v>709</v>
      </c>
    </row>
    <row r="664" spans="1:2" x14ac:dyDescent="0.3">
      <c r="A664" s="77">
        <v>691</v>
      </c>
      <c r="B664" s="67" t="s">
        <v>710</v>
      </c>
    </row>
    <row r="665" spans="1:2" x14ac:dyDescent="0.3">
      <c r="A665" s="77">
        <v>692</v>
      </c>
      <c r="B665" s="67" t="s">
        <v>711</v>
      </c>
    </row>
    <row r="666" spans="1:2" x14ac:dyDescent="0.3">
      <c r="A666" s="77">
        <v>693</v>
      </c>
      <c r="B666" s="67" t="s">
        <v>712</v>
      </c>
    </row>
    <row r="667" spans="1:2" x14ac:dyDescent="0.3">
      <c r="A667" s="77">
        <v>694</v>
      </c>
      <c r="B667" s="67" t="s">
        <v>713</v>
      </c>
    </row>
    <row r="668" spans="1:2" x14ac:dyDescent="0.3">
      <c r="A668" s="77">
        <v>695</v>
      </c>
      <c r="B668" s="67" t="s">
        <v>714</v>
      </c>
    </row>
    <row r="669" spans="1:2" x14ac:dyDescent="0.3">
      <c r="A669" s="77">
        <v>696</v>
      </c>
      <c r="B669" s="67" t="s">
        <v>715</v>
      </c>
    </row>
    <row r="670" spans="1:2" x14ac:dyDescent="0.3">
      <c r="A670" s="77">
        <v>697</v>
      </c>
      <c r="B670" s="67" t="s">
        <v>716</v>
      </c>
    </row>
    <row r="671" spans="1:2" x14ac:dyDescent="0.3">
      <c r="A671" s="77">
        <v>698</v>
      </c>
      <c r="B671" s="67" t="s">
        <v>717</v>
      </c>
    </row>
    <row r="672" spans="1:2" x14ac:dyDescent="0.3">
      <c r="A672" s="77">
        <v>699</v>
      </c>
      <c r="B672" s="67" t="s">
        <v>718</v>
      </c>
    </row>
    <row r="673" spans="1:2" x14ac:dyDescent="0.3">
      <c r="A673" s="77">
        <v>700</v>
      </c>
      <c r="B673" s="67" t="s">
        <v>719</v>
      </c>
    </row>
    <row r="674" spans="1:2" x14ac:dyDescent="0.3">
      <c r="A674" s="77">
        <v>701</v>
      </c>
      <c r="B674" s="67" t="s">
        <v>720</v>
      </c>
    </row>
    <row r="675" spans="1:2" x14ac:dyDescent="0.3">
      <c r="A675" s="77">
        <v>702</v>
      </c>
      <c r="B675" s="67" t="s">
        <v>721</v>
      </c>
    </row>
    <row r="676" spans="1:2" x14ac:dyDescent="0.3">
      <c r="A676" s="77">
        <v>703</v>
      </c>
      <c r="B676" s="67" t="s">
        <v>722</v>
      </c>
    </row>
    <row r="677" spans="1:2" x14ac:dyDescent="0.3">
      <c r="A677" s="77">
        <v>704</v>
      </c>
      <c r="B677" s="67" t="s">
        <v>723</v>
      </c>
    </row>
    <row r="678" spans="1:2" x14ac:dyDescent="0.3">
      <c r="A678" s="77">
        <v>705</v>
      </c>
      <c r="B678" s="67" t="s">
        <v>724</v>
      </c>
    </row>
    <row r="679" spans="1:2" x14ac:dyDescent="0.3">
      <c r="A679" s="77">
        <v>706</v>
      </c>
      <c r="B679" s="67" t="s">
        <v>725</v>
      </c>
    </row>
    <row r="680" spans="1:2" x14ac:dyDescent="0.3">
      <c r="A680" s="77">
        <v>707</v>
      </c>
      <c r="B680" s="67" t="s">
        <v>726</v>
      </c>
    </row>
    <row r="681" spans="1:2" x14ac:dyDescent="0.3">
      <c r="A681" s="77">
        <v>708</v>
      </c>
      <c r="B681" s="67" t="s">
        <v>727</v>
      </c>
    </row>
    <row r="682" spans="1:2" x14ac:dyDescent="0.3">
      <c r="A682" s="77">
        <v>709</v>
      </c>
      <c r="B682" s="67" t="s">
        <v>728</v>
      </c>
    </row>
    <row r="683" spans="1:2" x14ac:dyDescent="0.3">
      <c r="A683" s="77">
        <v>710</v>
      </c>
      <c r="B683" s="67" t="s">
        <v>729</v>
      </c>
    </row>
    <row r="684" spans="1:2" x14ac:dyDescent="0.3">
      <c r="A684" s="77">
        <v>711</v>
      </c>
      <c r="B684" s="67" t="s">
        <v>730</v>
      </c>
    </row>
    <row r="685" spans="1:2" x14ac:dyDescent="0.3">
      <c r="A685" s="77">
        <v>712</v>
      </c>
      <c r="B685" s="67" t="s">
        <v>731</v>
      </c>
    </row>
    <row r="686" spans="1:2" x14ac:dyDescent="0.3">
      <c r="A686" s="77">
        <v>713</v>
      </c>
      <c r="B686" s="67" t="s">
        <v>732</v>
      </c>
    </row>
    <row r="687" spans="1:2" x14ac:dyDescent="0.3">
      <c r="A687" s="77">
        <v>714</v>
      </c>
      <c r="B687" s="67" t="s">
        <v>733</v>
      </c>
    </row>
    <row r="688" spans="1:2" x14ac:dyDescent="0.3">
      <c r="A688" s="77">
        <v>715</v>
      </c>
      <c r="B688" s="67" t="s">
        <v>734</v>
      </c>
    </row>
    <row r="689" spans="1:2" x14ac:dyDescent="0.3">
      <c r="A689" s="77">
        <v>716</v>
      </c>
      <c r="B689" s="67" t="s">
        <v>735</v>
      </c>
    </row>
    <row r="690" spans="1:2" x14ac:dyDescent="0.3">
      <c r="A690" s="77">
        <v>717</v>
      </c>
      <c r="B690" s="67" t="s">
        <v>736</v>
      </c>
    </row>
    <row r="691" spans="1:2" x14ac:dyDescent="0.3">
      <c r="A691" s="77">
        <v>718</v>
      </c>
      <c r="B691" s="67" t="s">
        <v>737</v>
      </c>
    </row>
    <row r="692" spans="1:2" x14ac:dyDescent="0.3">
      <c r="A692" s="77">
        <v>719</v>
      </c>
      <c r="B692" s="67" t="s">
        <v>738</v>
      </c>
    </row>
    <row r="693" spans="1:2" x14ac:dyDescent="0.3">
      <c r="A693" s="77">
        <v>631</v>
      </c>
      <c r="B693" s="67" t="s">
        <v>739</v>
      </c>
    </row>
    <row r="694" spans="1:2" x14ac:dyDescent="0.3">
      <c r="A694" s="77">
        <v>630</v>
      </c>
      <c r="B694" s="67" t="s">
        <v>740</v>
      </c>
    </row>
    <row r="695" spans="1:2" x14ac:dyDescent="0.3">
      <c r="A695" s="77">
        <v>632</v>
      </c>
      <c r="B695" s="67" t="s">
        <v>741</v>
      </c>
    </row>
    <row r="696" spans="1:2" x14ac:dyDescent="0.3">
      <c r="A696" s="77">
        <v>633</v>
      </c>
      <c r="B696" s="67" t="s">
        <v>742</v>
      </c>
    </row>
    <row r="697" spans="1:2" x14ac:dyDescent="0.3">
      <c r="A697" s="77">
        <v>634</v>
      </c>
      <c r="B697" s="67" t="s">
        <v>743</v>
      </c>
    </row>
    <row r="698" spans="1:2" x14ac:dyDescent="0.3">
      <c r="A698" s="77">
        <v>635</v>
      </c>
      <c r="B698" s="67" t="s">
        <v>744</v>
      </c>
    </row>
    <row r="699" spans="1:2" x14ac:dyDescent="0.3">
      <c r="A699" s="77">
        <v>637</v>
      </c>
      <c r="B699" s="67" t="s">
        <v>745</v>
      </c>
    </row>
    <row r="700" spans="1:2" x14ac:dyDescent="0.3">
      <c r="A700" s="77">
        <v>636</v>
      </c>
      <c r="B700" s="67" t="s">
        <v>746</v>
      </c>
    </row>
    <row r="701" spans="1:2" x14ac:dyDescent="0.3">
      <c r="A701" s="77">
        <v>638</v>
      </c>
      <c r="B701" s="67" t="s">
        <v>747</v>
      </c>
    </row>
    <row r="702" spans="1:2" x14ac:dyDescent="0.3">
      <c r="A702" s="77">
        <v>639</v>
      </c>
      <c r="B702" s="67" t="s">
        <v>748</v>
      </c>
    </row>
    <row r="703" spans="1:2" x14ac:dyDescent="0.3">
      <c r="A703" s="77">
        <v>640</v>
      </c>
      <c r="B703" s="67" t="s">
        <v>749</v>
      </c>
    </row>
    <row r="704" spans="1:2" x14ac:dyDescent="0.3">
      <c r="A704" s="77">
        <v>641</v>
      </c>
      <c r="B704" s="67" t="s">
        <v>750</v>
      </c>
    </row>
    <row r="705" spans="1:2" x14ac:dyDescent="0.3">
      <c r="A705" s="77">
        <v>643</v>
      </c>
      <c r="B705" s="67" t="s">
        <v>751</v>
      </c>
    </row>
    <row r="706" spans="1:2" x14ac:dyDescent="0.3">
      <c r="A706" s="77">
        <v>642</v>
      </c>
      <c r="B706" s="67" t="s">
        <v>752</v>
      </c>
    </row>
    <row r="707" spans="1:2" x14ac:dyDescent="0.3">
      <c r="A707" s="77">
        <v>644</v>
      </c>
      <c r="B707" s="67" t="s">
        <v>753</v>
      </c>
    </row>
    <row r="708" spans="1:2" x14ac:dyDescent="0.3">
      <c r="A708" s="77">
        <v>645</v>
      </c>
      <c r="B708" s="67" t="s">
        <v>754</v>
      </c>
    </row>
    <row r="709" spans="1:2" x14ac:dyDescent="0.3">
      <c r="A709" s="77">
        <v>646</v>
      </c>
      <c r="B709" s="67" t="s">
        <v>755</v>
      </c>
    </row>
    <row r="710" spans="1:2" x14ac:dyDescent="0.3">
      <c r="A710" s="77">
        <v>647</v>
      </c>
      <c r="B710" s="67" t="s">
        <v>756</v>
      </c>
    </row>
    <row r="711" spans="1:2" x14ac:dyDescent="0.3">
      <c r="A711" s="77">
        <v>649</v>
      </c>
      <c r="B711" s="67" t="s">
        <v>757</v>
      </c>
    </row>
    <row r="712" spans="1:2" x14ac:dyDescent="0.3">
      <c r="A712" s="77">
        <v>648</v>
      </c>
      <c r="B712" s="67" t="s">
        <v>758</v>
      </c>
    </row>
    <row r="713" spans="1:2" x14ac:dyDescent="0.3">
      <c r="A713" s="77">
        <v>650</v>
      </c>
      <c r="B713" s="67" t="s">
        <v>759</v>
      </c>
    </row>
    <row r="714" spans="1:2" x14ac:dyDescent="0.3">
      <c r="A714" s="77">
        <v>651</v>
      </c>
      <c r="B714" s="67" t="s">
        <v>760</v>
      </c>
    </row>
    <row r="715" spans="1:2" x14ac:dyDescent="0.3">
      <c r="A715" s="77">
        <v>652</v>
      </c>
      <c r="B715" s="67" t="s">
        <v>761</v>
      </c>
    </row>
    <row r="716" spans="1:2" x14ac:dyDescent="0.3">
      <c r="A716" s="77">
        <v>653</v>
      </c>
      <c r="B716" s="67" t="s">
        <v>762</v>
      </c>
    </row>
    <row r="717" spans="1:2" x14ac:dyDescent="0.3">
      <c r="A717" s="77">
        <v>655</v>
      </c>
      <c r="B717" s="67" t="s">
        <v>763</v>
      </c>
    </row>
    <row r="718" spans="1:2" x14ac:dyDescent="0.3">
      <c r="A718" s="77">
        <v>654</v>
      </c>
      <c r="B718" s="67" t="s">
        <v>764</v>
      </c>
    </row>
    <row r="719" spans="1:2" x14ac:dyDescent="0.3">
      <c r="A719" s="77">
        <v>656</v>
      </c>
      <c r="B719" s="67" t="s">
        <v>765</v>
      </c>
    </row>
    <row r="720" spans="1:2" x14ac:dyDescent="0.3">
      <c r="A720" s="77">
        <v>657</v>
      </c>
      <c r="B720" s="67" t="s">
        <v>766</v>
      </c>
    </row>
    <row r="721" spans="1:2" x14ac:dyDescent="0.3">
      <c r="A721" s="77">
        <v>658</v>
      </c>
      <c r="B721" s="67" t="s">
        <v>767</v>
      </c>
    </row>
    <row r="722" spans="1:2" x14ac:dyDescent="0.3">
      <c r="A722" s="77">
        <v>659</v>
      </c>
      <c r="B722" s="67" t="s">
        <v>768</v>
      </c>
    </row>
    <row r="723" spans="1:2" x14ac:dyDescent="0.3">
      <c r="A723" s="77">
        <v>600</v>
      </c>
      <c r="B723" s="67" t="s">
        <v>769</v>
      </c>
    </row>
    <row r="724" spans="1:2" x14ac:dyDescent="0.3">
      <c r="A724" s="77">
        <v>601</v>
      </c>
      <c r="B724" s="67" t="s">
        <v>770</v>
      </c>
    </row>
    <row r="725" spans="1:2" x14ac:dyDescent="0.3">
      <c r="A725" s="77">
        <v>602</v>
      </c>
      <c r="B725" s="67" t="s">
        <v>771</v>
      </c>
    </row>
    <row r="726" spans="1:2" x14ac:dyDescent="0.3">
      <c r="A726" s="77">
        <v>603</v>
      </c>
      <c r="B726" s="67" t="s">
        <v>772</v>
      </c>
    </row>
    <row r="727" spans="1:2" x14ac:dyDescent="0.3">
      <c r="A727" s="77">
        <v>604</v>
      </c>
      <c r="B727" s="67" t="s">
        <v>773</v>
      </c>
    </row>
    <row r="728" spans="1:2" x14ac:dyDescent="0.3">
      <c r="A728" s="77">
        <v>605</v>
      </c>
      <c r="B728" s="67" t="s">
        <v>774</v>
      </c>
    </row>
    <row r="729" spans="1:2" x14ac:dyDescent="0.3">
      <c r="A729" s="77">
        <v>606</v>
      </c>
      <c r="B729" s="67" t="s">
        <v>775</v>
      </c>
    </row>
    <row r="730" spans="1:2" x14ac:dyDescent="0.3">
      <c r="A730" s="77">
        <v>607</v>
      </c>
      <c r="B730" s="67" t="s">
        <v>776</v>
      </c>
    </row>
    <row r="731" spans="1:2" x14ac:dyDescent="0.3">
      <c r="A731" s="77">
        <v>608</v>
      </c>
      <c r="B731" s="67" t="s">
        <v>777</v>
      </c>
    </row>
    <row r="732" spans="1:2" x14ac:dyDescent="0.3">
      <c r="A732" s="77">
        <v>609</v>
      </c>
      <c r="B732" s="67" t="s">
        <v>778</v>
      </c>
    </row>
    <row r="733" spans="1:2" x14ac:dyDescent="0.3">
      <c r="A733" s="77">
        <v>610</v>
      </c>
      <c r="B733" s="67" t="s">
        <v>779</v>
      </c>
    </row>
    <row r="734" spans="1:2" x14ac:dyDescent="0.3">
      <c r="A734" s="77">
        <v>611</v>
      </c>
      <c r="B734" s="67" t="s">
        <v>780</v>
      </c>
    </row>
    <row r="735" spans="1:2" x14ac:dyDescent="0.3">
      <c r="A735" s="77">
        <v>612</v>
      </c>
      <c r="B735" s="67" t="s">
        <v>781</v>
      </c>
    </row>
    <row r="736" spans="1:2" x14ac:dyDescent="0.3">
      <c r="A736" s="77">
        <v>613</v>
      </c>
      <c r="B736" s="67" t="s">
        <v>782</v>
      </c>
    </row>
    <row r="737" spans="1:2" x14ac:dyDescent="0.3">
      <c r="A737" s="77">
        <v>614</v>
      </c>
      <c r="B737" s="67" t="s">
        <v>783</v>
      </c>
    </row>
    <row r="738" spans="1:2" x14ac:dyDescent="0.3">
      <c r="A738" s="77">
        <v>615</v>
      </c>
      <c r="B738" s="67" t="s">
        <v>784</v>
      </c>
    </row>
    <row r="739" spans="1:2" x14ac:dyDescent="0.3">
      <c r="A739" s="77">
        <v>616</v>
      </c>
      <c r="B739" s="67" t="s">
        <v>785</v>
      </c>
    </row>
    <row r="740" spans="1:2" x14ac:dyDescent="0.3">
      <c r="A740" s="77">
        <v>617</v>
      </c>
      <c r="B740" s="67" t="s">
        <v>786</v>
      </c>
    </row>
    <row r="741" spans="1:2" x14ac:dyDescent="0.3">
      <c r="A741" s="77">
        <v>618</v>
      </c>
      <c r="B741" s="67" t="s">
        <v>787</v>
      </c>
    </row>
    <row r="742" spans="1:2" x14ac:dyDescent="0.3">
      <c r="A742" s="77">
        <v>619</v>
      </c>
      <c r="B742" s="67" t="s">
        <v>788</v>
      </c>
    </row>
    <row r="743" spans="1:2" x14ac:dyDescent="0.3">
      <c r="A743" s="77">
        <v>620</v>
      </c>
      <c r="B743" s="67" t="s">
        <v>789</v>
      </c>
    </row>
    <row r="744" spans="1:2" x14ac:dyDescent="0.3">
      <c r="A744" s="77">
        <v>621</v>
      </c>
      <c r="B744" s="67" t="s">
        <v>790</v>
      </c>
    </row>
    <row r="745" spans="1:2" x14ac:dyDescent="0.3">
      <c r="A745" s="77">
        <v>622</v>
      </c>
      <c r="B745" s="67" t="s">
        <v>791</v>
      </c>
    </row>
    <row r="746" spans="1:2" x14ac:dyDescent="0.3">
      <c r="A746" s="77">
        <v>623</v>
      </c>
      <c r="B746" s="67" t="s">
        <v>792</v>
      </c>
    </row>
    <row r="747" spans="1:2" x14ac:dyDescent="0.3">
      <c r="A747" s="77">
        <v>624</v>
      </c>
      <c r="B747" s="67" t="s">
        <v>793</v>
      </c>
    </row>
    <row r="748" spans="1:2" x14ac:dyDescent="0.3">
      <c r="A748" s="77">
        <v>625</v>
      </c>
      <c r="B748" s="67" t="s">
        <v>794</v>
      </c>
    </row>
    <row r="749" spans="1:2" x14ac:dyDescent="0.3">
      <c r="A749" s="77">
        <v>626</v>
      </c>
      <c r="B749" s="67" t="s">
        <v>795</v>
      </c>
    </row>
    <row r="750" spans="1:2" x14ac:dyDescent="0.3">
      <c r="A750" s="77">
        <v>627</v>
      </c>
      <c r="B750" s="67" t="s">
        <v>796</v>
      </c>
    </row>
    <row r="751" spans="1:2" x14ac:dyDescent="0.3">
      <c r="A751" s="78">
        <v>628</v>
      </c>
      <c r="B751" s="74" t="s">
        <v>797</v>
      </c>
    </row>
    <row r="752" spans="1:2" x14ac:dyDescent="0.3">
      <c r="A752" s="78">
        <v>629</v>
      </c>
      <c r="B752" s="74" t="s">
        <v>798</v>
      </c>
    </row>
    <row r="753" spans="1:2" x14ac:dyDescent="0.3">
      <c r="A753" s="77">
        <v>750</v>
      </c>
      <c r="B753" s="67" t="s">
        <v>799</v>
      </c>
    </row>
    <row r="754" spans="1:2" x14ac:dyDescent="0.3">
      <c r="A754" s="77">
        <v>751</v>
      </c>
      <c r="B754" s="67" t="s">
        <v>800</v>
      </c>
    </row>
    <row r="755" spans="1:2" x14ac:dyDescent="0.3">
      <c r="A755" s="77">
        <v>752</v>
      </c>
      <c r="B755" s="67" t="s">
        <v>801</v>
      </c>
    </row>
    <row r="756" spans="1:2" x14ac:dyDescent="0.3">
      <c r="A756" s="77">
        <v>753</v>
      </c>
      <c r="B756" s="67" t="s">
        <v>802</v>
      </c>
    </row>
    <row r="757" spans="1:2" x14ac:dyDescent="0.3">
      <c r="A757" s="77">
        <v>754</v>
      </c>
      <c r="B757" s="67" t="s">
        <v>803</v>
      </c>
    </row>
    <row r="758" spans="1:2" x14ac:dyDescent="0.3">
      <c r="A758" s="77">
        <v>755</v>
      </c>
      <c r="B758" s="67" t="s">
        <v>804</v>
      </c>
    </row>
    <row r="759" spans="1:2" x14ac:dyDescent="0.3">
      <c r="A759" s="77">
        <v>756</v>
      </c>
      <c r="B759" s="67" t="s">
        <v>805</v>
      </c>
    </row>
    <row r="760" spans="1:2" x14ac:dyDescent="0.3">
      <c r="A760" s="77">
        <v>757</v>
      </c>
      <c r="B760" s="67" t="s">
        <v>806</v>
      </c>
    </row>
    <row r="761" spans="1:2" x14ac:dyDescent="0.3">
      <c r="A761" s="77">
        <v>758</v>
      </c>
      <c r="B761" s="67" t="s">
        <v>807</v>
      </c>
    </row>
    <row r="762" spans="1:2" x14ac:dyDescent="0.3">
      <c r="A762" s="77">
        <v>759</v>
      </c>
      <c r="B762" s="67" t="s">
        <v>808</v>
      </c>
    </row>
    <row r="763" spans="1:2" x14ac:dyDescent="0.3">
      <c r="A763" s="77">
        <v>760</v>
      </c>
      <c r="B763" s="67" t="s">
        <v>809</v>
      </c>
    </row>
    <row r="764" spans="1:2" x14ac:dyDescent="0.3">
      <c r="A764" s="77">
        <v>761</v>
      </c>
      <c r="B764" s="67" t="s">
        <v>810</v>
      </c>
    </row>
    <row r="765" spans="1:2" x14ac:dyDescent="0.3">
      <c r="A765" s="77">
        <v>762</v>
      </c>
      <c r="B765" s="67" t="s">
        <v>811</v>
      </c>
    </row>
    <row r="766" spans="1:2" x14ac:dyDescent="0.3">
      <c r="A766" s="77">
        <v>763</v>
      </c>
      <c r="B766" s="67" t="s">
        <v>812</v>
      </c>
    </row>
    <row r="767" spans="1:2" x14ac:dyDescent="0.3">
      <c r="A767" s="77">
        <v>764</v>
      </c>
      <c r="B767" s="67" t="s">
        <v>813</v>
      </c>
    </row>
    <row r="768" spans="1:2" x14ac:dyDescent="0.3">
      <c r="A768" s="77">
        <v>765</v>
      </c>
      <c r="B768" s="67" t="s">
        <v>814</v>
      </c>
    </row>
    <row r="769" spans="1:2" x14ac:dyDescent="0.3">
      <c r="A769" s="77">
        <v>766</v>
      </c>
      <c r="B769" s="67" t="s">
        <v>815</v>
      </c>
    </row>
    <row r="770" spans="1:2" x14ac:dyDescent="0.3">
      <c r="A770" s="77">
        <v>767</v>
      </c>
      <c r="B770" s="67" t="s">
        <v>816</v>
      </c>
    </row>
    <row r="771" spans="1:2" x14ac:dyDescent="0.3">
      <c r="A771" s="77">
        <v>768</v>
      </c>
      <c r="B771" s="67" t="s">
        <v>817</v>
      </c>
    </row>
    <row r="772" spans="1:2" x14ac:dyDescent="0.3">
      <c r="A772" s="77">
        <v>769</v>
      </c>
      <c r="B772" s="67" t="s">
        <v>818</v>
      </c>
    </row>
    <row r="773" spans="1:2" x14ac:dyDescent="0.3">
      <c r="A773" s="77">
        <v>770</v>
      </c>
      <c r="B773" s="67" t="s">
        <v>819</v>
      </c>
    </row>
    <row r="774" spans="1:2" x14ac:dyDescent="0.3">
      <c r="A774" s="77">
        <v>771</v>
      </c>
      <c r="B774" s="67" t="s">
        <v>820</v>
      </c>
    </row>
    <row r="775" spans="1:2" x14ac:dyDescent="0.3">
      <c r="A775" s="77">
        <v>772</v>
      </c>
      <c r="B775" s="67" t="s">
        <v>821</v>
      </c>
    </row>
    <row r="776" spans="1:2" x14ac:dyDescent="0.3">
      <c r="A776" s="77">
        <v>773</v>
      </c>
      <c r="B776" s="67" t="s">
        <v>822</v>
      </c>
    </row>
    <row r="777" spans="1:2" x14ac:dyDescent="0.3">
      <c r="A777" s="77">
        <v>774</v>
      </c>
      <c r="B777" s="67" t="s">
        <v>823</v>
      </c>
    </row>
    <row r="778" spans="1:2" x14ac:dyDescent="0.3">
      <c r="A778" s="77">
        <v>775</v>
      </c>
      <c r="B778" s="67" t="s">
        <v>824</v>
      </c>
    </row>
    <row r="779" spans="1:2" x14ac:dyDescent="0.3">
      <c r="A779" s="77">
        <v>776</v>
      </c>
      <c r="B779" s="67" t="s">
        <v>825</v>
      </c>
    </row>
    <row r="780" spans="1:2" x14ac:dyDescent="0.3">
      <c r="A780" s="77">
        <v>777</v>
      </c>
      <c r="B780" s="67" t="s">
        <v>826</v>
      </c>
    </row>
    <row r="781" spans="1:2" x14ac:dyDescent="0.3">
      <c r="A781" s="77">
        <v>778</v>
      </c>
      <c r="B781" s="67" t="s">
        <v>827</v>
      </c>
    </row>
    <row r="782" spans="1:2" x14ac:dyDescent="0.3">
      <c r="A782" s="77">
        <v>779</v>
      </c>
      <c r="B782" s="67" t="s">
        <v>828</v>
      </c>
    </row>
    <row r="783" spans="1:2" x14ac:dyDescent="0.3">
      <c r="A783">
        <v>1001</v>
      </c>
      <c r="B783" t="s">
        <v>829</v>
      </c>
    </row>
    <row r="784" spans="1:2" x14ac:dyDescent="0.3">
      <c r="A784">
        <v>1002</v>
      </c>
      <c r="B784" t="s">
        <v>830</v>
      </c>
    </row>
    <row r="785" spans="1:2" x14ac:dyDescent="0.3">
      <c r="A785">
        <v>1003</v>
      </c>
      <c r="B785" t="s">
        <v>831</v>
      </c>
    </row>
    <row r="786" spans="1:2" x14ac:dyDescent="0.3">
      <c r="A786">
        <v>1004</v>
      </c>
      <c r="B786" t="s">
        <v>832</v>
      </c>
    </row>
    <row r="787" spans="1:2" x14ac:dyDescent="0.3">
      <c r="A787">
        <v>1005</v>
      </c>
      <c r="B787" t="s">
        <v>833</v>
      </c>
    </row>
    <row r="788" spans="1:2" x14ac:dyDescent="0.3">
      <c r="A788">
        <v>1006</v>
      </c>
      <c r="B788" t="s">
        <v>834</v>
      </c>
    </row>
    <row r="789" spans="1:2" x14ac:dyDescent="0.3">
      <c r="A789">
        <v>1007</v>
      </c>
      <c r="B789" t="s">
        <v>835</v>
      </c>
    </row>
    <row r="790" spans="1:2" x14ac:dyDescent="0.3">
      <c r="A790">
        <v>1008</v>
      </c>
      <c r="B790" t="s">
        <v>836</v>
      </c>
    </row>
    <row r="791" spans="1:2" x14ac:dyDescent="0.3">
      <c r="A791">
        <v>1009</v>
      </c>
      <c r="B791" t="s">
        <v>837</v>
      </c>
    </row>
    <row r="792" spans="1:2" x14ac:dyDescent="0.3">
      <c r="A792">
        <v>1010</v>
      </c>
      <c r="B792" t="s">
        <v>838</v>
      </c>
    </row>
    <row r="793" spans="1:2" x14ac:dyDescent="0.3">
      <c r="A793">
        <v>1011</v>
      </c>
      <c r="B793" t="s">
        <v>839</v>
      </c>
    </row>
    <row r="794" spans="1:2" x14ac:dyDescent="0.3">
      <c r="A794">
        <v>1012</v>
      </c>
      <c r="B794" t="s">
        <v>840</v>
      </c>
    </row>
    <row r="795" spans="1:2" x14ac:dyDescent="0.3">
      <c r="A795">
        <v>1013</v>
      </c>
      <c r="B795" t="s">
        <v>841</v>
      </c>
    </row>
    <row r="796" spans="1:2" x14ac:dyDescent="0.3">
      <c r="A796">
        <v>1014</v>
      </c>
      <c r="B796" t="s">
        <v>842</v>
      </c>
    </row>
    <row r="797" spans="1:2" x14ac:dyDescent="0.3">
      <c r="A797">
        <v>1015</v>
      </c>
      <c r="B797" t="s">
        <v>843</v>
      </c>
    </row>
    <row r="798" spans="1:2" x14ac:dyDescent="0.3">
      <c r="A798">
        <v>1016</v>
      </c>
      <c r="B798" t="s">
        <v>844</v>
      </c>
    </row>
    <row r="799" spans="1:2" x14ac:dyDescent="0.3">
      <c r="A799">
        <v>1017</v>
      </c>
      <c r="B799" t="s">
        <v>845</v>
      </c>
    </row>
    <row r="800" spans="1:2" x14ac:dyDescent="0.3">
      <c r="A800">
        <v>1018</v>
      </c>
      <c r="B800" t="s">
        <v>846</v>
      </c>
    </row>
    <row r="801" spans="1:2" x14ac:dyDescent="0.3">
      <c r="A801">
        <v>1019</v>
      </c>
      <c r="B801" t="s">
        <v>847</v>
      </c>
    </row>
    <row r="802" spans="1:2" x14ac:dyDescent="0.3">
      <c r="A802">
        <v>1020</v>
      </c>
      <c r="B802" t="s">
        <v>848</v>
      </c>
    </row>
    <row r="803" spans="1:2" x14ac:dyDescent="0.3">
      <c r="A803">
        <v>1021</v>
      </c>
      <c r="B803" t="s">
        <v>849</v>
      </c>
    </row>
    <row r="804" spans="1:2" x14ac:dyDescent="0.3">
      <c r="A804">
        <v>1022</v>
      </c>
      <c r="B804" t="s">
        <v>850</v>
      </c>
    </row>
    <row r="805" spans="1:2" x14ac:dyDescent="0.3">
      <c r="A805">
        <v>1023</v>
      </c>
      <c r="B805" t="s">
        <v>851</v>
      </c>
    </row>
    <row r="806" spans="1:2" x14ac:dyDescent="0.3">
      <c r="A806">
        <v>1024</v>
      </c>
      <c r="B806" t="s">
        <v>852</v>
      </c>
    </row>
    <row r="807" spans="1:2" x14ac:dyDescent="0.3">
      <c r="A807">
        <v>1025</v>
      </c>
      <c r="B807" t="s">
        <v>853</v>
      </c>
    </row>
    <row r="808" spans="1:2" x14ac:dyDescent="0.3">
      <c r="A808">
        <v>1026</v>
      </c>
      <c r="B808" t="s">
        <v>854</v>
      </c>
    </row>
    <row r="809" spans="1:2" x14ac:dyDescent="0.3">
      <c r="A809">
        <v>1027</v>
      </c>
      <c r="B809" t="s">
        <v>855</v>
      </c>
    </row>
    <row r="810" spans="1:2" x14ac:dyDescent="0.3">
      <c r="A810">
        <v>1028</v>
      </c>
      <c r="B810" t="s">
        <v>856</v>
      </c>
    </row>
    <row r="811" spans="1:2" x14ac:dyDescent="0.3">
      <c r="A811">
        <v>1029</v>
      </c>
      <c r="B811" t="s">
        <v>857</v>
      </c>
    </row>
    <row r="812" spans="1:2" x14ac:dyDescent="0.3">
      <c r="A812">
        <v>1030</v>
      </c>
      <c r="B812" t="s">
        <v>858</v>
      </c>
    </row>
    <row r="813" spans="1:2" x14ac:dyDescent="0.3">
      <c r="A813">
        <v>1031</v>
      </c>
      <c r="B813" t="s">
        <v>859</v>
      </c>
    </row>
    <row r="814" spans="1:2" x14ac:dyDescent="0.3">
      <c r="A814">
        <v>1032</v>
      </c>
      <c r="B814" t="s">
        <v>860</v>
      </c>
    </row>
    <row r="815" spans="1:2" x14ac:dyDescent="0.3">
      <c r="A815">
        <v>1033</v>
      </c>
      <c r="B815" t="s">
        <v>861</v>
      </c>
    </row>
    <row r="816" spans="1:2" x14ac:dyDescent="0.3">
      <c r="A816">
        <v>1034</v>
      </c>
      <c r="B816" t="s">
        <v>862</v>
      </c>
    </row>
    <row r="817" spans="1:2" x14ac:dyDescent="0.3">
      <c r="A817">
        <v>1035</v>
      </c>
      <c r="B817" t="s">
        <v>863</v>
      </c>
    </row>
    <row r="818" spans="1:2" x14ac:dyDescent="0.3">
      <c r="A818">
        <v>1036</v>
      </c>
      <c r="B818" t="s">
        <v>864</v>
      </c>
    </row>
    <row r="819" spans="1:2" x14ac:dyDescent="0.3">
      <c r="A819">
        <v>1037</v>
      </c>
      <c r="B819" t="s">
        <v>865</v>
      </c>
    </row>
    <row r="820" spans="1:2" x14ac:dyDescent="0.3">
      <c r="A820">
        <v>1038</v>
      </c>
      <c r="B820" t="s">
        <v>866</v>
      </c>
    </row>
    <row r="821" spans="1:2" x14ac:dyDescent="0.3">
      <c r="A821">
        <v>1039</v>
      </c>
      <c r="B821" t="s">
        <v>867</v>
      </c>
    </row>
    <row r="822" spans="1:2" x14ac:dyDescent="0.3">
      <c r="A822">
        <v>1040</v>
      </c>
      <c r="B822" t="s">
        <v>868</v>
      </c>
    </row>
    <row r="823" spans="1:2" x14ac:dyDescent="0.3">
      <c r="A823">
        <v>1041</v>
      </c>
      <c r="B823" t="s">
        <v>869</v>
      </c>
    </row>
    <row r="824" spans="1:2" x14ac:dyDescent="0.3">
      <c r="A824">
        <v>1042</v>
      </c>
      <c r="B824" t="s">
        <v>870</v>
      </c>
    </row>
    <row r="825" spans="1:2" x14ac:dyDescent="0.3">
      <c r="A825">
        <v>1043</v>
      </c>
      <c r="B825" t="s">
        <v>871</v>
      </c>
    </row>
    <row r="826" spans="1:2" x14ac:dyDescent="0.3">
      <c r="A826">
        <v>1044</v>
      </c>
      <c r="B826" t="s">
        <v>872</v>
      </c>
    </row>
    <row r="827" spans="1:2" x14ac:dyDescent="0.3">
      <c r="A827">
        <v>1045</v>
      </c>
      <c r="B827" t="s">
        <v>873</v>
      </c>
    </row>
    <row r="828" spans="1:2" x14ac:dyDescent="0.3">
      <c r="A828">
        <v>1046</v>
      </c>
      <c r="B828" t="s">
        <v>874</v>
      </c>
    </row>
    <row r="829" spans="1:2" x14ac:dyDescent="0.3">
      <c r="A829">
        <v>1047</v>
      </c>
      <c r="B829" t="s">
        <v>875</v>
      </c>
    </row>
    <row r="830" spans="1:2" x14ac:dyDescent="0.3">
      <c r="A830">
        <v>1048</v>
      </c>
      <c r="B830" t="s">
        <v>876</v>
      </c>
    </row>
    <row r="831" spans="1:2" x14ac:dyDescent="0.3">
      <c r="A831">
        <v>1049</v>
      </c>
      <c r="B831" t="s">
        <v>877</v>
      </c>
    </row>
    <row r="832" spans="1:2" x14ac:dyDescent="0.3">
      <c r="A832">
        <v>1050</v>
      </c>
      <c r="B832" t="s">
        <v>878</v>
      </c>
    </row>
    <row r="833" spans="1:2" x14ac:dyDescent="0.3">
      <c r="A833">
        <v>1051</v>
      </c>
      <c r="B833" t="s">
        <v>879</v>
      </c>
    </row>
    <row r="834" spans="1:2" x14ac:dyDescent="0.3">
      <c r="A834">
        <v>1052</v>
      </c>
      <c r="B834" t="s">
        <v>880</v>
      </c>
    </row>
    <row r="835" spans="1:2" x14ac:dyDescent="0.3">
      <c r="A835">
        <v>1053</v>
      </c>
      <c r="B835" t="s">
        <v>881</v>
      </c>
    </row>
    <row r="836" spans="1:2" x14ac:dyDescent="0.3">
      <c r="A836">
        <v>1054</v>
      </c>
      <c r="B836" t="s">
        <v>882</v>
      </c>
    </row>
    <row r="837" spans="1:2" x14ac:dyDescent="0.3">
      <c r="A837">
        <v>1055</v>
      </c>
      <c r="B837" t="s">
        <v>883</v>
      </c>
    </row>
    <row r="838" spans="1:2" x14ac:dyDescent="0.3">
      <c r="A838">
        <v>1056</v>
      </c>
      <c r="B838" t="s">
        <v>884</v>
      </c>
    </row>
    <row r="839" spans="1:2" x14ac:dyDescent="0.3">
      <c r="A839">
        <v>1057</v>
      </c>
      <c r="B839" t="s">
        <v>885</v>
      </c>
    </row>
    <row r="840" spans="1:2" x14ac:dyDescent="0.3">
      <c r="A840">
        <v>1058</v>
      </c>
      <c r="B840" t="s">
        <v>886</v>
      </c>
    </row>
    <row r="841" spans="1:2" x14ac:dyDescent="0.3">
      <c r="A841">
        <v>1059</v>
      </c>
      <c r="B841" t="s">
        <v>887</v>
      </c>
    </row>
    <row r="842" spans="1:2" x14ac:dyDescent="0.3">
      <c r="A842">
        <v>1060</v>
      </c>
      <c r="B842" t="s">
        <v>888</v>
      </c>
    </row>
    <row r="843" spans="1:2" x14ac:dyDescent="0.3">
      <c r="A843">
        <v>1061</v>
      </c>
      <c r="B843" t="s">
        <v>889</v>
      </c>
    </row>
    <row r="844" spans="1:2" x14ac:dyDescent="0.3">
      <c r="A844">
        <v>1062</v>
      </c>
      <c r="B844" t="s">
        <v>890</v>
      </c>
    </row>
    <row r="845" spans="1:2" x14ac:dyDescent="0.3">
      <c r="A845">
        <v>1063</v>
      </c>
      <c r="B845" t="s">
        <v>891</v>
      </c>
    </row>
    <row r="846" spans="1:2" x14ac:dyDescent="0.3">
      <c r="A846">
        <v>1064</v>
      </c>
      <c r="B846" t="s">
        <v>892</v>
      </c>
    </row>
    <row r="847" spans="1:2" x14ac:dyDescent="0.3">
      <c r="A847">
        <v>1065</v>
      </c>
      <c r="B847" t="s">
        <v>893</v>
      </c>
    </row>
    <row r="848" spans="1:2" x14ac:dyDescent="0.3">
      <c r="A848">
        <v>1066</v>
      </c>
      <c r="B848" t="s">
        <v>894</v>
      </c>
    </row>
    <row r="849" spans="1:2" x14ac:dyDescent="0.3">
      <c r="A849">
        <v>1067</v>
      </c>
      <c r="B849" t="s">
        <v>895</v>
      </c>
    </row>
    <row r="850" spans="1:2" x14ac:dyDescent="0.3">
      <c r="A850">
        <v>1068</v>
      </c>
      <c r="B850" t="s">
        <v>896</v>
      </c>
    </row>
    <row r="851" spans="1:2" x14ac:dyDescent="0.3">
      <c r="A851">
        <v>1069</v>
      </c>
      <c r="B851" t="s">
        <v>897</v>
      </c>
    </row>
    <row r="852" spans="1:2" x14ac:dyDescent="0.3">
      <c r="A852">
        <v>1070</v>
      </c>
      <c r="B852" t="s">
        <v>898</v>
      </c>
    </row>
    <row r="853" spans="1:2" x14ac:dyDescent="0.3">
      <c r="A853">
        <v>1071</v>
      </c>
      <c r="B853" t="s">
        <v>899</v>
      </c>
    </row>
    <row r="854" spans="1:2" x14ac:dyDescent="0.3">
      <c r="A854">
        <v>1072</v>
      </c>
      <c r="B854" t="s">
        <v>900</v>
      </c>
    </row>
    <row r="855" spans="1:2" x14ac:dyDescent="0.3">
      <c r="A855">
        <v>1073</v>
      </c>
      <c r="B855" t="s">
        <v>901</v>
      </c>
    </row>
    <row r="856" spans="1:2" x14ac:dyDescent="0.3">
      <c r="A856">
        <v>1074</v>
      </c>
      <c r="B856" t="s">
        <v>902</v>
      </c>
    </row>
    <row r="857" spans="1:2" x14ac:dyDescent="0.3">
      <c r="A857">
        <v>1075</v>
      </c>
      <c r="B857" t="s">
        <v>903</v>
      </c>
    </row>
    <row r="858" spans="1:2" x14ac:dyDescent="0.3">
      <c r="A858">
        <v>1076</v>
      </c>
      <c r="B858" t="s">
        <v>904</v>
      </c>
    </row>
    <row r="859" spans="1:2" x14ac:dyDescent="0.3">
      <c r="A859">
        <v>1077</v>
      </c>
      <c r="B859" t="s">
        <v>905</v>
      </c>
    </row>
    <row r="860" spans="1:2" x14ac:dyDescent="0.3">
      <c r="A860">
        <v>1078</v>
      </c>
      <c r="B860" t="s">
        <v>906</v>
      </c>
    </row>
    <row r="861" spans="1:2" x14ac:dyDescent="0.3">
      <c r="A861">
        <v>1079</v>
      </c>
      <c r="B861" t="s">
        <v>907</v>
      </c>
    </row>
    <row r="862" spans="1:2" x14ac:dyDescent="0.3">
      <c r="A862">
        <v>1080</v>
      </c>
      <c r="B862" t="s">
        <v>908</v>
      </c>
    </row>
    <row r="863" spans="1:2" x14ac:dyDescent="0.3">
      <c r="A863">
        <v>1081</v>
      </c>
      <c r="B863" t="s">
        <v>909</v>
      </c>
    </row>
    <row r="864" spans="1:2" x14ac:dyDescent="0.3">
      <c r="A864">
        <v>1082</v>
      </c>
      <c r="B864" t="s">
        <v>910</v>
      </c>
    </row>
    <row r="865" spans="1:2" x14ac:dyDescent="0.3">
      <c r="A865">
        <v>1083</v>
      </c>
      <c r="B865" t="s">
        <v>911</v>
      </c>
    </row>
    <row r="866" spans="1:2" x14ac:dyDescent="0.3">
      <c r="A866">
        <v>1084</v>
      </c>
      <c r="B866" t="s">
        <v>912</v>
      </c>
    </row>
    <row r="867" spans="1:2" x14ac:dyDescent="0.3">
      <c r="A867">
        <v>1085</v>
      </c>
      <c r="B867" t="s">
        <v>913</v>
      </c>
    </row>
    <row r="868" spans="1:2" x14ac:dyDescent="0.3">
      <c r="A868">
        <v>1086</v>
      </c>
      <c r="B868" t="s">
        <v>914</v>
      </c>
    </row>
    <row r="869" spans="1:2" x14ac:dyDescent="0.3">
      <c r="A869">
        <v>1087</v>
      </c>
      <c r="B869" t="s">
        <v>915</v>
      </c>
    </row>
    <row r="870" spans="1:2" x14ac:dyDescent="0.3">
      <c r="A870">
        <v>1088</v>
      </c>
      <c r="B870" t="s">
        <v>916</v>
      </c>
    </row>
    <row r="871" spans="1:2" x14ac:dyDescent="0.3">
      <c r="A871">
        <v>1089</v>
      </c>
      <c r="B871" t="s">
        <v>917</v>
      </c>
    </row>
    <row r="872" spans="1:2" x14ac:dyDescent="0.3">
      <c r="A872">
        <v>1090</v>
      </c>
      <c r="B872" t="s">
        <v>918</v>
      </c>
    </row>
  </sheetData>
  <conditionalFormatting sqref="C1:E1 E2:E571">
    <cfRule type="cellIs" dxfId="1" priority="2" operator="lessThan">
      <formula>0</formula>
    </cfRule>
  </conditionalFormatting>
  <conditionalFormatting sqref="D2:D57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6FDF-25A2-4BFA-AB71-6F108E90F1F2}">
  <dimension ref="A1:G11"/>
  <sheetViews>
    <sheetView workbookViewId="0">
      <selection activeCell="G16" sqref="G16"/>
    </sheetView>
  </sheetViews>
  <sheetFormatPr baseColWidth="10" defaultColWidth="11.44140625" defaultRowHeight="14.4" x14ac:dyDescent="0.3"/>
  <sheetData>
    <row r="1" spans="1:7" x14ac:dyDescent="0.3">
      <c r="A1" t="s">
        <v>29</v>
      </c>
    </row>
    <row r="2" spans="1:7" x14ac:dyDescent="0.3">
      <c r="A2" t="s">
        <v>31</v>
      </c>
    </row>
    <row r="3" spans="1:7" x14ac:dyDescent="0.3">
      <c r="A3" t="s">
        <v>30</v>
      </c>
    </row>
    <row r="5" spans="1:7" x14ac:dyDescent="0.3">
      <c r="A5" s="119">
        <v>977</v>
      </c>
      <c r="B5" s="119"/>
      <c r="C5" s="119">
        <v>988</v>
      </c>
      <c r="D5" s="119"/>
    </row>
    <row r="6" spans="1:7" x14ac:dyDescent="0.3">
      <c r="A6">
        <v>0.219</v>
      </c>
      <c r="B6">
        <v>0.222</v>
      </c>
      <c r="C6">
        <v>5.0999999999999997E-2</v>
      </c>
      <c r="D6">
        <v>5.5E-2</v>
      </c>
    </row>
    <row r="7" spans="1:7" x14ac:dyDescent="0.3">
      <c r="A7">
        <v>0.215</v>
      </c>
      <c r="B7">
        <v>0.214</v>
      </c>
      <c r="C7">
        <v>4.8000000000000001E-2</v>
      </c>
      <c r="D7">
        <v>4.7E-2</v>
      </c>
    </row>
    <row r="8" spans="1:7" x14ac:dyDescent="0.3">
      <c r="A8">
        <v>0.215</v>
      </c>
      <c r="B8">
        <v>0.215</v>
      </c>
      <c r="C8">
        <v>4.7E-2</v>
      </c>
      <c r="D8">
        <v>4.7E-2</v>
      </c>
      <c r="F8" t="s">
        <v>32</v>
      </c>
      <c r="G8">
        <f>(B11-D11)/0.18</f>
        <v>0.93055555555555569</v>
      </c>
    </row>
    <row r="11" spans="1:7" x14ac:dyDescent="0.3">
      <c r="B11">
        <f>AVERAGE(A6:B8)</f>
        <v>0.21666666666666667</v>
      </c>
      <c r="D11">
        <f>AVERAGE(C6:D8)</f>
        <v>4.9166666666666664E-2</v>
      </c>
    </row>
  </sheetData>
  <mergeCells count="2">
    <mergeCell ref="A5:B5"/>
    <mergeCell ref="C5:D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CE5A-4DC0-4DF7-8CD9-F650D0BECF6A}">
  <dimension ref="A1:F51"/>
  <sheetViews>
    <sheetView topLeftCell="A11" workbookViewId="0">
      <selection activeCell="E2" sqref="E2"/>
    </sheetView>
  </sheetViews>
  <sheetFormatPr baseColWidth="10" defaultColWidth="8.88671875" defaultRowHeight="14.4" x14ac:dyDescent="0.3"/>
  <sheetData>
    <row r="1" spans="1:6" ht="40.799999999999997" thickBot="1" x14ac:dyDescent="0.35">
      <c r="A1" s="84" t="s">
        <v>937</v>
      </c>
      <c r="B1" s="84" t="s">
        <v>938</v>
      </c>
      <c r="E1" s="84" t="s">
        <v>955</v>
      </c>
      <c r="F1" s="84" t="s">
        <v>946</v>
      </c>
    </row>
    <row r="2" spans="1:6" ht="15" thickBot="1" x14ac:dyDescent="0.35">
      <c r="A2" s="85">
        <v>1089</v>
      </c>
      <c r="B2" s="85">
        <v>11.6427</v>
      </c>
      <c r="E2" s="85">
        <v>176</v>
      </c>
      <c r="F2" s="85">
        <v>11.5654</v>
      </c>
    </row>
    <row r="3" spans="1:6" ht="15" thickBot="1" x14ac:dyDescent="0.35">
      <c r="A3" s="85">
        <v>1047</v>
      </c>
      <c r="B3" s="85">
        <v>11.701700000000001</v>
      </c>
      <c r="E3" s="85">
        <v>1018</v>
      </c>
      <c r="F3" s="85">
        <v>11.511799999999999</v>
      </c>
    </row>
    <row r="4" spans="1:6" ht="15" thickBot="1" x14ac:dyDescent="0.35">
      <c r="A4" s="85">
        <v>3</v>
      </c>
      <c r="B4" s="85">
        <v>11.4857</v>
      </c>
      <c r="E4" s="85">
        <v>84</v>
      </c>
      <c r="F4" s="85">
        <v>11.526999999999999</v>
      </c>
    </row>
    <row r="5" spans="1:6" ht="15" thickBot="1" x14ac:dyDescent="0.35">
      <c r="A5" s="85">
        <v>127</v>
      </c>
      <c r="B5" s="85">
        <v>11.5617</v>
      </c>
      <c r="E5" s="85">
        <v>326</v>
      </c>
      <c r="F5" s="85">
        <v>11.460599999999999</v>
      </c>
    </row>
    <row r="6" spans="1:6" ht="15" thickBot="1" x14ac:dyDescent="0.35">
      <c r="A6" s="85">
        <v>170</v>
      </c>
      <c r="B6" s="85">
        <v>11.4831</v>
      </c>
      <c r="E6" s="85">
        <v>324</v>
      </c>
      <c r="F6" s="85">
        <v>11.608000000000001</v>
      </c>
    </row>
    <row r="7" spans="1:6" ht="15" thickBot="1" x14ac:dyDescent="0.35">
      <c r="A7" s="85">
        <v>120</v>
      </c>
      <c r="B7" s="85">
        <v>11.583299999999999</v>
      </c>
      <c r="E7" s="85">
        <v>146</v>
      </c>
      <c r="F7" s="85">
        <v>11.556800000000001</v>
      </c>
    </row>
    <row r="8" spans="1:6" ht="15" thickBot="1" x14ac:dyDescent="0.35">
      <c r="A8" s="85">
        <v>118</v>
      </c>
      <c r="B8" s="85">
        <v>11.515700000000001</v>
      </c>
      <c r="E8" s="85">
        <v>120</v>
      </c>
      <c r="F8" s="85">
        <v>11.540900000000001</v>
      </c>
    </row>
    <row r="9" spans="1:6" ht="15" thickBot="1" x14ac:dyDescent="0.35">
      <c r="A9" s="85">
        <v>157</v>
      </c>
      <c r="B9" s="85">
        <v>11.6686</v>
      </c>
      <c r="E9" s="85">
        <v>127</v>
      </c>
      <c r="F9" s="85">
        <v>11.5242</v>
      </c>
    </row>
    <row r="10" spans="1:6" ht="15" thickBot="1" x14ac:dyDescent="0.35">
      <c r="A10" s="85">
        <v>385</v>
      </c>
      <c r="B10" s="85">
        <v>11.5237</v>
      </c>
      <c r="E10" s="85">
        <v>344</v>
      </c>
      <c r="F10" s="85">
        <v>11.622299999999999</v>
      </c>
    </row>
    <row r="11" spans="1:6" ht="15" thickBot="1" x14ac:dyDescent="0.35">
      <c r="A11" s="85">
        <v>409</v>
      </c>
      <c r="B11" s="85">
        <v>11.6091</v>
      </c>
      <c r="E11" s="85">
        <v>385</v>
      </c>
      <c r="F11" s="85">
        <v>11.4893</v>
      </c>
    </row>
    <row r="12" spans="1:6" ht="15" thickBot="1" x14ac:dyDescent="0.35">
      <c r="A12" s="85">
        <v>1039</v>
      </c>
      <c r="B12" s="85">
        <v>11.5274</v>
      </c>
      <c r="E12" s="85">
        <v>1032</v>
      </c>
      <c r="F12" s="85">
        <v>11.6089</v>
      </c>
    </row>
    <row r="13" spans="1:6" ht="15" thickBot="1" x14ac:dyDescent="0.35">
      <c r="A13" s="85">
        <v>1007</v>
      </c>
      <c r="B13" s="85">
        <v>11.6723</v>
      </c>
      <c r="E13" s="85">
        <v>382</v>
      </c>
      <c r="F13" s="85">
        <v>11.605399999999999</v>
      </c>
    </row>
    <row r="14" spans="1:6" ht="15" thickBot="1" x14ac:dyDescent="0.35">
      <c r="A14" s="85">
        <v>149</v>
      </c>
      <c r="B14" s="85">
        <v>11.842599999999999</v>
      </c>
      <c r="E14" s="85">
        <v>1027</v>
      </c>
      <c r="F14" s="85">
        <v>11.5128</v>
      </c>
    </row>
    <row r="15" spans="1:6" ht="15" thickBot="1" x14ac:dyDescent="0.35">
      <c r="A15" s="85">
        <v>355</v>
      </c>
      <c r="B15" s="85">
        <v>11.7195</v>
      </c>
      <c r="E15" s="85">
        <v>373</v>
      </c>
      <c r="F15" s="85">
        <v>11.6334</v>
      </c>
    </row>
    <row r="16" spans="1:6" ht="15" thickBot="1" x14ac:dyDescent="0.35">
      <c r="A16" s="85">
        <v>1025</v>
      </c>
      <c r="B16" s="85">
        <v>11.654199999999999</v>
      </c>
      <c r="E16" s="85">
        <v>396</v>
      </c>
      <c r="F16" s="85">
        <v>11.5792</v>
      </c>
    </row>
    <row r="17" spans="1:6" ht="15" thickBot="1" x14ac:dyDescent="0.35">
      <c r="A17" s="85">
        <v>7</v>
      </c>
      <c r="B17" s="85">
        <v>11.559699999999999</v>
      </c>
      <c r="E17" s="85">
        <v>150</v>
      </c>
      <c r="F17" s="85">
        <v>11.6914</v>
      </c>
    </row>
    <row r="18" spans="1:6" ht="15" thickBot="1" x14ac:dyDescent="0.35">
      <c r="A18" s="85">
        <v>1018</v>
      </c>
      <c r="B18" s="85">
        <v>11.5488</v>
      </c>
      <c r="E18" s="85">
        <v>361</v>
      </c>
      <c r="F18" s="85">
        <v>11.5768</v>
      </c>
    </row>
    <row r="19" spans="1:6" ht="15" thickBot="1" x14ac:dyDescent="0.35">
      <c r="A19" s="85">
        <v>1048</v>
      </c>
      <c r="B19" s="85">
        <v>11.601699999999999</v>
      </c>
      <c r="E19" s="85">
        <v>1063</v>
      </c>
      <c r="F19" s="85">
        <v>11.6638</v>
      </c>
    </row>
    <row r="20" spans="1:6" ht="15" thickBot="1" x14ac:dyDescent="0.35">
      <c r="A20" s="85">
        <v>84</v>
      </c>
      <c r="B20" s="85">
        <v>11.5724</v>
      </c>
      <c r="E20" s="85">
        <v>708</v>
      </c>
      <c r="F20" s="85">
        <v>11.578200000000001</v>
      </c>
    </row>
    <row r="21" spans="1:6" ht="15" thickBot="1" x14ac:dyDescent="0.35">
      <c r="A21" s="85">
        <v>331</v>
      </c>
      <c r="B21" s="85">
        <v>11.600300000000001</v>
      </c>
      <c r="E21" s="85">
        <v>189</v>
      </c>
      <c r="F21" s="85">
        <v>11.618499999999999</v>
      </c>
    </row>
    <row r="22" spans="1:6" ht="15" thickBot="1" x14ac:dyDescent="0.35">
      <c r="A22" s="85">
        <v>142</v>
      </c>
      <c r="B22" s="85">
        <v>11.5465</v>
      </c>
      <c r="E22" s="85">
        <v>1070</v>
      </c>
      <c r="F22" s="85">
        <v>11.654500000000001</v>
      </c>
    </row>
    <row r="23" spans="1:6" ht="15" thickBot="1" x14ac:dyDescent="0.35">
      <c r="A23" s="85">
        <v>368</v>
      </c>
      <c r="B23" s="85">
        <v>11.5913</v>
      </c>
      <c r="E23" s="85">
        <v>368</v>
      </c>
      <c r="F23" s="85">
        <v>11.556100000000001</v>
      </c>
    </row>
    <row r="24" spans="1:6" ht="15" thickBot="1" x14ac:dyDescent="0.35">
      <c r="A24" s="85">
        <v>373</v>
      </c>
      <c r="B24" s="85">
        <v>11.677099999999999</v>
      </c>
      <c r="E24" s="85">
        <v>1072</v>
      </c>
      <c r="F24" s="85">
        <v>11.5024</v>
      </c>
    </row>
    <row r="25" spans="1:6" ht="15" thickBot="1" x14ac:dyDescent="0.35">
      <c r="A25" s="85">
        <v>1070</v>
      </c>
      <c r="B25" s="85">
        <v>11.7095</v>
      </c>
      <c r="E25" s="85">
        <v>125</v>
      </c>
      <c r="F25" s="85">
        <v>11.620799999999999</v>
      </c>
    </row>
    <row r="26" spans="1:6" ht="15" thickBot="1" x14ac:dyDescent="0.35">
      <c r="A26" s="85">
        <v>1032</v>
      </c>
      <c r="B26" s="85">
        <v>11.6571</v>
      </c>
      <c r="E26" s="85">
        <v>118</v>
      </c>
      <c r="F26" s="85">
        <v>11.478</v>
      </c>
    </row>
    <row r="27" spans="1:6" ht="15" thickBot="1" x14ac:dyDescent="0.35">
      <c r="A27" s="85">
        <v>1072</v>
      </c>
      <c r="B27" s="85">
        <v>11.547700000000001</v>
      </c>
      <c r="E27" s="85">
        <v>149</v>
      </c>
      <c r="F27" s="85">
        <v>11.7691</v>
      </c>
    </row>
    <row r="28" spans="1:6" ht="15" thickBot="1" x14ac:dyDescent="0.35">
      <c r="A28" s="85">
        <v>1086</v>
      </c>
      <c r="B28" s="85">
        <v>11.8286</v>
      </c>
      <c r="E28" s="85">
        <v>1025</v>
      </c>
      <c r="F28" s="85">
        <v>11.6068</v>
      </c>
    </row>
    <row r="29" spans="1:6" ht="15" thickBot="1" x14ac:dyDescent="0.35">
      <c r="A29" s="85">
        <v>189</v>
      </c>
      <c r="B29" s="85">
        <v>11.6784</v>
      </c>
      <c r="E29" s="85">
        <v>355</v>
      </c>
      <c r="F29" s="85">
        <v>11.614800000000001</v>
      </c>
    </row>
    <row r="30" spans="1:6" ht="15" thickBot="1" x14ac:dyDescent="0.35">
      <c r="A30" s="85">
        <v>708</v>
      </c>
      <c r="B30" s="85">
        <v>11.6188</v>
      </c>
      <c r="E30" s="85">
        <v>409</v>
      </c>
      <c r="F30" s="85">
        <v>11.563499999999999</v>
      </c>
    </row>
    <row r="31" spans="1:6" ht="15" thickBot="1" x14ac:dyDescent="0.35">
      <c r="A31" s="85">
        <v>146</v>
      </c>
      <c r="B31" s="85">
        <v>11.605399999999999</v>
      </c>
      <c r="E31" s="85">
        <v>142</v>
      </c>
      <c r="F31" s="85">
        <v>11.5116</v>
      </c>
    </row>
    <row r="32" spans="1:6" ht="15" thickBot="1" x14ac:dyDescent="0.35">
      <c r="A32" s="85">
        <v>1055</v>
      </c>
      <c r="B32" s="85">
        <v>11.6044</v>
      </c>
      <c r="E32" s="85">
        <v>7</v>
      </c>
      <c r="F32" s="85">
        <v>11.5268</v>
      </c>
    </row>
    <row r="33" spans="1:6" ht="15" thickBot="1" x14ac:dyDescent="0.35">
      <c r="A33" s="85">
        <v>125</v>
      </c>
      <c r="B33" s="85">
        <v>11.6709</v>
      </c>
      <c r="E33" s="85">
        <v>170</v>
      </c>
      <c r="F33" s="85">
        <v>11.4505</v>
      </c>
    </row>
    <row r="34" spans="1:6" ht="15" thickBot="1" x14ac:dyDescent="0.35">
      <c r="A34" s="85">
        <v>1023</v>
      </c>
      <c r="B34" s="85">
        <v>11.632400000000001</v>
      </c>
      <c r="E34" s="85">
        <v>1047</v>
      </c>
      <c r="F34" s="85">
        <v>11.5905</v>
      </c>
    </row>
    <row r="35" spans="1:6" ht="15" thickBot="1" x14ac:dyDescent="0.35">
      <c r="A35" s="85">
        <v>1027</v>
      </c>
      <c r="B35" s="85">
        <v>11.5526</v>
      </c>
      <c r="E35" s="85">
        <v>331</v>
      </c>
      <c r="F35" s="85">
        <v>11.566599999999999</v>
      </c>
    </row>
    <row r="36" spans="1:6" ht="15" thickBot="1" x14ac:dyDescent="0.35">
      <c r="A36" s="85">
        <v>150</v>
      </c>
      <c r="B36" s="85">
        <v>11.7865</v>
      </c>
      <c r="E36" s="85">
        <v>40</v>
      </c>
      <c r="F36" s="85">
        <v>11.6922</v>
      </c>
    </row>
    <row r="37" spans="1:6" ht="15" thickBot="1" x14ac:dyDescent="0.35">
      <c r="A37" s="85">
        <v>382</v>
      </c>
      <c r="B37" s="85">
        <v>11.6701</v>
      </c>
      <c r="E37" s="85">
        <v>3</v>
      </c>
      <c r="F37" s="85">
        <v>11.454700000000001</v>
      </c>
    </row>
    <row r="38" spans="1:6" ht="15" thickBot="1" x14ac:dyDescent="0.35">
      <c r="A38" s="85">
        <v>75</v>
      </c>
      <c r="B38" s="85">
        <v>11.622</v>
      </c>
      <c r="E38" s="85">
        <v>1039</v>
      </c>
      <c r="F38" s="85">
        <v>11.488799999999999</v>
      </c>
    </row>
    <row r="39" spans="1:6" ht="15" thickBot="1" x14ac:dyDescent="0.35">
      <c r="A39" s="85">
        <v>361</v>
      </c>
      <c r="B39" s="85">
        <v>11.614100000000001</v>
      </c>
      <c r="E39" s="85">
        <v>171</v>
      </c>
      <c r="F39" s="85">
        <v>11.6533</v>
      </c>
    </row>
    <row r="40" spans="1:6" ht="15" thickBot="1" x14ac:dyDescent="0.35">
      <c r="A40" s="85">
        <v>362</v>
      </c>
      <c r="B40" s="85">
        <v>11.5474</v>
      </c>
      <c r="E40" s="85">
        <v>1019</v>
      </c>
      <c r="F40" s="85">
        <v>11.757999999999999</v>
      </c>
    </row>
    <row r="41" spans="1:6" ht="15" thickBot="1" x14ac:dyDescent="0.35">
      <c r="A41" s="85">
        <v>396</v>
      </c>
      <c r="B41" s="85">
        <v>11.637</v>
      </c>
      <c r="E41" s="85">
        <v>1048</v>
      </c>
      <c r="F41" s="85">
        <v>11.565799999999999</v>
      </c>
    </row>
    <row r="42" spans="1:6" ht="15" thickBot="1" x14ac:dyDescent="0.35">
      <c r="A42" s="85">
        <v>326</v>
      </c>
      <c r="B42" s="85">
        <v>11.502700000000001</v>
      </c>
      <c r="E42" s="85">
        <v>75</v>
      </c>
      <c r="F42" s="85">
        <v>11.6243</v>
      </c>
    </row>
    <row r="43" spans="1:6" ht="15" thickBot="1" x14ac:dyDescent="0.35">
      <c r="A43" s="85">
        <v>344</v>
      </c>
      <c r="B43" s="85">
        <v>11.681800000000001</v>
      </c>
      <c r="E43" s="85">
        <v>362</v>
      </c>
      <c r="F43" s="85">
        <v>11.5488</v>
      </c>
    </row>
    <row r="44" spans="1:6" ht="15" thickBot="1" x14ac:dyDescent="0.35">
      <c r="A44" s="85">
        <v>324</v>
      </c>
      <c r="B44" s="85">
        <v>11.651300000000001</v>
      </c>
      <c r="E44" s="85">
        <v>1007</v>
      </c>
      <c r="F44" s="85">
        <v>11.560700000000001</v>
      </c>
    </row>
    <row r="45" spans="1:6" ht="15" thickBot="1" x14ac:dyDescent="0.35">
      <c r="A45" s="85">
        <v>176</v>
      </c>
      <c r="B45" s="85">
        <v>11.6265</v>
      </c>
      <c r="E45" s="85">
        <v>1089</v>
      </c>
      <c r="F45" s="85">
        <v>11.592599999999999</v>
      </c>
    </row>
    <row r="46" spans="1:6" ht="15" thickBot="1" x14ac:dyDescent="0.35">
      <c r="E46" s="85">
        <v>1086</v>
      </c>
      <c r="F46" s="85">
        <v>11.6021</v>
      </c>
    </row>
    <row r="47" spans="1:6" ht="15" thickBot="1" x14ac:dyDescent="0.35">
      <c r="E47" s="85">
        <v>162</v>
      </c>
      <c r="F47" s="85">
        <v>11.744300000000001</v>
      </c>
    </row>
    <row r="48" spans="1:6" ht="15" thickBot="1" x14ac:dyDescent="0.35">
      <c r="E48" s="85">
        <v>157</v>
      </c>
      <c r="F48" s="85">
        <v>11.6249</v>
      </c>
    </row>
    <row r="49" spans="5:6" ht="15" thickBot="1" x14ac:dyDescent="0.35">
      <c r="E49" s="85">
        <v>1023</v>
      </c>
      <c r="F49" s="85">
        <v>11.628299999999999</v>
      </c>
    </row>
    <row r="50" spans="5:6" ht="15" thickBot="1" x14ac:dyDescent="0.35">
      <c r="E50" s="85">
        <v>1003</v>
      </c>
      <c r="F50" s="85">
        <v>11.6046</v>
      </c>
    </row>
    <row r="51" spans="5:6" ht="15" thickBot="1" x14ac:dyDescent="0.35">
      <c r="E51" s="85">
        <v>1055</v>
      </c>
      <c r="F51" s="85">
        <v>11.5633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CEBAS ION2768</vt:lpstr>
      <vt:lpstr>CEBAS ION2775</vt:lpstr>
      <vt:lpstr>Hoja1</vt:lpstr>
      <vt:lpstr>LIGNIN BILBAO</vt:lpstr>
      <vt:lpstr>Counting for FITR</vt:lpstr>
      <vt:lpstr>pH measurement</vt:lpstr>
      <vt:lpstr>Hoja3</vt:lpstr>
      <vt:lpstr>Lignin measurement Plates</vt:lpstr>
      <vt:lpstr>Hoja2</vt:lpstr>
      <vt:lpstr>Light path calculation</vt:lpstr>
      <vt:lpstr>Dried samples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2022-03-22T09:42:23Z</dcterms:created>
  <dcterms:modified xsi:type="dcterms:W3CDTF">2022-04-14T12:41:17Z</dcterms:modified>
</cp:coreProperties>
</file>