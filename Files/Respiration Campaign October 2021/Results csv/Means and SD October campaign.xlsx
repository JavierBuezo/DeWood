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Results csv/"/>
    </mc:Choice>
  </mc:AlternateContent>
  <xr:revisionPtr revIDLastSave="106" documentId="8_{8090432A-8418-4FCD-8E69-3BE1C11FDE80}" xr6:coauthVersionLast="46" xr6:coauthVersionMax="46" xr10:uidLastSave="{0A246984-D0F0-456A-8A0A-6F409C3561DC}"/>
  <bookViews>
    <workbookView xWindow="-108" yWindow="-108" windowWidth="23256" windowHeight="12576" xr2:uid="{7BB671CD-1D3B-44BF-9717-BADFEF72B52B}"/>
  </bookViews>
  <sheets>
    <sheet name="Hoja3" sheetId="3" r:id="rId1"/>
  </sheets>
  <externalReferences>
    <externalReference r:id="rId2"/>
  </externalReferences>
  <definedNames>
    <definedName name="Means_and_sd_AA_10cm" localSheetId="0">Hoja3!$A$5:$M$8</definedName>
    <definedName name="Means_and_sd_AA_1cm_1" localSheetId="0">Hoja3!$A$1:$M$4</definedName>
    <definedName name="Means_and_sd_AA_25cm" localSheetId="0">Hoja3!$A$9:$M$12</definedName>
    <definedName name="Means_and_sd_FS_10cm" localSheetId="0">Hoja3!$A$19:$M$22</definedName>
    <definedName name="Means_and_sd_FS_1cm" localSheetId="0">Hoja3!$A$15:$M$18</definedName>
    <definedName name="Means_and_sd_FS_25cm" localSheetId="0">Hoja3!$A$21:$M$24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3" l="1"/>
  <c r="P16" i="3"/>
  <c r="Q16" i="3"/>
  <c r="R16" i="3"/>
  <c r="O17" i="3"/>
  <c r="P17" i="3"/>
  <c r="Q17" i="3"/>
  <c r="R17" i="3"/>
  <c r="O18" i="3"/>
  <c r="P18" i="3"/>
  <c r="Q18" i="3"/>
  <c r="R18" i="3"/>
  <c r="O20" i="3"/>
  <c r="P20" i="3"/>
  <c r="Q20" i="3"/>
  <c r="R20" i="3"/>
  <c r="O21" i="3"/>
  <c r="P21" i="3"/>
  <c r="Q21" i="3"/>
  <c r="R21" i="3"/>
  <c r="O22" i="3"/>
  <c r="P22" i="3"/>
  <c r="Q22" i="3"/>
  <c r="R22" i="3"/>
  <c r="O24" i="3"/>
  <c r="P24" i="3"/>
  <c r="Q24" i="3"/>
  <c r="R24" i="3"/>
  <c r="O25" i="3"/>
  <c r="P25" i="3"/>
  <c r="Q25" i="3"/>
  <c r="R25" i="3"/>
  <c r="O26" i="3"/>
  <c r="P26" i="3"/>
  <c r="Q26" i="3"/>
  <c r="R26" i="3"/>
  <c r="N17" i="3"/>
  <c r="N18" i="3"/>
  <c r="N20" i="3"/>
  <c r="N21" i="3"/>
  <c r="N22" i="3"/>
  <c r="N24" i="3"/>
  <c r="N25" i="3"/>
  <c r="N26" i="3"/>
  <c r="N16" i="3"/>
  <c r="O10" i="3"/>
  <c r="P10" i="3"/>
  <c r="Q10" i="3"/>
  <c r="R10" i="3"/>
  <c r="O11" i="3"/>
  <c r="P11" i="3"/>
  <c r="Q11" i="3"/>
  <c r="R11" i="3"/>
  <c r="O12" i="3"/>
  <c r="P12" i="3"/>
  <c r="Q12" i="3"/>
  <c r="R12" i="3"/>
  <c r="N10" i="3"/>
  <c r="N11" i="3"/>
  <c r="O6" i="3"/>
  <c r="P6" i="3"/>
  <c r="Q6" i="3"/>
  <c r="R6" i="3"/>
  <c r="O7" i="3"/>
  <c r="P7" i="3"/>
  <c r="Q7" i="3"/>
  <c r="R7" i="3"/>
  <c r="O8" i="3"/>
  <c r="P8" i="3"/>
  <c r="Q8" i="3"/>
  <c r="R8" i="3"/>
  <c r="N6" i="3"/>
  <c r="N7" i="3"/>
  <c r="N3" i="3"/>
  <c r="O3" i="3"/>
  <c r="P3" i="3"/>
  <c r="Q3" i="3"/>
  <c r="R3" i="3"/>
  <c r="N4" i="3"/>
  <c r="O4" i="3"/>
  <c r="P4" i="3"/>
  <c r="Q4" i="3"/>
  <c r="R4" i="3"/>
  <c r="N8" i="3"/>
  <c r="N12" i="3"/>
  <c r="O2" i="3"/>
  <c r="P2" i="3"/>
  <c r="Q2" i="3"/>
  <c r="R2" i="3"/>
  <c r="N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18ED2-279D-4F17-949A-8F84C1A1F327}" keepAlive="1" name="Consulta - Means and sd AA 1cm" description="Conexión a la consulta 'Means and sd AA 1cm' en el libro." type="5" refreshedVersion="6" background="1">
    <dbPr connection="Provider=Microsoft.Mashup.OleDb.1;Data Source=$Workbook$;Location=&quot;Means and sd AA 1cm&quot;;Extended Properties=&quot;&quot;" command="SELECT * FROM [Means and sd AA 1cm]"/>
  </connection>
  <connection id="2" xr16:uid="{3D310CD2-D3CC-4A55-9D46-F47A7EEBEA4F}" name="Means and sd AA 10cm" type="6" refreshedVersion="6" background="1" saveData="1">
    <textPr codePage="850" sourceFile="D:\OneDrive - UPNA\DeWood Project\Respiration Campaign October 2021\Results csv\Means and sd AA 10cm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8481C8E-9AF1-4511-A0D4-58ED34DF5DAF}" name="Means and sd AA 1cm" type="6" refreshedVersion="6" background="1" saveData="1">
    <textPr codePage="850" sourceFile="D:\OneDrive - UPNA\DeWood Project\Respiration Campaign October 2021\Results csv\Means and sd AA 1cm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86F1AB3-98EE-431A-9EDD-9652C9DBC25B}" name="Means and sd AA 25cm" type="6" refreshedVersion="6" background="1" saveData="1">
    <textPr codePage="850" sourceFile="D:\OneDrive - UPNA\DeWood Project\Respiration Campaign October 2021\Results csv\Means and sd AA 25cm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46C89B0B-47A2-4CF1-AE29-60EF26CE8DF8}" name="Means and sd FS 10cm" type="6" refreshedVersion="6" background="1" saveData="1">
    <textPr codePage="850" sourceFile="D:\OneDrive - UPNA\DeWood Project\Respiration Campaign October 2021\Results csv\Means and sd FS 10cm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47C89443-F433-4DB0-8D89-332EF3881FE9}" name="Means and sd FS 1cm" type="6" refreshedVersion="6" background="1" saveData="1">
    <textPr codePage="850" sourceFile="D:\OneDrive - UPNA\DeWood Project\Respiration Campaign October 2021\Results csv\Means and sd AA 1cm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7BFC823E-6F95-43FE-AD6C-07D4966D5662}" name="Means and sd FS 25cm" type="6" refreshedVersion="6" background="1" saveData="1">
    <textPr codePage="850" sourceFile="D:\OneDrive - UPNA\DeWood Project\Respiration Campaign October 2021\Results csv\Means and sd FS 25cm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<sst xmlns="http://schemas.openxmlformats.org/spreadsheetml/2006/main" count="95" uniqueCount="18">
  <si>
    <t>Class</t>
  </si>
  <si>
    <t>Bark(%)_mean</t>
  </si>
  <si>
    <t>Waterpercentage_mean</t>
  </si>
  <si>
    <t>T3_mean</t>
  </si>
  <si>
    <t>Soil_moist_mean</t>
  </si>
  <si>
    <t>RespCorrectedArea_mean</t>
  </si>
  <si>
    <t>Bark(%)_sd</t>
  </si>
  <si>
    <t>Waterpercentage_sd</t>
  </si>
  <si>
    <t>T3_sd</t>
  </si>
  <si>
    <t>Soil_moist_sd</t>
  </si>
  <si>
    <t>RespCorrectedArea_sd</t>
  </si>
  <si>
    <t>N</t>
  </si>
  <si>
    <t>Bark(%)_se</t>
  </si>
  <si>
    <t>Waterpercentage_se</t>
  </si>
  <si>
    <t>T3_se</t>
  </si>
  <si>
    <t>Soil_moist_se</t>
  </si>
  <si>
    <t>RespCorrectedArea_se</t>
  </si>
  <si>
    <t>Bark(%)_n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</si>
</sst>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9" xfId="0" applyFont="1" applyBorder="1"/>
    <xf numFmtId="0" fontId="0" fillId="0" borderId="4" xfId="0" applyFont="1" applyBorder="1"/>
    <xf numFmtId="0" fontId="0" fillId="0" borderId="1" xfId="0" applyFont="1" applyBorder="1"/>
    <xf numFmtId="0" fontId="0" fillId="0" borderId="6" xfId="0" applyFont="1" applyBorder="1"/>
    <xf numFmtId="0" fontId="0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Abies alba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Hoja3!$R$2:$R$4</c:f>
                <c:numCache>
                  <c:formatCode>General</c:formatCode>
                  <c:ptCount val="3"/>
                  <c:pt idx="0">
                    <c:v>7.5929653375472498E-5</c:v>
                  </c:pt>
                  <c:pt idx="1">
                    <c:v>8.2339167935928902E-5</c:v>
                  </c:pt>
                  <c:pt idx="2">
                    <c:v>9.5632721990830154E-5</c:v>
                  </c:pt>
                </c:numCache>
              </c:numRef>
            </c:plus>
            <c:minus>
              <c:numRef>
                <c:f>Hoja3!$R$2:$R$4</c:f>
                <c:numCache>
                  <c:formatCode>General</c:formatCode>
                  <c:ptCount val="3"/>
                  <c:pt idx="0">
                    <c:v>7.5929653375472498E-5</c:v>
                  </c:pt>
                  <c:pt idx="1">
                    <c:v>8.2339167935928902E-5</c:v>
                  </c:pt>
                  <c:pt idx="2">
                    <c:v>9.5632721990830154E-5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Hoja3!$B$16:$B$18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Hoja3!$G$2:$G$4</c:f>
              <c:numCache>
                <c:formatCode>General</c:formatCode>
                <c:ptCount val="3"/>
                <c:pt idx="0">
                  <c:v>7.5815412734956203E-4</c:v>
                </c:pt>
                <c:pt idx="1">
                  <c:v>8.11969047603857E-4</c:v>
                </c:pt>
                <c:pt idx="2">
                  <c:v>8.6335551232116195E-4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E-4BDA-9B5A-03A5F291A98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Hoja3!$R$16:$R$18</c:f>
                <c:numCache>
                  <c:formatCode>General</c:formatCode>
                  <c:ptCount val="3"/>
                  <c:pt idx="0">
                    <c:v>9.1031000998382342E-5</c:v>
                  </c:pt>
                  <c:pt idx="1">
                    <c:v>1.3119361990223384E-4</c:v>
                  </c:pt>
                  <c:pt idx="2">
                    <c:v>1.5808600304448913E-4</c:v>
                  </c:pt>
                </c:numCache>
              </c:numRef>
            </c:plus>
            <c:minus>
              <c:numRef>
                <c:f>Hoja3!$R$16:$R$18</c:f>
                <c:numCache>
                  <c:formatCode>General</c:formatCode>
                  <c:ptCount val="3"/>
                  <c:pt idx="0">
                    <c:v>9.1031000998382342E-5</c:v>
                  </c:pt>
                  <c:pt idx="1">
                    <c:v>1.3119361990223384E-4</c:v>
                  </c:pt>
                  <c:pt idx="2">
                    <c:v>1.5808600304448913E-4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Hoja3!$B$16:$B$18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Hoja3!$G$16:$G$18</c:f>
              <c:numCache>
                <c:formatCode>General</c:formatCode>
                <c:ptCount val="3"/>
                <c:pt idx="0">
                  <c:v>1.0207719478035201E-3</c:v>
                </c:pt>
                <c:pt idx="1">
                  <c:v>1.1884994816135099E-3</c:v>
                </c:pt>
                <c:pt idx="2">
                  <c:v>1.16761555807017E-3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E-4BDA-9B5A-03A5F291A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Respiration µM CO</a:t>
                </a:r>
                <a:r>
                  <a:rPr lang="es-ES" strike="noStrike" baseline="-25000"/>
                  <a:t>2</a:t>
                </a:r>
                <a:r>
                  <a:rPr lang="es-ES"/>
                  <a:t>/s * cm</a:t>
                </a:r>
                <a:r>
                  <a:rPr lang="es-E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1922119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10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Hoja3!$R$6:$R$8</c:f>
                <c:numCache>
                  <c:formatCode>General</c:formatCode>
                  <c:ptCount val="3"/>
                  <c:pt idx="0">
                    <c:v>2.0644738232644065E-4</c:v>
                  </c:pt>
                  <c:pt idx="1">
                    <c:v>2.18886666191284E-4</c:v>
                  </c:pt>
                  <c:pt idx="2">
                    <c:v>5.5116892454445357E-4</c:v>
                  </c:pt>
                </c:numCache>
              </c:numRef>
            </c:plus>
            <c:minus>
              <c:numRef>
                <c:f>Hoja3!$R$6:$R$8</c:f>
                <c:numCache>
                  <c:formatCode>General</c:formatCode>
                  <c:ptCount val="3"/>
                  <c:pt idx="0">
                    <c:v>2.0644738232644065E-4</c:v>
                  </c:pt>
                  <c:pt idx="1">
                    <c:v>2.18886666191284E-4</c:v>
                  </c:pt>
                  <c:pt idx="2">
                    <c:v>5.5116892454445357E-4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'[1]Abies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Hoja3!$G$6:$G$8</c:f>
              <c:numCache>
                <c:formatCode>General</c:formatCode>
                <c:ptCount val="3"/>
                <c:pt idx="0">
                  <c:v>2.7721697896699298E-3</c:v>
                </c:pt>
                <c:pt idx="1">
                  <c:v>2.2070500269381699E-3</c:v>
                </c:pt>
                <c:pt idx="2">
                  <c:v>3.6275222417649902E-3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3-4579-A874-D28BCC5B116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Hoja3!$R$20:$R$22</c:f>
                <c:numCache>
                  <c:formatCode>General</c:formatCode>
                  <c:ptCount val="3"/>
                  <c:pt idx="0">
                    <c:v>6.8268553070847634E-4</c:v>
                  </c:pt>
                  <c:pt idx="1">
                    <c:v>7.6071545567736002E-4</c:v>
                  </c:pt>
                  <c:pt idx="2">
                    <c:v>5.5568179044425024E-4</c:v>
                  </c:pt>
                </c:numCache>
              </c:numRef>
            </c:plus>
            <c:minus>
              <c:numRef>
                <c:f>Hoja3!$R$20:$R$22</c:f>
                <c:numCache>
                  <c:formatCode>General</c:formatCode>
                  <c:ptCount val="3"/>
                  <c:pt idx="0">
                    <c:v>6.8268553070847634E-4</c:v>
                  </c:pt>
                  <c:pt idx="1">
                    <c:v>7.6071545567736002E-4</c:v>
                  </c:pt>
                  <c:pt idx="2">
                    <c:v>5.5568179044425024E-4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'[1]Abies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Hoja3!$G$20:$G$22</c:f>
              <c:numCache>
                <c:formatCode>General</c:formatCode>
                <c:ptCount val="3"/>
                <c:pt idx="0">
                  <c:v>7.2232291612445701E-3</c:v>
                </c:pt>
                <c:pt idx="1">
                  <c:v>7.3857474190883897E-3</c:v>
                </c:pt>
                <c:pt idx="2">
                  <c:v>4.3377514449872596E-3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3-4579-A874-D28BCC5B1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Respiration µM CO</a:t>
                </a:r>
                <a:r>
                  <a:rPr lang="es-ES" strike="noStrike" baseline="-25000"/>
                  <a:t>2</a:t>
                </a:r>
                <a:r>
                  <a:rPr lang="es-ES"/>
                  <a:t>/s * cm</a:t>
                </a:r>
                <a:r>
                  <a:rPr lang="es-E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1922119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25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Hoja3!$R$10:$R$12</c:f>
                <c:numCache>
                  <c:formatCode>General</c:formatCode>
                  <c:ptCount val="3"/>
                  <c:pt idx="0">
                    <c:v>6.388117533314E-2</c:v>
                  </c:pt>
                  <c:pt idx="1">
                    <c:v>3.562137720816104E-2</c:v>
                  </c:pt>
                  <c:pt idx="2">
                    <c:v>2.6202511207727392E-2</c:v>
                  </c:pt>
                </c:numCache>
              </c:numRef>
            </c:plus>
            <c:minus>
              <c:numRef>
                <c:f>Hoja3!$R$10:$R$12</c:f>
                <c:numCache>
                  <c:formatCode>General</c:formatCode>
                  <c:ptCount val="3"/>
                  <c:pt idx="0">
                    <c:v>6.388117533314E-2</c:v>
                  </c:pt>
                  <c:pt idx="1">
                    <c:v>3.562137720816104E-2</c:v>
                  </c:pt>
                  <c:pt idx="2">
                    <c:v>2.6202511207727392E-2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'[1]Abies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Hoja3!$G$10:$G$12</c:f>
              <c:numCache>
                <c:formatCode>General</c:formatCode>
                <c:ptCount val="3"/>
                <c:pt idx="0">
                  <c:v>0.237417584438884</c:v>
                </c:pt>
                <c:pt idx="1">
                  <c:v>0.13481608046329999</c:v>
                </c:pt>
                <c:pt idx="2">
                  <c:v>0.123598384217233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7-40E2-86B1-C36063B7601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Hoja3!$R$24:$R$26</c:f>
                <c:numCache>
                  <c:formatCode>General</c:formatCode>
                  <c:ptCount val="3"/>
                  <c:pt idx="0">
                    <c:v>2.3208378684791565E-2</c:v>
                  </c:pt>
                  <c:pt idx="1">
                    <c:v>1.1786007927945907E-2</c:v>
                  </c:pt>
                  <c:pt idx="2">
                    <c:v>1.8833086902983336E-2</c:v>
                  </c:pt>
                </c:numCache>
              </c:numRef>
            </c:plus>
            <c:minus>
              <c:numRef>
                <c:f>Hoja3!$R$24:$R$26</c:f>
                <c:numCache>
                  <c:formatCode>General</c:formatCode>
                  <c:ptCount val="3"/>
                  <c:pt idx="0">
                    <c:v>2.3208378684791565E-2</c:v>
                  </c:pt>
                  <c:pt idx="1">
                    <c:v>1.1786007927945907E-2</c:v>
                  </c:pt>
                  <c:pt idx="2">
                    <c:v>1.8833086902983336E-2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'[1]Abies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Hoja3!$G$24:$G$26</c:f>
              <c:numCache>
                <c:formatCode>General</c:formatCode>
                <c:ptCount val="3"/>
                <c:pt idx="0">
                  <c:v>0.116268896895684</c:v>
                </c:pt>
                <c:pt idx="1">
                  <c:v>9.3194101587540906E-2</c:v>
                </c:pt>
                <c:pt idx="2">
                  <c:v>0.10463883306517301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7-40E2-86B1-C36063B76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Respiration µM CO</a:t>
                </a:r>
                <a:r>
                  <a:rPr lang="es-ES" strike="noStrike" baseline="-25000"/>
                  <a:t>2</a:t>
                </a:r>
                <a:r>
                  <a:rPr lang="es-ES"/>
                  <a:t>/s * cm</a:t>
                </a:r>
                <a:r>
                  <a:rPr lang="es-E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1922119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885010</xdr:colOff>
      <xdr:row>28</xdr:row>
      <xdr:rowOff>97974</xdr:rowOff>
    </xdr:from>
    <xdr:to>
      <xdr:col>6</xdr:col>
      <xdr:colOff>1279865</xdr:colOff>
      <xdr:row>43</xdr:row>
      <xdr:rowOff>59675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FA7749-8C90-499F-AD64-B890FEAE0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1513114</xdr:colOff>
      <xdr:row>27</xdr:row>
      <xdr:rowOff>163287</xdr:rowOff>
    </xdr:from>
    <xdr:to>
      <xdr:col>11</xdr:col>
      <xdr:colOff>732311</xdr:colOff>
      <xdr:row>42</xdr:row>
      <xdr:rowOff>124988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A6E714-468F-45AD-940F-DA19F7D6B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751115</xdr:colOff>
      <xdr:row>27</xdr:row>
      <xdr:rowOff>163286</xdr:rowOff>
    </xdr:from>
    <xdr:to>
      <xdr:col>17</xdr:col>
      <xdr:colOff>590799</xdr:colOff>
      <xdr:row>42</xdr:row>
      <xdr:rowOff>157644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5C3D8D-7E22-4958-8C65-150984264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vier_buezo_unavarra_es/Documents/DeWood%20Project/Respiration%20Campaign%20July%202021/Results%20CSV/Results%20Summari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ies alba"/>
    </sheetNames>
    <sheetDataSet>
      <sheetData sheetId="0">
        <row r="2">
          <cell r="B2">
            <v>1</v>
          </cell>
        </row>
        <row r="3">
          <cell r="B3">
            <v>2</v>
          </cell>
        </row>
        <row r="4">
          <cell r="B4">
            <v>4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 and sd FS 25cm" connectionId="7" xr16:uid="{9A4A69A3-EE63-47C9-8AFE-C5DC6B8292C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 and sd FS 1cm" connectionId="6" xr16:uid="{07C58865-A014-497B-A721-C68FD946C1E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 and sd AA 1cm_1" connectionId="3" xr16:uid="{747B4F17-8940-4DED-88DC-D11B3904A9F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 and sd AA 10cm" connectionId="2" xr16:uid="{F4B93ED9-8FD5-444A-A6D1-152EF9627956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 and sd FS 10cm" connectionId="5" xr16:uid="{A8193872-05B7-47CF-AF93-3FFFE9A82C13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 and sd AA 25cm" connectionId="4" xr16:uid="{6894D2A2-71C6-4E52-96CD-6B3EFDF2CA7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6.xml"/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0ABD-79D5-4008-A1F9-93A20195FA01}">
  <dimension ref="A1:S26"/>
  <sheetViews>
    <sheetView tabSelected="1" topLeftCell="A13" zoomScale="70" zoomScaleNormal="70" workbookViewId="0">
      <selection activeCell="I50" sqref="I50"/>
    </sheetView>
  </sheetViews>
  <sheetFormatPr baseColWidth="10" defaultRowHeight="14.4" x14ac:dyDescent="0.3"/>
  <cols>
    <col min="1" max="1" width="2.21875" style="17" bestFit="1" customWidth="1"/>
    <col min="2" max="2" width="5.77734375" bestFit="1" customWidth="1"/>
    <col min="3" max="3" width="13.44140625" bestFit="1" customWidth="1"/>
    <col min="4" max="4" width="22.44140625" bestFit="1" customWidth="1"/>
    <col min="5" max="5" width="13.33203125" bestFit="1" customWidth="1"/>
    <col min="6" max="6" width="16" bestFit="1" customWidth="1"/>
    <col min="7" max="7" width="24.21875" bestFit="1" customWidth="1"/>
    <col min="8" max="8" width="13.33203125" bestFit="1" customWidth="1"/>
    <col min="9" max="9" width="19.44140625" bestFit="1" customWidth="1"/>
    <col min="10" max="11" width="13.33203125" bestFit="1" customWidth="1"/>
    <col min="12" max="12" width="21.109375" bestFit="1" customWidth="1"/>
    <col min="13" max="13" width="9.77734375" bestFit="1" customWidth="1"/>
    <col min="18" max="18" width="21.109375" bestFit="1" customWidth="1"/>
  </cols>
  <sheetData>
    <row r="1" spans="1:19" s="11" customFormat="1" ht="15" thickBot="1" x14ac:dyDescent="0.35">
      <c r="A1" s="13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2" t="s">
        <v>5</v>
      </c>
      <c r="H1" s="10" t="s">
        <v>6</v>
      </c>
      <c r="I1" s="11" t="s">
        <v>7</v>
      </c>
      <c r="J1" s="11" t="s">
        <v>8</v>
      </c>
      <c r="K1" s="11" t="s">
        <v>9</v>
      </c>
      <c r="L1" s="12" t="s">
        <v>10</v>
      </c>
      <c r="M1" s="10" t="s">
        <v>17</v>
      </c>
      <c r="N1" s="10" t="s">
        <v>12</v>
      </c>
      <c r="O1" s="11" t="s">
        <v>13</v>
      </c>
      <c r="P1" s="11" t="s">
        <v>14</v>
      </c>
      <c r="Q1" s="11" t="s">
        <v>15</v>
      </c>
      <c r="R1" s="12" t="s">
        <v>16</v>
      </c>
    </row>
    <row r="2" spans="1:19" s="2" customFormat="1" x14ac:dyDescent="0.3">
      <c r="A2" s="15">
        <v>1</v>
      </c>
      <c r="B2" s="2">
        <v>1</v>
      </c>
      <c r="C2">
        <v>99.434782608695699</v>
      </c>
      <c r="D2">
        <v>24.9419180712569</v>
      </c>
      <c r="E2">
        <v>5.8505434782608701</v>
      </c>
      <c r="F2">
        <v>2358.04347826087</v>
      </c>
      <c r="G2">
        <v>7.5815412734956203E-4</v>
      </c>
      <c r="H2" s="1">
        <v>0.88297467051705603</v>
      </c>
      <c r="I2" s="2">
        <v>5.6143550566107701</v>
      </c>
      <c r="J2" s="2">
        <v>0.81853942695404802</v>
      </c>
      <c r="K2" s="2">
        <v>243.24930687762</v>
      </c>
      <c r="L2" s="3">
        <v>3.6414582521229901E-4</v>
      </c>
      <c r="M2" s="1">
        <v>23</v>
      </c>
      <c r="N2" s="1">
        <f>H2/SQRT($M2)</f>
        <v>0.18411294605010259</v>
      </c>
      <c r="O2" s="2">
        <f t="shared" ref="O2:R2" si="0">I2/SQRT($M2)</f>
        <v>1.1706739549375695</v>
      </c>
      <c r="P2" s="2">
        <f t="shared" si="0"/>
        <v>0.17067726899393709</v>
      </c>
      <c r="Q2" s="2">
        <f t="shared" si="0"/>
        <v>50.720986693376503</v>
      </c>
      <c r="R2" s="3">
        <f t="shared" si="0"/>
        <v>7.5929653375472498E-5</v>
      </c>
    </row>
    <row r="3" spans="1:19" s="5" customFormat="1" x14ac:dyDescent="0.3">
      <c r="A3" s="14">
        <v>2</v>
      </c>
      <c r="B3" s="5">
        <v>2</v>
      </c>
      <c r="C3">
        <v>97.238095238095198</v>
      </c>
      <c r="D3">
        <v>30.969334275385499</v>
      </c>
      <c r="E3">
        <v>5.2529761904761898</v>
      </c>
      <c r="F3">
        <v>2296.8571428571399</v>
      </c>
      <c r="G3">
        <v>8.11969047603857E-4</v>
      </c>
      <c r="H3" s="4">
        <v>2.5720568015648899</v>
      </c>
      <c r="I3" s="5">
        <v>8.3611616825643509</v>
      </c>
      <c r="J3" s="5">
        <v>0.89627619175383799</v>
      </c>
      <c r="K3" s="5">
        <v>341.13300715619499</v>
      </c>
      <c r="L3" s="6">
        <v>3.7732546972607501E-4</v>
      </c>
      <c r="M3" s="4">
        <v>21</v>
      </c>
      <c r="N3" s="4">
        <f t="shared" ref="N3:N4" si="1">H3/SQRT($M3)</f>
        <v>0.56126880880462482</v>
      </c>
      <c r="O3" s="5">
        <f t="shared" ref="O3:O4" si="2">I3/SQRT($M3)</f>
        <v>1.824555062291213</v>
      </c>
      <c r="P3" s="5">
        <f t="shared" ref="P3:P4" si="3">J3/SQRT($M3)</f>
        <v>0.19558349963327229</v>
      </c>
      <c r="Q3" s="5">
        <f t="shared" ref="Q3:Q4" si="4">K3/SQRT($M3)</f>
        <v>74.441325111484559</v>
      </c>
      <c r="R3" s="6">
        <f t="shared" ref="R3:R4" si="5">L3/SQRT($M3)</f>
        <v>8.2339167935928902E-5</v>
      </c>
    </row>
    <row r="4" spans="1:19" s="8" customFormat="1" ht="15" thickBot="1" x14ac:dyDescent="0.35">
      <c r="A4" s="16">
        <v>3</v>
      </c>
      <c r="B4" s="8">
        <v>4</v>
      </c>
      <c r="C4">
        <v>94.765625</v>
      </c>
      <c r="D4">
        <v>34.988949622262098</v>
      </c>
      <c r="E4">
        <v>5.716796875</v>
      </c>
      <c r="F4">
        <v>2300.53125</v>
      </c>
      <c r="G4">
        <v>8.6335551232116195E-4</v>
      </c>
      <c r="H4" s="7">
        <v>6.48445333707053</v>
      </c>
      <c r="I4" s="8">
        <v>13.185739521722001</v>
      </c>
      <c r="J4" s="8">
        <v>0.92756623847793895</v>
      </c>
      <c r="K4" s="8">
        <v>310.51102358230202</v>
      </c>
      <c r="L4" s="9">
        <v>5.4098036978435097E-4</v>
      </c>
      <c r="M4" s="7">
        <v>32</v>
      </c>
      <c r="N4" s="7">
        <f t="shared" si="1"/>
        <v>1.1463002317325772</v>
      </c>
      <c r="O4" s="8">
        <f t="shared" si="2"/>
        <v>2.3309314576922726</v>
      </c>
      <c r="P4" s="8">
        <f t="shared" si="3"/>
        <v>0.16397209430686221</v>
      </c>
      <c r="Q4" s="8">
        <f t="shared" si="4"/>
        <v>54.891112602055429</v>
      </c>
      <c r="R4" s="9">
        <f t="shared" si="5"/>
        <v>9.5632721990830154E-5</v>
      </c>
    </row>
    <row r="5" spans="1:19" s="2" customFormat="1" x14ac:dyDescent="0.3">
      <c r="A5" s="15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3" t="s">
        <v>5</v>
      </c>
      <c r="H5" s="1" t="s">
        <v>6</v>
      </c>
      <c r="I5" s="2" t="s">
        <v>7</v>
      </c>
      <c r="J5" s="2" t="s">
        <v>8</v>
      </c>
      <c r="K5" s="2" t="s">
        <v>9</v>
      </c>
      <c r="L5" s="3" t="s">
        <v>10</v>
      </c>
      <c r="M5" s="1" t="s">
        <v>17</v>
      </c>
    </row>
    <row r="6" spans="1:19" s="5" customFormat="1" ht="15" thickBot="1" x14ac:dyDescent="0.35">
      <c r="A6" s="14">
        <v>1</v>
      </c>
      <c r="B6" s="5">
        <v>1</v>
      </c>
      <c r="C6">
        <v>97.022222222222197</v>
      </c>
      <c r="D6">
        <v>45.485150748515899</v>
      </c>
      <c r="E6">
        <v>5.4013888888888903</v>
      </c>
      <c r="F6">
        <v>2304.9111111111101</v>
      </c>
      <c r="G6">
        <v>2.7721697896699298E-3</v>
      </c>
      <c r="H6">
        <v>2.7591903365174599</v>
      </c>
      <c r="I6">
        <v>17.778846207664198</v>
      </c>
      <c r="J6">
        <v>1.7769080298272699</v>
      </c>
      <c r="K6">
        <v>277.00786190206901</v>
      </c>
      <c r="L6">
        <v>1.38489114197643E-3</v>
      </c>
      <c r="M6" s="4">
        <v>45</v>
      </c>
      <c r="N6" s="7">
        <f t="shared" ref="N6:N7" si="6">H6/SQRT($M6)</f>
        <v>0.41131581035423737</v>
      </c>
      <c r="O6" s="7">
        <f t="shared" ref="O6:O8" si="7">I6/SQRT($M6)</f>
        <v>2.6503139121234325</v>
      </c>
      <c r="P6" s="7">
        <f t="shared" ref="P6:P8" si="8">J6/SQRT($M6)</f>
        <v>0.26488580963059993</v>
      </c>
      <c r="Q6" s="7">
        <f t="shared" ref="Q6:Q8" si="9">K6/SQRT($M6)</f>
        <v>41.293893967660033</v>
      </c>
      <c r="R6" s="7">
        <f t="shared" ref="R6:R8" si="10">L6/SQRT($M6)</f>
        <v>2.0644738232644065E-4</v>
      </c>
    </row>
    <row r="7" spans="1:19" s="8" customFormat="1" ht="15" thickBot="1" x14ac:dyDescent="0.35">
      <c r="A7" s="14">
        <v>2</v>
      </c>
      <c r="B7">
        <v>2</v>
      </c>
      <c r="C7">
        <v>97.880952380952394</v>
      </c>
      <c r="D7">
        <v>30.9966739720644</v>
      </c>
      <c r="E7">
        <v>5.1904761904761898</v>
      </c>
      <c r="F7">
        <v>2319.4047619047601</v>
      </c>
      <c r="G7">
        <v>2.2070500269381699E-3</v>
      </c>
      <c r="H7">
        <v>2.01460982063139</v>
      </c>
      <c r="I7">
        <v>17.924765860262301</v>
      </c>
      <c r="J7">
        <v>1.7405533566151199</v>
      </c>
      <c r="K7">
        <v>277.697155586213</v>
      </c>
      <c r="L7">
        <v>1.41854772592467E-3</v>
      </c>
      <c r="M7" s="4">
        <v>42</v>
      </c>
      <c r="N7" s="7">
        <f t="shared" si="6"/>
        <v>0.31086104418995258</v>
      </c>
      <c r="O7" s="7">
        <f t="shared" si="7"/>
        <v>2.7658514195246111</v>
      </c>
      <c r="P7" s="7">
        <f t="shared" si="8"/>
        <v>0.26857321371347659</v>
      </c>
      <c r="Q7" s="7">
        <f t="shared" si="9"/>
        <v>42.84960138189691</v>
      </c>
      <c r="R7" s="7">
        <f t="shared" si="10"/>
        <v>2.18886666191284E-4</v>
      </c>
    </row>
    <row r="8" spans="1:19" s="2" customFormat="1" ht="15" thickBot="1" x14ac:dyDescent="0.35">
      <c r="A8" s="16">
        <v>3</v>
      </c>
      <c r="B8" s="8">
        <v>4</v>
      </c>
      <c r="C8">
        <v>90.358974358974393</v>
      </c>
      <c r="D8">
        <v>45.122710895458297</v>
      </c>
      <c r="E8">
        <v>5.9391025641025603</v>
      </c>
      <c r="F8">
        <v>2310.1538461538498</v>
      </c>
      <c r="G8">
        <v>3.6275222417649902E-3</v>
      </c>
      <c r="H8">
        <v>6.1622243911345604</v>
      </c>
      <c r="I8">
        <v>9.1941995781021504</v>
      </c>
      <c r="J8">
        <v>1.7426117051693599</v>
      </c>
      <c r="K8">
        <v>288.47799683142301</v>
      </c>
      <c r="L8">
        <v>3.4420488305595101E-3</v>
      </c>
      <c r="M8" s="7">
        <v>39</v>
      </c>
      <c r="N8" s="7">
        <f>H8/SQRT($M8)</f>
        <v>0.98674561508505432</v>
      </c>
      <c r="O8" s="7">
        <f t="shared" si="7"/>
        <v>1.4722502041570082</v>
      </c>
      <c r="P8" s="7">
        <f t="shared" si="8"/>
        <v>0.27904119514790443</v>
      </c>
      <c r="Q8" s="7">
        <f t="shared" si="9"/>
        <v>46.19344904600554</v>
      </c>
      <c r="R8" s="7">
        <f t="shared" si="10"/>
        <v>5.5116892454445357E-4</v>
      </c>
    </row>
    <row r="9" spans="1:19" s="5" customFormat="1" x14ac:dyDescent="0.3">
      <c r="A9" s="15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3" t="s">
        <v>5</v>
      </c>
      <c r="H9" s="1" t="s">
        <v>6</v>
      </c>
      <c r="I9" s="2" t="s">
        <v>7</v>
      </c>
      <c r="J9" s="2" t="s">
        <v>8</v>
      </c>
      <c r="K9" s="2" t="s">
        <v>9</v>
      </c>
      <c r="L9" s="3" t="s">
        <v>10</v>
      </c>
      <c r="M9" s="1" t="s">
        <v>17</v>
      </c>
    </row>
    <row r="10" spans="1:19" s="8" customFormat="1" ht="15" thickBot="1" x14ac:dyDescent="0.35">
      <c r="A10" s="14">
        <v>1</v>
      </c>
      <c r="B10" s="5">
        <v>1</v>
      </c>
      <c r="C10">
        <v>97.24</v>
      </c>
      <c r="D10">
        <v>33.760651700825299</v>
      </c>
      <c r="E10">
        <v>5.8624999999999998</v>
      </c>
      <c r="F10">
        <v>2501.6799999999998</v>
      </c>
      <c r="G10">
        <v>0.237417584438884</v>
      </c>
      <c r="H10">
        <v>3.7</v>
      </c>
      <c r="I10">
        <v>4.5990650871467702</v>
      </c>
      <c r="J10">
        <v>1.1069148190654401</v>
      </c>
      <c r="K10">
        <v>198.010462686529</v>
      </c>
      <c r="L10">
        <v>0.31940587666569997</v>
      </c>
      <c r="M10" s="4">
        <v>25</v>
      </c>
      <c r="N10" s="7">
        <f t="shared" ref="N10:N11" si="11">H10/SQRT($M10)</f>
        <v>0.74</v>
      </c>
      <c r="O10" s="7">
        <f t="shared" ref="O10:O12" si="12">I10/SQRT($M10)</f>
        <v>0.91981301742935406</v>
      </c>
      <c r="P10" s="7">
        <f t="shared" ref="P10:P12" si="13">J10/SQRT($M10)</f>
        <v>0.22138296381308803</v>
      </c>
      <c r="Q10" s="7">
        <f t="shared" ref="Q10:Q12" si="14">K10/SQRT($M10)</f>
        <v>39.602092537305801</v>
      </c>
      <c r="R10" s="7">
        <f t="shared" ref="R10:R12" si="15">L10/SQRT($M10)</f>
        <v>6.388117533314E-2</v>
      </c>
    </row>
    <row r="11" spans="1:19" s="5" customFormat="1" ht="15" thickBot="1" x14ac:dyDescent="0.35">
      <c r="A11" s="14">
        <v>2</v>
      </c>
      <c r="B11">
        <v>2</v>
      </c>
      <c r="C11">
        <v>96.368421052631604</v>
      </c>
      <c r="D11">
        <v>38.804799950254903</v>
      </c>
      <c r="E11">
        <v>5.8881578947368398</v>
      </c>
      <c r="F11">
        <v>2564.10526315789</v>
      </c>
      <c r="G11">
        <v>0.13481608046329999</v>
      </c>
      <c r="H11">
        <v>1.3420765964144099</v>
      </c>
      <c r="I11">
        <v>1.0924502433916601</v>
      </c>
      <c r="J11">
        <v>0.83893403019399804</v>
      </c>
      <c r="K11">
        <v>177.37746779642401</v>
      </c>
      <c r="L11">
        <v>0.155269983480117</v>
      </c>
      <c r="M11" s="4">
        <v>19</v>
      </c>
      <c r="N11" s="7">
        <f t="shared" si="11"/>
        <v>0.30789348727691757</v>
      </c>
      <c r="O11" s="7">
        <f t="shared" si="12"/>
        <v>0.25062527430477149</v>
      </c>
      <c r="P11" s="7">
        <f t="shared" si="13"/>
        <v>0.19246466620594407</v>
      </c>
      <c r="Q11" s="7">
        <f t="shared" si="14"/>
        <v>40.693181946618544</v>
      </c>
      <c r="R11" s="7">
        <f t="shared" si="15"/>
        <v>3.562137720816104E-2</v>
      </c>
    </row>
    <row r="12" spans="1:19" s="18" customFormat="1" ht="15" thickBot="1" x14ac:dyDescent="0.35">
      <c r="A12" s="16">
        <v>3</v>
      </c>
      <c r="B12" s="8">
        <v>4</v>
      </c>
      <c r="C12">
        <v>85.4583333333333</v>
      </c>
      <c r="D12">
        <v>47.582266144282201</v>
      </c>
      <c r="E12">
        <v>5.7135416666666696</v>
      </c>
      <c r="F12">
        <v>2395</v>
      </c>
      <c r="G12">
        <v>0.123598384217233</v>
      </c>
      <c r="H12">
        <v>5.7708349683459197</v>
      </c>
      <c r="I12">
        <v>7.6448557397911099</v>
      </c>
      <c r="J12">
        <v>1.0445115138361201</v>
      </c>
      <c r="K12">
        <v>292.75750463777899</v>
      </c>
      <c r="L12">
        <v>0.128365564876979</v>
      </c>
      <c r="M12" s="7">
        <v>24</v>
      </c>
      <c r="N12" s="7">
        <f>H12/SQRT($M12)</f>
        <v>1.1779667551881514</v>
      </c>
      <c r="O12" s="7">
        <f t="shared" si="12"/>
        <v>1.5604996433062859</v>
      </c>
      <c r="P12" s="7">
        <f t="shared" si="13"/>
        <v>0.21321001994670882</v>
      </c>
      <c r="Q12" s="7">
        <f t="shared" si="14"/>
        <v>59.758875394419867</v>
      </c>
      <c r="R12" s="7">
        <f t="shared" si="15"/>
        <v>2.6202511207727392E-2</v>
      </c>
      <c r="S12" s="5"/>
    </row>
    <row r="13" spans="1:19" s="2" customFormat="1" ht="15" thickBot="1" x14ac:dyDescent="0.35">
      <c r="A13" s="14"/>
      <c r="B13" s="5"/>
      <c r="C13" s="5"/>
      <c r="D13" s="5"/>
      <c r="E13" s="5"/>
      <c r="F13" s="5"/>
      <c r="G13" s="6"/>
      <c r="H13" s="4"/>
      <c r="I13" s="5"/>
      <c r="J13" s="5"/>
      <c r="K13" s="5"/>
      <c r="L13" s="6"/>
      <c r="M13" s="4"/>
      <c r="N13" s="4"/>
      <c r="O13" s="5"/>
      <c r="P13" s="5"/>
      <c r="Q13" s="5"/>
      <c r="R13" s="6"/>
      <c r="S13"/>
    </row>
    <row r="14" spans="1:19" s="5" customFormat="1" ht="15" thickBot="1" x14ac:dyDescent="0.35">
      <c r="A14" s="15"/>
      <c r="B14" s="18" t="s">
        <v>0</v>
      </c>
      <c r="C14" s="18" t="s">
        <v>1</v>
      </c>
      <c r="D14" s="18" t="s">
        <v>2</v>
      </c>
      <c r="E14" s="18" t="s">
        <v>3</v>
      </c>
      <c r="F14" s="18" t="s">
        <v>4</v>
      </c>
      <c r="G14" s="19" t="s">
        <v>5</v>
      </c>
      <c r="H14" s="20" t="s">
        <v>6</v>
      </c>
      <c r="I14" s="18" t="s">
        <v>7</v>
      </c>
      <c r="J14" s="18" t="s">
        <v>8</v>
      </c>
      <c r="K14" s="18" t="s">
        <v>9</v>
      </c>
      <c r="L14" s="19" t="s">
        <v>10</v>
      </c>
      <c r="M14" s="20" t="s">
        <v>11</v>
      </c>
      <c r="N14" s="20" t="s">
        <v>12</v>
      </c>
      <c r="O14" s="18" t="s">
        <v>13</v>
      </c>
      <c r="P14" s="18" t="s">
        <v>14</v>
      </c>
      <c r="Q14" s="18" t="s">
        <v>15</v>
      </c>
      <c r="R14" s="19" t="s">
        <v>16</v>
      </c>
      <c r="S14"/>
    </row>
    <row r="15" spans="1:19" s="8" customFormat="1" ht="15" thickBot="1" x14ac:dyDescent="0.35">
      <c r="A15" s="15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3" t="s">
        <v>5</v>
      </c>
      <c r="H15" s="1" t="s">
        <v>6</v>
      </c>
      <c r="I15" s="2" t="s">
        <v>7</v>
      </c>
      <c r="J15" s="2" t="s">
        <v>8</v>
      </c>
      <c r="K15" s="2" t="s">
        <v>9</v>
      </c>
      <c r="L15" s="3" t="s">
        <v>10</v>
      </c>
      <c r="M15" s="1" t="s">
        <v>17</v>
      </c>
      <c r="S15" s="2"/>
    </row>
    <row r="16" spans="1:19" s="2" customFormat="1" ht="15" thickBot="1" x14ac:dyDescent="0.35">
      <c r="A16" s="14">
        <v>1</v>
      </c>
      <c r="B16" s="5">
        <v>1</v>
      </c>
      <c r="C16">
        <v>98.9861111111111</v>
      </c>
      <c r="D16">
        <v>30.512365040182701</v>
      </c>
      <c r="E16">
        <v>5.7465277777777803</v>
      </c>
      <c r="F16">
        <v>2336.6666666666702</v>
      </c>
      <c r="G16">
        <v>1.0207719478035201E-3</v>
      </c>
      <c r="H16">
        <v>1.33890206145137</v>
      </c>
      <c r="I16">
        <v>3.9220718470232399</v>
      </c>
      <c r="J16">
        <v>0.80842997704054598</v>
      </c>
      <c r="K16">
        <v>308.03682525679602</v>
      </c>
      <c r="L16">
        <v>5.4618600599029403E-4</v>
      </c>
      <c r="M16">
        <v>36</v>
      </c>
      <c r="N16" s="7">
        <f t="shared" ref="N16:N26" si="16">H16/SQRT($M16)</f>
        <v>0.22315034357522834</v>
      </c>
      <c r="O16" s="7">
        <f t="shared" ref="O16:O26" si="17">I16/SQRT($M16)</f>
        <v>0.65367864117053998</v>
      </c>
      <c r="P16" s="7">
        <f t="shared" ref="P16:P26" si="18">J16/SQRT($M16)</f>
        <v>0.13473832950675765</v>
      </c>
      <c r="Q16" s="7">
        <f t="shared" ref="Q16:Q26" si="19">K16/SQRT($M16)</f>
        <v>51.339470876132673</v>
      </c>
      <c r="R16" s="7">
        <f t="shared" ref="R16:R26" si="20">L16/SQRT($M16)</f>
        <v>9.1031000998382342E-5</v>
      </c>
      <c r="S16" s="5"/>
    </row>
    <row r="17" spans="1:19" s="5" customFormat="1" ht="15" thickBot="1" x14ac:dyDescent="0.35">
      <c r="A17" s="14">
        <v>2</v>
      </c>
      <c r="B17">
        <v>2</v>
      </c>
      <c r="C17">
        <v>96.871428571428595</v>
      </c>
      <c r="D17">
        <v>37.810445194139099</v>
      </c>
      <c r="E17">
        <v>5.8624999999999998</v>
      </c>
      <c r="F17">
        <v>2257.5714285714298</v>
      </c>
      <c r="G17">
        <v>1.1884994816135099E-3</v>
      </c>
      <c r="H17">
        <v>3.9914298947923399</v>
      </c>
      <c r="I17">
        <v>15.939995073914501</v>
      </c>
      <c r="J17">
        <v>1.11914325162021</v>
      </c>
      <c r="K17">
        <v>301.86998425639803</v>
      </c>
      <c r="L17">
        <v>7.7615192237526101E-4</v>
      </c>
      <c r="M17">
        <v>35</v>
      </c>
      <c r="N17" s="7">
        <f t="shared" si="16"/>
        <v>0.67467479160686827</v>
      </c>
      <c r="O17" s="7">
        <f t="shared" si="17"/>
        <v>2.6943509314140872</v>
      </c>
      <c r="P17" s="7">
        <f t="shared" si="18"/>
        <v>0.18916973615150545</v>
      </c>
      <c r="Q17" s="7">
        <f t="shared" si="19"/>
        <v>51.025340313825019</v>
      </c>
      <c r="R17" s="7">
        <f t="shared" si="20"/>
        <v>1.3119361990223384E-4</v>
      </c>
      <c r="S17" s="8"/>
    </row>
    <row r="18" spans="1:19" s="8" customFormat="1" ht="15" thickBot="1" x14ac:dyDescent="0.35">
      <c r="A18" s="16">
        <v>3</v>
      </c>
      <c r="B18" s="8">
        <v>4</v>
      </c>
      <c r="C18">
        <v>49.678571428571402</v>
      </c>
      <c r="D18">
        <v>33.731435594067598</v>
      </c>
      <c r="E18">
        <v>5.6004464285714297</v>
      </c>
      <c r="F18">
        <v>2258.5</v>
      </c>
      <c r="G18">
        <v>1.16761555807017E-3</v>
      </c>
      <c r="H18">
        <v>22.405031795010899</v>
      </c>
      <c r="I18">
        <v>11.100225752627299</v>
      </c>
      <c r="J18">
        <v>1.1407512659329</v>
      </c>
      <c r="K18">
        <v>301.21218065970999</v>
      </c>
      <c r="L18">
        <v>8.3651249963183599E-4</v>
      </c>
      <c r="M18">
        <v>28</v>
      </c>
      <c r="N18" s="7">
        <f t="shared" si="16"/>
        <v>4.2341530175781372</v>
      </c>
      <c r="O18" s="7">
        <f t="shared" si="17"/>
        <v>2.097745488437615</v>
      </c>
      <c r="P18" s="7">
        <f t="shared" si="18"/>
        <v>0.21558172553146868</v>
      </c>
      <c r="Q18" s="7">
        <f t="shared" si="19"/>
        <v>56.923751563503714</v>
      </c>
      <c r="R18" s="7">
        <f t="shared" si="20"/>
        <v>1.5808600304448913E-4</v>
      </c>
      <c r="S18" s="2"/>
    </row>
    <row r="19" spans="1:19" s="2" customFormat="1" ht="15" thickBot="1" x14ac:dyDescent="0.35">
      <c r="A19" s="15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3" t="s">
        <v>5</v>
      </c>
      <c r="H19" s="1" t="s">
        <v>6</v>
      </c>
      <c r="I19" s="2" t="s">
        <v>7</v>
      </c>
      <c r="J19" s="2" t="s">
        <v>8</v>
      </c>
      <c r="K19" s="2" t="s">
        <v>9</v>
      </c>
      <c r="L19" s="3" t="s">
        <v>10</v>
      </c>
      <c r="M19" s="1" t="s">
        <v>17</v>
      </c>
      <c r="N19" s="7"/>
      <c r="O19" s="7"/>
      <c r="P19" s="7"/>
      <c r="Q19" s="7"/>
      <c r="R19" s="7"/>
      <c r="S19" s="5"/>
    </row>
    <row r="20" spans="1:19" s="5" customFormat="1" ht="15" thickBot="1" x14ac:dyDescent="0.35">
      <c r="A20" s="14">
        <v>1</v>
      </c>
      <c r="B20" s="5">
        <v>1</v>
      </c>
      <c r="C20">
        <v>96.231334932054395</v>
      </c>
      <c r="D20">
        <v>38.167514062084201</v>
      </c>
      <c r="E20">
        <v>5.56666666666667</v>
      </c>
      <c r="F20">
        <v>2273.51111111111</v>
      </c>
      <c r="G20">
        <v>7.2232291612445701E-3</v>
      </c>
      <c r="H20">
        <v>4.3660023747663796</v>
      </c>
      <c r="I20">
        <v>2.4267518485494</v>
      </c>
      <c r="J20">
        <v>2.0977277344134202</v>
      </c>
      <c r="K20">
        <v>301.953234053811</v>
      </c>
      <c r="L20">
        <v>4.5795937617590203E-3</v>
      </c>
      <c r="M20">
        <v>45</v>
      </c>
      <c r="N20" s="7">
        <f t="shared" si="16"/>
        <v>0.65084520666020917</v>
      </c>
      <c r="O20" s="7">
        <f t="shared" si="17"/>
        <v>0.3617588065253155</v>
      </c>
      <c r="P20" s="7">
        <f t="shared" si="18"/>
        <v>0.31271078749566883</v>
      </c>
      <c r="Q20" s="7">
        <f t="shared" si="19"/>
        <v>45.012530491348386</v>
      </c>
      <c r="R20" s="7">
        <f t="shared" si="20"/>
        <v>6.8268553070847634E-4</v>
      </c>
      <c r="S20" s="8"/>
    </row>
    <row r="21" spans="1:19" s="8" customFormat="1" ht="15" thickBot="1" x14ac:dyDescent="0.35">
      <c r="A21" s="14"/>
      <c r="B21" t="s">
        <v>0</v>
      </c>
      <c r="C21">
        <v>97.668299403030801</v>
      </c>
      <c r="D21">
        <v>30.376784701508701</v>
      </c>
      <c r="E21">
        <v>5.5093085106383004</v>
      </c>
      <c r="F21">
        <v>2280.7021276595701</v>
      </c>
      <c r="G21">
        <v>7.3857474190883897E-3</v>
      </c>
      <c r="H21">
        <v>2.65528068391367</v>
      </c>
      <c r="I21">
        <v>4.2403179727258404</v>
      </c>
      <c r="J21">
        <v>1.8137635552281399</v>
      </c>
      <c r="K21">
        <v>295.20986749250102</v>
      </c>
      <c r="L21">
        <v>5.2152024133106699E-3</v>
      </c>
      <c r="M21">
        <v>47</v>
      </c>
      <c r="N21" s="7">
        <f t="shared" si="16"/>
        <v>0.38731249438359111</v>
      </c>
      <c r="O21" s="7">
        <f t="shared" si="17"/>
        <v>0.61851394504002422</v>
      </c>
      <c r="P21" s="7">
        <f t="shared" si="18"/>
        <v>0.26456460556254363</v>
      </c>
      <c r="Q21" s="7">
        <f t="shared" si="19"/>
        <v>43.06078481188824</v>
      </c>
      <c r="R21" s="7">
        <f t="shared" si="20"/>
        <v>7.6071545567736002E-4</v>
      </c>
      <c r="S21" s="2"/>
    </row>
    <row r="22" spans="1:19" ht="16.8" customHeight="1" thickBot="1" x14ac:dyDescent="0.35">
      <c r="A22" s="16">
        <v>1</v>
      </c>
      <c r="B22" s="8">
        <v>1</v>
      </c>
      <c r="C22">
        <v>75.595367608352305</v>
      </c>
      <c r="D22">
        <v>59.345443635844298</v>
      </c>
      <c r="E22">
        <v>5.3948170731707297</v>
      </c>
      <c r="F22">
        <v>2321.7317073170698</v>
      </c>
      <c r="G22">
        <v>4.3377514449872596E-3</v>
      </c>
      <c r="H22">
        <v>12.4918225703064</v>
      </c>
      <c r="I22">
        <v>15.1875515909701</v>
      </c>
      <c r="J22">
        <v>1.73230106995038</v>
      </c>
      <c r="K22">
        <v>278.10340023004397</v>
      </c>
      <c r="L22">
        <v>3.5580995406936599E-3</v>
      </c>
      <c r="M22">
        <v>41</v>
      </c>
      <c r="N22" s="7">
        <f t="shared" si="16"/>
        <v>1.9508949236497468</v>
      </c>
      <c r="O22" s="7">
        <f t="shared" si="17"/>
        <v>2.3718970658390846</v>
      </c>
      <c r="P22" s="7">
        <f t="shared" si="18"/>
        <v>0.27053997481780817</v>
      </c>
      <c r="Q22" s="7">
        <f t="shared" si="19"/>
        <v>43.432454207938605</v>
      </c>
      <c r="R22" s="7">
        <f t="shared" si="20"/>
        <v>5.5568179044425024E-4</v>
      </c>
      <c r="S22" s="5"/>
    </row>
    <row r="23" spans="1:19" s="2" customFormat="1" ht="15" thickBot="1" x14ac:dyDescent="0.35">
      <c r="A23" s="15"/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3" t="s">
        <v>5</v>
      </c>
      <c r="H23" s="1" t="s">
        <v>6</v>
      </c>
      <c r="I23" s="2" t="s">
        <v>7</v>
      </c>
      <c r="J23" s="2" t="s">
        <v>8</v>
      </c>
      <c r="K23" s="2" t="s">
        <v>9</v>
      </c>
      <c r="L23" s="3" t="s">
        <v>10</v>
      </c>
      <c r="M23" s="1" t="s">
        <v>17</v>
      </c>
      <c r="N23" s="7"/>
      <c r="O23" s="7"/>
      <c r="P23" s="7"/>
      <c r="Q23" s="7"/>
      <c r="R23" s="7"/>
      <c r="S23" s="5"/>
    </row>
    <row r="24" spans="1:19" ht="15" thickBot="1" x14ac:dyDescent="0.35">
      <c r="A24" s="14">
        <v>3</v>
      </c>
      <c r="B24" s="5">
        <v>4</v>
      </c>
      <c r="C24">
        <v>96.761904761904802</v>
      </c>
      <c r="D24">
        <v>36.655942004628301</v>
      </c>
      <c r="E24">
        <v>6.0952380952380896</v>
      </c>
      <c r="F24">
        <v>2489.1428571428601</v>
      </c>
      <c r="G24">
        <v>0.116268896895684</v>
      </c>
      <c r="H24">
        <v>3.5057775443510701</v>
      </c>
      <c r="I24">
        <v>3.34177118402773</v>
      </c>
      <c r="J24">
        <v>0.60033162958167596</v>
      </c>
      <c r="K24">
        <v>219.63157462311401</v>
      </c>
      <c r="L24">
        <v>0.106354152080257</v>
      </c>
      <c r="M24">
        <v>21</v>
      </c>
      <c r="N24" s="7">
        <f t="shared" si="16"/>
        <v>0.76502337936500875</v>
      </c>
      <c r="O24" s="7">
        <f t="shared" si="17"/>
        <v>0.7292342574299655</v>
      </c>
      <c r="P24" s="7">
        <f t="shared" si="18"/>
        <v>0.13100310164924861</v>
      </c>
      <c r="Q24" s="7">
        <f t="shared" si="19"/>
        <v>47.927538843464866</v>
      </c>
      <c r="R24" s="7">
        <f t="shared" si="20"/>
        <v>2.3208378684791565E-2</v>
      </c>
    </row>
    <row r="25" spans="1:19" ht="15" thickBot="1" x14ac:dyDescent="0.35">
      <c r="A25" s="14">
        <v>2</v>
      </c>
      <c r="B25">
        <v>2</v>
      </c>
      <c r="C25">
        <v>93.5555555555556</v>
      </c>
      <c r="D25">
        <v>34.912974865462701</v>
      </c>
      <c r="E25">
        <v>6.125</v>
      </c>
      <c r="F25">
        <v>2471.1481481481501</v>
      </c>
      <c r="G25">
        <v>9.3194101587540906E-2</v>
      </c>
      <c r="H25">
        <v>7.8853970844522001</v>
      </c>
      <c r="I25">
        <v>1.6451515394546301</v>
      </c>
      <c r="J25">
        <v>0.82187637101377298</v>
      </c>
      <c r="K25">
        <v>201.97328530577499</v>
      </c>
      <c r="L25">
        <v>6.1241893648835699E-2</v>
      </c>
      <c r="M25">
        <v>27</v>
      </c>
      <c r="N25" s="7">
        <f t="shared" si="16"/>
        <v>1.5175453764585225</v>
      </c>
      <c r="O25" s="7">
        <f t="shared" si="17"/>
        <v>0.31660956138728596</v>
      </c>
      <c r="P25" s="7">
        <f t="shared" si="18"/>
        <v>0.15817018134846486</v>
      </c>
      <c r="Q25" s="7">
        <f t="shared" si="19"/>
        <v>38.86977688013409</v>
      </c>
      <c r="R25" s="7">
        <f t="shared" si="20"/>
        <v>1.1786007927945907E-2</v>
      </c>
    </row>
    <row r="26" spans="1:19" ht="15" thickBot="1" x14ac:dyDescent="0.35">
      <c r="A26" s="16">
        <v>3</v>
      </c>
      <c r="B26" s="8">
        <v>4</v>
      </c>
      <c r="C26">
        <v>71.086956521739097</v>
      </c>
      <c r="D26">
        <v>54.7778544371618</v>
      </c>
      <c r="E26">
        <v>6.4456521739130404</v>
      </c>
      <c r="F26">
        <v>2491.9130434782601</v>
      </c>
      <c r="G26">
        <v>0.10463883306517301</v>
      </c>
      <c r="H26">
        <v>13.8954310459435</v>
      </c>
      <c r="I26">
        <v>11.7060313898382</v>
      </c>
      <c r="J26">
        <v>0.34966722604832701</v>
      </c>
      <c r="K26">
        <v>234.275461999036</v>
      </c>
      <c r="L26">
        <v>9.0320311850615398E-2</v>
      </c>
      <c r="M26">
        <v>23</v>
      </c>
      <c r="N26" s="7">
        <f t="shared" si="16"/>
        <v>2.8973976626153948</v>
      </c>
      <c r="O26" s="7">
        <f t="shared" si="17"/>
        <v>2.4408762761858371</v>
      </c>
      <c r="P26" s="7">
        <f t="shared" si="18"/>
        <v>7.291065675442962E-2</v>
      </c>
      <c r="Q26" s="7">
        <f t="shared" si="19"/>
        <v>48.849810686679483</v>
      </c>
      <c r="R26" s="7">
        <f t="shared" si="20"/>
        <v>1.8833086902983336E-2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2A1F2-E31F-4F12-8352-9273E2975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Hoja3</vt:lpstr>
      <vt:lpstr>Hoja3!Means_and_sd_AA_10cm</vt:lpstr>
      <vt:lpstr>Hoja3!Means_and_sd_AA_1cm_1</vt:lpstr>
      <vt:lpstr>Hoja3!Means_and_sd_AA_25cm</vt:lpstr>
      <vt:lpstr>Hoja3!Means_and_sd_FS_10cm</vt:lpstr>
      <vt:lpstr>Hoja3!Means_and_sd_FS_1cm</vt:lpstr>
      <vt:lpstr>Hoja3!Means_and_sd_FS_25cm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2021-11-05T13:56:59Z</dcterms:created>
  <dcterms:modified xsi:type="dcterms:W3CDTF">2021-11-23T12:46:30Z</dcterms:modified>
</cp:coreProperties>
</file>